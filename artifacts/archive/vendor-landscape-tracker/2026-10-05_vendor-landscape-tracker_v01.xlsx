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acrogrid.sharepoint.com/sites/Procurement/Shared Documents/AI Procurement/artifacts/vendor-landscape-tracker/"/>
    </mc:Choice>
  </mc:AlternateContent>
  <xr:revisionPtr revIDLastSave="2" documentId="11_C1F9360ED759E284194A90DEFE4365748C49C65D" xr6:coauthVersionLast="47" xr6:coauthVersionMax="47" xr10:uidLastSave="{933C30CF-A0AD-4A2A-91F3-60B20FDE935A}"/>
  <bookViews>
    <workbookView xWindow="-120" yWindow="-120" windowWidth="57840" windowHeight="23520" tabRatio="500" activeTab="17" xr2:uid="{00000000-000D-0000-FFFF-FFFF00000000}"/>
  </bookViews>
  <sheets>
    <sheet name="Read Me" sheetId="1" r:id="rId1"/>
    <sheet name="Dashboard" sheetId="2" r:id="rId2"/>
    <sheet name="Env Eng" sheetId="3" r:id="rId3"/>
    <sheet name="Civil Eng" sheetId="4" r:id="rId4"/>
    <sheet name="Structural Eng" sheetId="5" r:id="rId5"/>
    <sheet name="Electrical Eng" sheetId="6" r:id="rId6"/>
    <sheet name="Fire Eng" sheetId="7" r:id="rId7"/>
    <sheet name="Owners Eng" sheetId="8" r:id="rId8"/>
    <sheet name="Eng of Record" sheetId="9" r:id="rId9"/>
    <sheet name="Independent Eng" sheetId="10" r:id="rId10"/>
    <sheet name="BESS Equipment" sheetId="11" r:id="rId11"/>
    <sheet name="MV Transformers" sheetId="12" r:id="rId12"/>
    <sheet name="HV Breakers" sheetId="13" r:id="rId13"/>
    <sheet name="MV Breakers" sheetId="14" r:id="rId14"/>
    <sheet name="EPC" sheetId="15" r:id="rId15"/>
    <sheet name="Software" sheetId="16" r:id="rId16"/>
    <sheet name="Lists" sheetId="17" r:id="rId17"/>
    <sheet name="Sources" sheetId="18" r:id="rId18"/>
  </sheets>
  <definedNames>
    <definedName name="_xlnm._FilterDatabase" localSheetId="10" hidden="1">'BESS Equipment'!$A$4:$AC$14</definedName>
    <definedName name="_xlnm._FilterDatabase" localSheetId="3" hidden="1">'Civil Eng'!$A$4:$AC$11</definedName>
    <definedName name="_xlnm._FilterDatabase" localSheetId="5" hidden="1">'Electrical Eng'!$A$4:$AC$12</definedName>
    <definedName name="_xlnm._FilterDatabase" localSheetId="8" hidden="1">'Eng of Record'!$A$4:$AC$11</definedName>
    <definedName name="_xlnm._FilterDatabase" localSheetId="2" hidden="1">'Env Eng'!$A$4:$AC$12</definedName>
    <definedName name="_xlnm._FilterDatabase" localSheetId="14" hidden="1">EPC!$A$4:$AC$12</definedName>
    <definedName name="_xlnm._FilterDatabase" localSheetId="6" hidden="1">'Fire Eng'!$A$4:$AC$11</definedName>
    <definedName name="_xlnm._FilterDatabase" localSheetId="12" hidden="1">'HV Breakers'!$A$4:$AC$10</definedName>
    <definedName name="_xlnm._FilterDatabase" localSheetId="9" hidden="1">'Independent Eng'!$A$4:$AC$10</definedName>
    <definedName name="_xlnm._FilterDatabase" localSheetId="13" hidden="1">'MV Breakers'!$A$4:$AC$11</definedName>
    <definedName name="_xlnm._FilterDatabase" localSheetId="11" hidden="1">'MV Transformers'!$A$4:$AC$14</definedName>
    <definedName name="_xlnm._FilterDatabase" localSheetId="7" hidden="1">'Owners Eng'!$A$4:$AC$11</definedName>
    <definedName name="_xlnm._FilterDatabase" localSheetId="15" hidden="1">Software!$A$4:$AC$16</definedName>
    <definedName name="_xlnm._FilterDatabase" localSheetId="17" hidden="1">Sources!$A$1:$D$323</definedName>
    <definedName name="_xlnm._FilterDatabase" localSheetId="4" hidden="1">'Structural Eng'!$A$4:$AC$10</definedName>
    <definedName name="lst_fin">Lists!$C$2:$C$5</definedName>
    <definedName name="lst_rfx">Lists!$B$2:$B$9</definedName>
    <definedName name="lst_scr">Lists!$D$2:$D$6</definedName>
    <definedName name="lst_status">Lists!$A$2:$A$7</definedName>
    <definedName name="lst_ver">Lists!$E$2:$E$3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9" i="2" l="1"/>
  <c r="F19" i="2"/>
  <c r="M18" i="2"/>
  <c r="L18" i="2"/>
  <c r="K18" i="2"/>
  <c r="J18" i="2"/>
  <c r="I18" i="2"/>
  <c r="H18" i="2"/>
  <c r="G18" i="2"/>
  <c r="F18" i="2"/>
  <c r="E18" i="2"/>
  <c r="D18" i="2"/>
  <c r="C18" i="2"/>
  <c r="B18" i="2"/>
  <c r="M17" i="2"/>
  <c r="L17" i="2"/>
  <c r="K17" i="2"/>
  <c r="J17" i="2"/>
  <c r="I17" i="2"/>
  <c r="H17" i="2"/>
  <c r="G17" i="2"/>
  <c r="F17" i="2"/>
  <c r="E17" i="2"/>
  <c r="D17" i="2"/>
  <c r="C17" i="2"/>
  <c r="B17" i="2"/>
  <c r="M16" i="2"/>
  <c r="L16" i="2"/>
  <c r="K16" i="2"/>
  <c r="J16" i="2"/>
  <c r="I16" i="2"/>
  <c r="H16" i="2"/>
  <c r="G16" i="2"/>
  <c r="F16" i="2"/>
  <c r="E16" i="2"/>
  <c r="D16" i="2"/>
  <c r="C16" i="2"/>
  <c r="B16" i="2"/>
  <c r="M15" i="2"/>
  <c r="L15" i="2"/>
  <c r="K15" i="2"/>
  <c r="J15" i="2"/>
  <c r="I15" i="2"/>
  <c r="H15" i="2"/>
  <c r="G15" i="2"/>
  <c r="F15" i="2"/>
  <c r="E15" i="2"/>
  <c r="D15" i="2"/>
  <c r="C15" i="2"/>
  <c r="B15" i="2"/>
  <c r="M14" i="2"/>
  <c r="L14" i="2"/>
  <c r="K14" i="2"/>
  <c r="J14" i="2"/>
  <c r="I14" i="2"/>
  <c r="H14" i="2"/>
  <c r="G14" i="2"/>
  <c r="F14" i="2"/>
  <c r="E14" i="2"/>
  <c r="D14" i="2"/>
  <c r="C14" i="2"/>
  <c r="B14" i="2"/>
  <c r="M13" i="2"/>
  <c r="L13" i="2"/>
  <c r="K13" i="2"/>
  <c r="J13" i="2"/>
  <c r="I13" i="2"/>
  <c r="H13" i="2"/>
  <c r="G13" i="2"/>
  <c r="F13" i="2"/>
  <c r="E13" i="2"/>
  <c r="D13" i="2"/>
  <c r="C13" i="2"/>
  <c r="B13" i="2"/>
  <c r="M12" i="2"/>
  <c r="L12" i="2"/>
  <c r="K12" i="2"/>
  <c r="J12" i="2"/>
  <c r="I12" i="2"/>
  <c r="H12" i="2"/>
  <c r="G12" i="2"/>
  <c r="F12" i="2"/>
  <c r="E12" i="2"/>
  <c r="D12" i="2"/>
  <c r="C12" i="2"/>
  <c r="B12" i="2"/>
  <c r="M11" i="2"/>
  <c r="L11" i="2"/>
  <c r="K11" i="2"/>
  <c r="J11" i="2"/>
  <c r="I11" i="2"/>
  <c r="H11" i="2"/>
  <c r="G11" i="2"/>
  <c r="F11" i="2"/>
  <c r="E11" i="2"/>
  <c r="D11" i="2"/>
  <c r="C11" i="2"/>
  <c r="B11" i="2"/>
  <c r="M10" i="2"/>
  <c r="L10" i="2"/>
  <c r="K10" i="2"/>
  <c r="J10" i="2"/>
  <c r="I10" i="2"/>
  <c r="H10" i="2"/>
  <c r="G10" i="2"/>
  <c r="F10" i="2"/>
  <c r="E10" i="2"/>
  <c r="D10" i="2"/>
  <c r="C10" i="2"/>
  <c r="B10" i="2"/>
  <c r="M9" i="2"/>
  <c r="L9" i="2"/>
  <c r="K9" i="2"/>
  <c r="J9" i="2"/>
  <c r="I9" i="2"/>
  <c r="H9" i="2"/>
  <c r="G9" i="2"/>
  <c r="F9" i="2"/>
  <c r="E9" i="2"/>
  <c r="D9" i="2"/>
  <c r="C9" i="2"/>
  <c r="B9" i="2"/>
  <c r="M8" i="2"/>
  <c r="L8" i="2"/>
  <c r="K8" i="2"/>
  <c r="J8" i="2"/>
  <c r="I8" i="2"/>
  <c r="H8" i="2"/>
  <c r="G8" i="2"/>
  <c r="F8" i="2"/>
  <c r="E8" i="2"/>
  <c r="D8" i="2"/>
  <c r="C8" i="2"/>
  <c r="B8" i="2"/>
  <c r="M7" i="2"/>
  <c r="L7" i="2"/>
  <c r="K7" i="2"/>
  <c r="J7" i="2"/>
  <c r="I7" i="2"/>
  <c r="H7" i="2"/>
  <c r="G7" i="2"/>
  <c r="F7" i="2"/>
  <c r="E7" i="2"/>
  <c r="D7" i="2"/>
  <c r="C7" i="2"/>
  <c r="B7" i="2"/>
  <c r="M6" i="2"/>
  <c r="L6" i="2"/>
  <c r="K6" i="2"/>
  <c r="J6" i="2"/>
  <c r="I6" i="2"/>
  <c r="H6" i="2"/>
  <c r="G6" i="2"/>
  <c r="F6" i="2"/>
  <c r="E6" i="2"/>
  <c r="D6" i="2"/>
  <c r="C6" i="2"/>
  <c r="B6" i="2"/>
  <c r="M5" i="2"/>
  <c r="M19" i="2" s="1"/>
  <c r="L5" i="2"/>
  <c r="K5" i="2"/>
  <c r="K19" i="2" s="1"/>
  <c r="J5" i="2"/>
  <c r="J19" i="2" s="1"/>
  <c r="I5" i="2"/>
  <c r="H5" i="2"/>
  <c r="H19" i="2" s="1"/>
  <c r="G5" i="2"/>
  <c r="G19" i="2" s="1"/>
  <c r="F5" i="2"/>
  <c r="E5" i="2"/>
  <c r="E19" i="2" s="1"/>
  <c r="D5" i="2"/>
  <c r="D19" i="2" s="1"/>
  <c r="C5" i="2"/>
  <c r="C19" i="2" s="1"/>
  <c r="B5" i="2"/>
  <c r="B19" i="2" s="1"/>
  <c r="L1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200-000001000000}">
      <text>
        <r>
          <rPr>
            <sz val="10"/>
            <rFont val="Arial"/>
            <family val="2"/>
          </rPr>
          <t>Default 'Not Assessed'. Rate only after reviewing financial statements, credit reports, or lender acceptance.</t>
        </r>
      </text>
    </comment>
    <comment ref="W4" authorId="0" shapeId="0" xr:uid="{00000000-0006-0000-02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300-000001000000}">
      <text>
        <r>
          <rPr>
            <sz val="10"/>
            <rFont val="Arial"/>
            <family val="2"/>
          </rPr>
          <t>Default 'Not Assessed'. Rate only after reviewing financial statements, credit reports, or lender acceptance.</t>
        </r>
      </text>
    </comment>
    <comment ref="W4" authorId="0" shapeId="0" xr:uid="{00000000-0006-0000-03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400-000001000000}">
      <text>
        <r>
          <rPr>
            <sz val="10"/>
            <rFont val="Arial"/>
            <family val="2"/>
          </rPr>
          <t>Default 'Not Assessed'. Rate only after reviewing financial statements, credit reports, or lender acceptance.</t>
        </r>
      </text>
    </comment>
    <comment ref="W4" authorId="0" shapeId="0" xr:uid="{00000000-0006-0000-04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500-000001000000}">
      <text>
        <r>
          <rPr>
            <sz val="10"/>
            <rFont val="Arial"/>
            <family val="2"/>
          </rPr>
          <t>Default 'Not Assessed'. Rate only after reviewing financial statements, credit reports, or lender acceptance.</t>
        </r>
      </text>
    </comment>
    <comment ref="W4" authorId="0" shapeId="0" xr:uid="{00000000-0006-0000-05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600-000001000000}">
      <text>
        <r>
          <rPr>
            <sz val="10"/>
            <rFont val="Arial"/>
            <family val="2"/>
          </rPr>
          <t>Default 'Not Assessed'. Rate only after reviewing financial statements, credit reports, or lender acceptance.</t>
        </r>
      </text>
    </comment>
    <comment ref="W4" authorId="0" shapeId="0" xr:uid="{00000000-0006-0000-06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700-000001000000}">
      <text>
        <r>
          <rPr>
            <sz val="10"/>
            <rFont val="Arial"/>
            <family val="2"/>
          </rPr>
          <t>Default 'Not Assessed'. Rate only after reviewing financial statements, credit reports, or lender acceptance.</t>
        </r>
      </text>
    </comment>
    <comment ref="W4" authorId="0" shapeId="0" xr:uid="{00000000-0006-0000-07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800-000001000000}">
      <text>
        <r>
          <rPr>
            <sz val="10"/>
            <rFont val="Arial"/>
            <family val="2"/>
          </rPr>
          <t>Default 'Not Assessed'. Rate only after reviewing financial statements, credit reports, or lender acceptance.</t>
        </r>
      </text>
    </comment>
    <comment ref="W4" authorId="0" shapeId="0" xr:uid="{00000000-0006-0000-08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900-000001000000}">
      <text>
        <r>
          <rPr>
            <sz val="10"/>
            <rFont val="Arial"/>
            <family val="2"/>
          </rPr>
          <t>Default 'Not Assessed'. Rate only after reviewing financial statements, credit reports, or lender acceptance.</t>
        </r>
      </text>
    </comment>
    <comment ref="W4" authorId="0" shapeId="0" xr:uid="{00000000-0006-0000-09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A00-000001000000}">
      <text>
        <r>
          <rPr>
            <sz val="10"/>
            <rFont val="Arial"/>
            <family val="2"/>
          </rPr>
          <t>Default 'Not Assessed'. Rate only after reviewing financial statements, credit reports, or lender acceptance.</t>
        </r>
      </text>
    </comment>
    <comment ref="W4" authorId="0" shapeId="0" xr:uid="{00000000-0006-0000-0A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B00-000001000000}">
      <text>
        <r>
          <rPr>
            <sz val="10"/>
            <rFont val="Arial"/>
            <family val="2"/>
          </rPr>
          <t>Default 'Not Assessed'. Rate only after reviewing financial statements, credit reports, or lender acceptance.</t>
        </r>
      </text>
    </comment>
    <comment ref="W4" authorId="0" shapeId="0" xr:uid="{00000000-0006-0000-0B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C00-000001000000}">
      <text>
        <r>
          <rPr>
            <sz val="10"/>
            <rFont val="Arial"/>
            <family val="2"/>
          </rPr>
          <t>Default 'Not Assessed'. Rate only after reviewing financial statements, credit reports, or lender acceptance.</t>
        </r>
      </text>
    </comment>
    <comment ref="W4" authorId="0" shapeId="0" xr:uid="{00000000-0006-0000-0C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D00-000001000000}">
      <text>
        <r>
          <rPr>
            <sz val="10"/>
            <rFont val="Arial"/>
            <family val="2"/>
          </rPr>
          <t>Default 'Not Assessed'. Rate only after reviewing financial statements, credit reports, or lender acceptance.</t>
        </r>
      </text>
    </comment>
    <comment ref="W4" authorId="0" shapeId="0" xr:uid="{00000000-0006-0000-0D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E00-000001000000}">
      <text>
        <r>
          <rPr>
            <sz val="10"/>
            <rFont val="Arial"/>
            <family val="2"/>
          </rPr>
          <t>Default 'Not Assessed'. Rate only after reviewing financial statements, credit reports, or lender acceptance.</t>
        </r>
      </text>
    </comment>
    <comment ref="W4" authorId="0" shapeId="0" xr:uid="{00000000-0006-0000-0E00-000002000000}">
      <text>
        <r>
          <rPr>
            <sz val="10"/>
            <rFont val="Arial"/>
            <family val="2"/>
          </rPr>
          <t>FEOC Review = sources mention foreign-entity-of-concern / Chinese-parent or China-origin cell exposure. Flag only; not a determination. Confirm with counsel/tax advisor.</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T4" authorId="0" shapeId="0" xr:uid="{00000000-0006-0000-0F00-000001000000}">
      <text>
        <r>
          <rPr>
            <sz val="10"/>
            <rFont val="Arial"/>
            <family val="2"/>
          </rPr>
          <t>Default 'Not Assessed'. Rate only after reviewing financial statements, credit reports, or lender acceptance.</t>
        </r>
      </text>
    </comment>
    <comment ref="W4" authorId="0" shapeId="0" xr:uid="{00000000-0006-0000-0F00-000002000000}">
      <text>
        <r>
          <rPr>
            <sz val="10"/>
            <rFont val="Arial"/>
            <family val="2"/>
          </rPr>
          <t>FEOC Review = sources mention foreign-entity-of-concern / Chinese-parent or China-origin cell exposure. Flag only; not a determination. Confirm with counsel/tax advisor.</t>
        </r>
      </text>
    </comment>
  </commentList>
</comments>
</file>

<file path=xl/sharedStrings.xml><?xml version="1.0" encoding="utf-8"?>
<sst xmlns="http://schemas.openxmlformats.org/spreadsheetml/2006/main" count="3854" uniqueCount="1305">
  <si>
    <t>Vendor Landscape Tracker</t>
  </si>
  <si>
    <t>Agentic — Procurement | v01 | 2026-10-05 | Owner: Jason Knedlhans | Classification: Internal</t>
  </si>
  <si>
    <t>PURPOSE</t>
  </si>
  <si>
    <t>What</t>
  </si>
  <si>
    <t>Landscape of candidate vendors for each Agentic procurement scope; feeds prequalification, RFI/RFP/RFQ invitations and the AVL (Objectives 1 and 4).</t>
  </si>
  <si>
    <t>Structure</t>
  </si>
  <si>
    <t>Dashboard (live counts) → 14 vendor tabs (one per scope) → Lists (dropdown values) → Sources (all URLs used to seed).</t>
  </si>
  <si>
    <t>HOW TO USE</t>
  </si>
  <si>
    <t>Add a vendor</t>
  </si>
  <si>
    <t>Type in the next empty row of the right tab. Use the next Vendor ID (e.g., ENV-009). Dashboard updates automatically.</t>
  </si>
  <si>
    <t>Yellow columns</t>
  </si>
  <si>
    <t>Enter from direct vendor contact: Primary Contact Name/Title/Email/Phone, Last Contact Date, Next Action, Next Action Due.</t>
  </si>
  <si>
    <t>Dropdowns</t>
  </si>
  <si>
    <t>Qualification Status, Last RFx Stage, Financial Strength, Supply Chain Risk, Data Verified?. Edit options on the Lists tab only.</t>
  </si>
  <si>
    <t>Verify before use</t>
  </si>
  <si>
    <t>Set 'Data Verified?' to 'Yes - Verified' once HQ, contact and ownership are confirmed with the vendor.</t>
  </si>
  <si>
    <t>Overdue</t>
  </si>
  <si>
    <t>Next Action Due turns red when past today.</t>
  </si>
  <si>
    <t>QUALIFICATION STATUS (per CONTEXT.md process)</t>
  </si>
  <si>
    <t>Discovery</t>
  </si>
  <si>
    <t>Identified in market scan; no contact yet. All seeded vendors start here.</t>
  </si>
  <si>
    <t>Prequalified</t>
  </si>
  <si>
    <t>Passed prequalification (as part of or before RFI).</t>
  </si>
  <si>
    <t>Qualified</t>
  </si>
  <si>
    <t>Passed qualification (as part of RFP).</t>
  </si>
  <si>
    <t>AVL</t>
  </si>
  <si>
    <t>On Approved Vendor List; eligible for RFQ.</t>
  </si>
  <si>
    <t>On Hold</t>
  </si>
  <si>
    <t>Paused (capacity, pending M&amp;A, info outstanding).</t>
  </si>
  <si>
    <t>Disqualified</t>
  </si>
  <si>
    <t>Failed a gate or excluded; record reason in Notes.</t>
  </si>
  <si>
    <t>ADDITIONAL TRACKED ITEMS (selected 2026-10-05)</t>
  </si>
  <si>
    <t>Financial Strength / Bankability</t>
  </si>
  <si>
    <t>Ownership/parent, financial notes (M&amp;A, listings, scale), and a rating (Strong / Adequate / Weak / Not Assessed). Why: counterparty, warranty and lender-acceptance risk on long-lead, high-value scopes.</t>
  </si>
  <si>
    <t>Supply Chain / Origin Risk</t>
  </si>
  <si>
    <t>Manufacturing/cell origin or staff/delivery origin, plus a risk flag. Why: FEOC rules, tariffs and lead-time exposure, esp. BESS and transformers.</t>
  </si>
  <si>
    <t>SEEDED DATA — LIMITS AND RISKS</t>
  </si>
  <si>
    <t>Status</t>
  </si>
  <si>
    <t>Seeded by AI web research on 2026-10-05. Every seeded row is 'Discovery' and 'No - AI seeded'. Not confirmed market data.</t>
  </si>
  <si>
    <t>Contacts</t>
  </si>
  <si>
    <t>Only main phone numbers/contact pages published on official pages were entered. No individual contacts were added; blanks mean not confirmed.</t>
  </si>
  <si>
    <t>Financial Strength</t>
  </si>
  <si>
    <t>All set to 'Not Assessed'. AI did not rate financial strength; ratings need statements, credit reports or lender acceptance.</t>
  </si>
  <si>
    <t>FEOC Review flag</t>
  </si>
  <si>
    <t>Set where sources mention Chinese-parent or China-origin cell exposure. It is a review flag, not a legal determination; confirm with counsel/tax advisor.</t>
  </si>
  <si>
    <t>Pending M&amp;A (as of 2026-10-05)</t>
  </si>
  <si>
    <t>Bowman (Bernhard Capital, pending), Jensen Hughes (New Mountain Capital, expected Q4 2026), PCI Energy Solutions (Mitsubishi Electric, pending), Enverus (Blackstone; close not confirmed). Re-check before RFx.</t>
  </si>
  <si>
    <t>Common ownership</t>
  </si>
  <si>
    <t>WSP owns POWER Engineers and TRC; MasTec owns former IEA/Wanzek/White. Treat as related bidders when assessing competition.</t>
  </si>
  <si>
    <t>Thin markets</t>
  </si>
  <si>
    <t>HV Breakers: ~5 suppliers with current 345 kV offerings (HD Hyundai listed as watchlist). Expect long lead times; engage early.</t>
  </si>
  <si>
    <t>Duplicates</t>
  </si>
  <si>
    <t>Some firms sit on several tabs by design (one row per scope). Keep contact data consistent across tabs.</t>
  </si>
  <si>
    <t>Software scope</t>
  </si>
  <si>
    <t>Assumed: ERCOT QSE/bidding, BESS EMS/optimization, asset performance, market data. Adjust if procurement/ERP software was intended.</t>
  </si>
  <si>
    <t>Legend</t>
  </si>
  <si>
    <t>Enter from vendor</t>
  </si>
  <si>
    <t>Yellow fill = user-entered fields</t>
  </si>
  <si>
    <t>Vendor</t>
  </si>
  <si>
    <t>Column group band on vendor tabs</t>
  </si>
  <si>
    <t>HQ Location</t>
  </si>
  <si>
    <t>Contact Information</t>
  </si>
  <si>
    <t>Qualification</t>
  </si>
  <si>
    <t>Tracking</t>
  </si>
  <si>
    <t>Vendor Landscape — Dashboard</t>
  </si>
  <si>
    <t>All figures are live formulas over the vendor tabs.</t>
  </si>
  <si>
    <t>Vendor Tab</t>
  </si>
  <si>
    <t>Total</t>
  </si>
  <si>
    <t>FEOC Review</t>
  </si>
  <si>
    <t>High SC Risk</t>
  </si>
  <si>
    <t>Fin. Not Assessed</t>
  </si>
  <si>
    <t>Overdue Actions</t>
  </si>
  <si>
    <t>Unverified</t>
  </si>
  <si>
    <t>Env Eng</t>
  </si>
  <si>
    <t>Civil Eng</t>
  </si>
  <si>
    <t>Structural Eng</t>
  </si>
  <si>
    <t>Electrical Eng</t>
  </si>
  <si>
    <t>Fire Eng</t>
  </si>
  <si>
    <t>Owners Eng</t>
  </si>
  <si>
    <t>Eng of Record</t>
  </si>
  <si>
    <t>Independent Eng</t>
  </si>
  <si>
    <t>BESS Equipment</t>
  </si>
  <si>
    <t>MV Transformers</t>
  </si>
  <si>
    <t>HV Breakers</t>
  </si>
  <si>
    <t>MV Breakers</t>
  </si>
  <si>
    <t>EPC</t>
  </si>
  <si>
    <t>Software</t>
  </si>
  <si>
    <t>Total (vendor-tab entries)</t>
  </si>
  <si>
    <t>Note: some firms appear on several tabs (e.g., Burns &amp; McDonnell, Sargent &amp; Lundy, DNV), so totals count tab entries, not unique companies.</t>
  </si>
  <si>
    <t>Environmental engineering consultants — Vendor Landscape</t>
  </si>
  <si>
    <t>Seeded 2026-10-05 from public sources (Discovery stage, unverified). Yellow columns = enter from vendor contact. Confirm all data before use; see Read Me.</t>
  </si>
  <si>
    <t>Vendor ID</t>
  </si>
  <si>
    <t>Vendor Name</t>
  </si>
  <si>
    <t>Environmental Services</t>
  </si>
  <si>
    <t>HQ City</t>
  </si>
  <si>
    <t>HQ State / Prov</t>
  </si>
  <si>
    <t>HQ Country</t>
  </si>
  <si>
    <t>US HQ (if foreign)</t>
  </si>
  <si>
    <t>Texas Presence</t>
  </si>
  <si>
    <t>Website</t>
  </si>
  <si>
    <t>Main Phone</t>
  </si>
  <si>
    <t>Contact Page</t>
  </si>
  <si>
    <t>Primary Contact Name</t>
  </si>
  <si>
    <t>Contact Title</t>
  </si>
  <si>
    <t>Contact Email</t>
  </si>
  <si>
    <t>Contact Phone</t>
  </si>
  <si>
    <t>Qualification Status</t>
  </si>
  <si>
    <t>Status Date</t>
  </si>
  <si>
    <t>Last RFx Stage</t>
  </si>
  <si>
    <t>Ownership / Parent</t>
  </si>
  <si>
    <t>Financial / Bankability Notes</t>
  </si>
  <si>
    <t>Staff / Delivery Origin</t>
  </si>
  <si>
    <t>Supply Chain Risk</t>
  </si>
  <si>
    <t>Last Contact Date</t>
  </si>
  <si>
    <t>Next Action</t>
  </si>
  <si>
    <t>Next Action Due</t>
  </si>
  <si>
    <t>Notes</t>
  </si>
  <si>
    <t>Data Verified?</t>
  </si>
  <si>
    <t>Primary Source</t>
  </si>
  <si>
    <t>ENV-001</t>
  </si>
  <si>
    <t>ERM (Environmental Resources Management)</t>
  </si>
  <si>
    <t>Environmental, health, safety, risk and social consulting; permitting/impact assessment and sustainability services for energy projects</t>
  </si>
  <si>
    <t>London</t>
  </si>
  <si>
    <t>United Kingdom</t>
  </si>
  <si>
    <t>https://www.erm.com/</t>
  </si>
  <si>
    <t>https://www.erm.com/contact-us/</t>
  </si>
  <si>
    <t>None</t>
  </si>
  <si>
    <t>PE-backed: KKR majority stake (acquired May 2021, ~US$2.7B valuation); ERM partners hold minority</t>
  </si>
  <si>
    <t>Not Assessed</t>
  </si>
  <si>
    <t>~8,000 employees, 140+ offices in 40+ countries; revenue US$1.32B (2023); June 2024 agreed to acquire energy-transition advisory Energetics</t>
  </si>
  <si>
    <t>Global firm; US offices exist but Texas office locations not confirmed (locations page blocked)</t>
  </si>
  <si>
    <t>No - AI seeded</t>
  </si>
  <si>
    <t>https://en.wikipedia.org/wiki/ERM_(consultancy)</t>
  </si>
  <si>
    <t>ENV-002</t>
  </si>
  <si>
    <t>Tetra Tech, Inc.</t>
  </si>
  <si>
    <t>Environmental consulting and engineering (water, environment, energy); permitting, site assessment, natural/cultural resources</t>
  </si>
  <si>
    <t>Pasadena</t>
  </si>
  <si>
    <t>CA</t>
  </si>
  <si>
    <t>USA</t>
  </si>
  <si>
    <t>https://www.tetratech.com/</t>
  </si>
  <si>
    <t>+1 (626) 351-4664</t>
  </si>
  <si>
    <t>https://www.tetratech.com/contact/</t>
  </si>
  <si>
    <t>Public (NASDAQ: TTEK)</t>
  </si>
  <si>
    <t>~28,000 employees (Oct 2024); 550 locations globally; acquired LS Technologies (Feb 2024) and Convergence Controls &amp; Engineering (May 2024)</t>
  </si>
  <si>
    <t>US-based; site states offices in every US state (Texas cities not listed on fetched pages)</t>
  </si>
  <si>
    <t>ENV-003</t>
  </si>
  <si>
    <t>Stantec Inc.</t>
  </si>
  <si>
    <t>Environmental consulting and engineering; environmental permitting and studies for energy/infrastructure projects</t>
  </si>
  <si>
    <t>Edmonton</t>
  </si>
  <si>
    <t>AB</t>
  </si>
  <si>
    <t>Canada</t>
  </si>
  <si>
    <t>Austin; Dallas; Houston; San Antonio</t>
  </si>
  <si>
    <t>https://www.stantec.com/en</t>
  </si>
  <si>
    <t>Public (TSX/NYSE: STN)</t>
  </si>
  <si>
    <t>~30,000 employees (2024); acquired Page (architecture, Aug 2025)</t>
  </si>
  <si>
    <t>Texas offices confirmed via stantec.com office pages (Houston 1100 Louisiana St; Barkers Landing; Dallas Main St; Austin Aldrich St/6th St; San Antonio)</t>
  </si>
  <si>
    <t>https://en.wikipedia.org/wiki/Stantec</t>
  </si>
  <si>
    <t>ENV-004</t>
  </si>
  <si>
    <t>WSP Global Inc. (WSP USA)</t>
  </si>
  <si>
    <t>Environmental, engineering and permitting consulting; power &amp; energy platform (incl. POWER Engineers and TRC)</t>
  </si>
  <si>
    <t>Montreal</t>
  </si>
  <si>
    <t>QC</t>
  </si>
  <si>
    <t>Austin; Corpus Christi; Dallas; El Paso; Fort Worth; Houston; San Antonio; Spring; Tyler; Victoria</t>
  </si>
  <si>
    <t>https://www.wsp.com/en-us</t>
  </si>
  <si>
    <t>https://www.wsp.com/en-us/contact-us</t>
  </si>
  <si>
    <t>Public (TSX: WSP)</t>
  </si>
  <si>
    <t>~83,000 employees (Feb 2026); revenue C$16.17B (2024); acquired POWER Engineers (closed Oct 1 2024, US$1.78B), Ricardo (Jun 2025), TRC (closed Feb 24 2026, ~$3.3B); abandoned Arcadis bid Sep 2026</t>
  </si>
  <si>
    <t>US operations led from New York (One Penn Plaza) per office listing</t>
  </si>
  <si>
    <t>https://en.wikipedia.org/wiki/WSP_Global</t>
  </si>
  <si>
    <t>ENV-005</t>
  </si>
  <si>
    <t>Terracon Consultants, Inc.</t>
  </si>
  <si>
    <t>Environmental site assessment (Phase I/II ESA), geotechnical, materials testing and facilities consulting</t>
  </si>
  <si>
    <t>Olathe</t>
  </si>
  <si>
    <t>KS</t>
  </si>
  <si>
    <t>Austin; Houston; San Antonio; Frisco; DFW Metro</t>
  </si>
  <si>
    <t>https://www.terracon.com/</t>
  </si>
  <si>
    <t>(800) 593-7777</t>
  </si>
  <si>
    <t>https://www.terracon.com/contact/</t>
  </si>
  <si>
    <t>Private, 100% employee-owned</t>
  </si>
  <si>
    <t>6,000+ employees, 200+ locations; ENR Top 500 Design Firms #18 (2024); founded 1965</t>
  </si>
  <si>
    <t>US-based staff; national office network</t>
  </si>
  <si>
    <t>ENV-006</t>
  </si>
  <si>
    <t>SWCA Environmental Consultants</t>
  </si>
  <si>
    <t>Environmental planning/permitting, natural &amp; cultural resources, renewable energy environmental services</t>
  </si>
  <si>
    <t>Phoenix</t>
  </si>
  <si>
    <t>AZ</t>
  </si>
  <si>
    <t>Arlington; Austin; Houston; San Antonio</t>
  </si>
  <si>
    <t>https://www.swca.com/</t>
  </si>
  <si>
    <t>602-274-3831</t>
  </si>
  <si>
    <t>https://www.swca.com/contact/</t>
  </si>
  <si>
    <t>Private, 100% employee-owned (ESOP since 2000)</t>
  </si>
  <si>
    <t>1,700+ employees, 46 US offices; ENR Top 500 Design Firms #93 (2026); founded 1980 in Flagstaff</t>
  </si>
  <si>
    <t>US-based staff; Phoenix office is corporate HQ and focuses on renewable energy, environmental planning, cultural resources</t>
  </si>
  <si>
    <t>https://www.swca.com/contact</t>
  </si>
  <si>
    <t>ENV-007</t>
  </si>
  <si>
    <t>Westwood Professional Services</t>
  </si>
  <si>
    <t>Renewable/BESS development support incl. environmental permitting, survey, and design of standalone and hybrid battery storage</t>
  </si>
  <si>
    <t>Plano</t>
  </si>
  <si>
    <t>TX</t>
  </si>
  <si>
    <t>Plano (HQ); Austin; Celina; Dallas; Farmers Branch; Fort Worth; Frisco; Houston; San Antonio; Victoria</t>
  </si>
  <si>
    <t>https://westwoodps.com/</t>
  </si>
  <si>
    <t>214-473-4640 (HQ); 1-888-937-5150 (toll-free)</t>
  </si>
  <si>
    <t>https://westwoodps.com/contact-us</t>
  </si>
  <si>
    <t>PE-backed: Blackstone (Energy Transition Partners) majority since Aug 2024; management/employees retain minority (prior owner Endurance Partners)</t>
  </si>
  <si>
    <t>1,600+ employees (2024); HQ relocated from Minneapolis to Plano, TX late 2023; founded 1971</t>
  </si>
  <si>
    <t>US-based staff; strong Texas presence</t>
  </si>
  <si>
    <t>https://westwoodps.com/about-us/offices</t>
  </si>
  <si>
    <t>ENV-008</t>
  </si>
  <si>
    <t>HDR, Inc.</t>
  </si>
  <si>
    <t>Engineering, environmental and architecture consulting incl. environmental planning for infrastructure/energy</t>
  </si>
  <si>
    <t>Omaha</t>
  </si>
  <si>
    <t>NE</t>
  </si>
  <si>
    <t>Austin; Dallas; Houston; San Antonio; El Paso; Spring Branch</t>
  </si>
  <si>
    <t>https://www.hdrinc.com/</t>
  </si>
  <si>
    <t>(402) 399-1000</t>
  </si>
  <si>
    <t>https://www.hdrinc.com/contact-us</t>
  </si>
  <si>
    <t>Private, employee-owned</t>
  </si>
  <si>
    <t>12,000+ employees; revenue $2.8B (2022); ENR #6 design firm (2023)</t>
  </si>
  <si>
    <t>US-based staff</t>
  </si>
  <si>
    <t>Civil engineering consultants — Vendor Landscape</t>
  </si>
  <si>
    <t>Civil Services</t>
  </si>
  <si>
    <t>CIV-001</t>
  </si>
  <si>
    <t>Kimley-Horn and Associates, Inc.</t>
  </si>
  <si>
    <t>Site civil, grading/drainage, roads and planning/design; energy and infrastructure site development</t>
  </si>
  <si>
    <t>Raleigh</t>
  </si>
  <si>
    <t>NC</t>
  </si>
  <si>
    <t>Austin; Bryan/College Station; Celina; Childress; Dallas; Denton; Fort Worth; Frisco; Georgetown; Houston; Irving; Lubbock; McKinney; Pearland; Richardson; San Antonio; San Marcos; Sherman; Terrell; The Woodlands; Tyler; Weatherford</t>
  </si>
  <si>
    <t>https://www.kimley-horn.com/</t>
  </si>
  <si>
    <t>https://www.kimley-horn.com/contact/</t>
  </si>
  <si>
    <t>Private</t>
  </si>
  <si>
    <t>11,000+ employees (2026); revenue $2.8B (2025); ENR Top 500 Design Firms #8 (2025)</t>
  </si>
  <si>
    <t>US-based staff; 170+ US locations</t>
  </si>
  <si>
    <t>https://en.wikipedia.org/wiki/Kimley-Horn</t>
  </si>
  <si>
    <t>CIV-002</t>
  </si>
  <si>
    <t>Civil/site design, survey, and permitting for utility-scale solar, wind and BESS; power delivery</t>
  </si>
  <si>
    <t>PE-backed: Blackstone majority since Aug 2024</t>
  </si>
  <si>
    <t>1,600+ employees (2024); HQ moved to Plano, TX late 2023</t>
  </si>
  <si>
    <t>CIV-003</t>
  </si>
  <si>
    <t>Halff Associates, Inc.</t>
  </si>
  <si>
    <t>Infrastructure consulting: site civil, drainage/water resources, survey, transportation</t>
  </si>
  <si>
    <t>Richardson</t>
  </si>
  <si>
    <t>Richardson (HQ); Austin; Brownsville; Corpus Christi; Dallas; Fort Worth; Frisco; Houston; Lubbock; McAllen; Midland; San Antonio; The Woodlands; Tyler</t>
  </si>
  <si>
    <t>https://www.halff.com/</t>
  </si>
  <si>
    <t>https://www.halff.com/contact/</t>
  </si>
  <si>
    <t>30+ offices in AR, FL, LA, OK, TX; Nov 2024 announced HQ move to 2380 Performance Dr, Richardson (80,000 sf); founded ~1950</t>
  </si>
  <si>
    <t>US-based staff; Texas-headquartered</t>
  </si>
  <si>
    <t>CIV-004</t>
  </si>
  <si>
    <t>Pape-Dawson Engineers</t>
  </si>
  <si>
    <t>Civil engineering, survey, permitting; substation/switchyard civil design (170+ substations) and wind/solar civil</t>
  </si>
  <si>
    <t>San Antonio</t>
  </si>
  <si>
    <t>San Antonio (HQ); Amarillo; Austin; Corpus Christi; Dallas; Fort Worth; Houston; Longview; Lufkin; McKinney; Nacogdoches; New Braunfels; The Woodlands; Tyler</t>
  </si>
  <si>
    <t>https://www.pape-dawson.com/</t>
  </si>
  <si>
    <t>210-375-9000</t>
  </si>
  <si>
    <t>https://www.pape-dawson.com/contact</t>
  </si>
  <si>
    <t>Private; Dawson family/management majority with growth capital from Palm Beach Capital (Apr 2023)</t>
  </si>
  <si>
    <t>Serial acquirer (e.g., BHC, KSA Engineers, Poulos &amp; Bennett, GradyMinor); offices in TX, FL, GA, TN, KS, OK, LA, AL, AZ, KY</t>
  </si>
  <si>
    <t>CIV-005</t>
  </si>
  <si>
    <t>Bowman Consulting Group Ltd.</t>
  </si>
  <si>
    <t>Infrastructure design, civil engineering, survey, environmental; energy design incl. battery storage</t>
  </si>
  <si>
    <t>Reston</t>
  </si>
  <si>
    <t>VA</t>
  </si>
  <si>
    <t>Austin; Arlington; Dallas (Plano); Houston; Marshall; Midland; San Antonio; San Marcos; Waco</t>
  </si>
  <si>
    <t>https://bowman.com/</t>
  </si>
  <si>
    <t>(703) 464-1000</t>
  </si>
  <si>
    <t>https://bowman.com/contact</t>
  </si>
  <si>
    <t>Public (NASDAQ: BWMN) - pending take-private by Bernhard Capital Partners</t>
  </si>
  <si>
    <t>2,500+ employees; Aug 10 2026 agreed to be acquired by Bernhard Capital Partners at $43.00/sh (~$1.0B EV), expected close Q4 2026/Q1 2027; 42 acquisitions since 2021 IPO</t>
  </si>
  <si>
    <t>US-based staff; offices in 34+ states</t>
  </si>
  <si>
    <t>https://investors.bowman.com/</t>
  </si>
  <si>
    <t>CIV-006</t>
  </si>
  <si>
    <t>Geotechnical engineering, materials testing and construction QA for site/foundation design</t>
  </si>
  <si>
    <t>6,000+ employees, 200+ locations; ENR #18 (2024)</t>
  </si>
  <si>
    <t>CIV-007</t>
  </si>
  <si>
    <t>Burns &amp; McDonnell</t>
  </si>
  <si>
    <t>Engineering/EPC incl. site civil for power generation, substations and transmission</t>
  </si>
  <si>
    <t>Kansas City</t>
  </si>
  <si>
    <t>MO</t>
  </si>
  <si>
    <t>Amarillo; Austin; Dallas-Fort Worth; Houston; Pearland; San Antonio</t>
  </si>
  <si>
    <t>https://www.burnsmcd.com/</t>
  </si>
  <si>
    <t>https://info.burnsmcd.com/contact-us</t>
  </si>
  <si>
    <t>Private, 100% employee-owned (ESOP)</t>
  </si>
  <si>
    <t>13,500+ employees (2023); revenue US$6.9B (2023); ENR Top 500 #7; 75+ offices</t>
  </si>
  <si>
    <t>US-based staff; Houston office 1700 West Loop South</t>
  </si>
  <si>
    <t>https://en.wikipedia.org/wiki/Burns_%26_McDonnell</t>
  </si>
  <si>
    <t>Structural engineering consultants — Vendor Landscape</t>
  </si>
  <si>
    <t>Structural Services</t>
  </si>
  <si>
    <t>STR-001</t>
  </si>
  <si>
    <t>Walter P Moore</t>
  </si>
  <si>
    <t>Structural and civil engineering, foundations, forensic engineering</t>
  </si>
  <si>
    <t>Houston</t>
  </si>
  <si>
    <t>Houston (HQ); Austin; Dallas; El Paso; Fort Worth; The Woodlands</t>
  </si>
  <si>
    <t>https://www.walterpmoore.com/</t>
  </si>
  <si>
    <t>800-364-7300 (general); 713-630-7300 (Houston HQ)</t>
  </si>
  <si>
    <t>https://www.walterpmoore.com/contact</t>
  </si>
  <si>
    <t>1,250+ staff, 36 offices in 6 countries; founded 1931</t>
  </si>
  <si>
    <t>US-based staff; Texas-headquartered; India office exists</t>
  </si>
  <si>
    <t>https://www.walterpmoore.com/about</t>
  </si>
  <si>
    <t>STR-002</t>
  </si>
  <si>
    <t>Sargent &amp; Lundy</t>
  </si>
  <si>
    <t>Power engineering incl. structural design for generation, BESS, substations and transmission structures</t>
  </si>
  <si>
    <t>Chicago</t>
  </si>
  <si>
    <t>IL</t>
  </si>
  <si>
    <t>https://www.sargentlundy.com/</t>
  </si>
  <si>
    <t>(312) 269-2000</t>
  </si>
  <si>
    <t>https://www.sargentlundy.com/contact-us</t>
  </si>
  <si>
    <t>Private, engineer-owned</t>
  </si>
  <si>
    <t>~2,000+ employees; 30-40+ offices; founded 1891</t>
  </si>
  <si>
    <t>US-based staff; international offices incl. India, UAE, Saudi Arabia, South Korea</t>
  </si>
  <si>
    <t>STR-003</t>
  </si>
  <si>
    <t>Structural/civil design for substations, equipment foundations and power plants (engineering/EPC)</t>
  </si>
  <si>
    <t>13,500+ employees (2023); revenue US$6.9B (2023); ENR #7</t>
  </si>
  <si>
    <t>STR-004</t>
  </si>
  <si>
    <t>Black &amp; Veatch</t>
  </si>
  <si>
    <t>Engineering/EPC for power generation, power delivery and substations incl. structural design</t>
  </si>
  <si>
    <t>Overland Park</t>
  </si>
  <si>
    <t>https://www.bv.com/</t>
  </si>
  <si>
    <t>+1 913-458-2000</t>
  </si>
  <si>
    <t>https://www.bv.com/contact-us</t>
  </si>
  <si>
    <t>~13,000 employees (2024); revenue $4.735B (2023); 100+ offices; acquired Bird Electric Enterprises (2023)</t>
  </si>
  <si>
    <t>US-based staff with global offices</t>
  </si>
  <si>
    <t>STR-005</t>
  </si>
  <si>
    <t>POWER Engineers (a WSP company)</t>
  </si>
  <si>
    <t>Power delivery engineering incl. substation and transmission structural/civil design; renewables &amp; storage</t>
  </si>
  <si>
    <t>Hailey</t>
  </si>
  <si>
    <t>ID</t>
  </si>
  <si>
    <t>Houston; Tyler</t>
  </si>
  <si>
    <t>https://www.powereng.com/</t>
  </si>
  <si>
    <t>Subsidiary of WSP Global (TSX: WSP); acquisition closed Oct 1 2024 (US$1.78B); previously employee-owned</t>
  </si>
  <si>
    <t>~4,000 employees, 50 North American offices at acquisition; founded 1976</t>
  </si>
  <si>
    <t>US-based staff; powereng.com not fetchable (robots), Texas offices from powereng.com press release titles</t>
  </si>
  <si>
    <t>https://www.wsp.com/en-us/news/2024/wsp-completes-acquisition-of-power-engineers</t>
  </si>
  <si>
    <t>STR-006</t>
  </si>
  <si>
    <t>Electrical Consultants, Inc. (ECI)</t>
  </si>
  <si>
    <t>Power delivery only: civil, structural, electrical, survey for substations, transmission (to 765 kV), renewables and battery storage</t>
  </si>
  <si>
    <t>Billings</t>
  </si>
  <si>
    <t>MT</t>
  </si>
  <si>
    <t>https://eciusa.com/</t>
  </si>
  <si>
    <t>900+ professionals, 33+ offices (per FL Public Power assn listing); acquired Relay Application Innovation (2019); subsidiary EPC Services Company (design-build)</t>
  </si>
  <si>
    <t>US-based staff; company website not fetchable (SSL error) - phone/contact not verified on official page</t>
  </si>
  <si>
    <t>https://www.flpublicpower.com/associate-membership/electrical-consultants-inc</t>
  </si>
  <si>
    <t>Electrical engineering consultants — Vendor Landscape</t>
  </si>
  <si>
    <t>Electrical Services</t>
  </si>
  <si>
    <t>ELE-001</t>
  </si>
  <si>
    <t>Substation, transmission and interconnection engineering; renewables &amp; storage power delivery</t>
  </si>
  <si>
    <t>Subsidiary of WSP Global (TSX: WSP) since Oct 1 2024</t>
  </si>
  <si>
    <t>~4,000 employees, 50 offices at acquisition (US$1.78B); WSP also closed TRC acquisition Feb 2026</t>
  </si>
  <si>
    <t>ELE-002</t>
  </si>
  <si>
    <t>Substation/transmission design and EPC, interconnection and power generation electrical engineering</t>
  </si>
  <si>
    <t>13,500+ employees (2023); revenue US$6.9B (2023); ENR #7; selected by CPS Energy for turnkey grid modernization program</t>
  </si>
  <si>
    <t>ELE-003</t>
  </si>
  <si>
    <t>Grid/substation/transmission engineering, renewables and BESS electrical design, owner's engineer/due diligence</t>
  </si>
  <si>
    <t>~2,000+ employees; founded 1891</t>
  </si>
  <si>
    <t>US-based staff; international offices incl. India</t>
  </si>
  <si>
    <t>ELE-004</t>
  </si>
  <si>
    <t>Power delivery (substation/transmission) engineering and EPC; generation and storage</t>
  </si>
  <si>
    <t>~13,000 employees (2024); revenue $4.735B (2023)</t>
  </si>
  <si>
    <t>ELE-005</t>
  </si>
  <si>
    <t>Electric Power Engineers, LLC (EPE)</t>
  </si>
  <si>
    <t>Grid analysis/interconnection studies, utility engineering, regulatory/compliance; renewables &amp; storage</t>
  </si>
  <si>
    <t>Austin</t>
  </si>
  <si>
    <t>Austin (HQ)</t>
  </si>
  <si>
    <t>https://epeconsulting.com/</t>
  </si>
  <si>
    <t>512-382-6700</t>
  </si>
  <si>
    <t>https://epeconsulting.com/contact</t>
  </si>
  <si>
    <t>PE-backed: Berkshire Partners strategic growth investment (Jan 7 2025); Lime Rock New Energy exited; CEO/COO remain significant investors</t>
  </si>
  <si>
    <t>Founded 1968; 100+ developer/generation/utility clients</t>
  </si>
  <si>
    <t>US HQ Austin; other offices in Champaign IL, Waterloo ON, Beirut (Lebanon), Panama City</t>
  </si>
  <si>
    <t>ELE-006</t>
  </si>
  <si>
    <t>TRC Companies, Inc. (a member of WSP)</t>
  </si>
  <si>
    <t>Power &amp; utilities engineering incl. substation, transmission and interconnection; environmental</t>
  </si>
  <si>
    <t>Windsor</t>
  </si>
  <si>
    <t>CT</t>
  </si>
  <si>
    <t>https://www.trccompanies.com/</t>
  </si>
  <si>
    <t>+1 (860) 298-9692</t>
  </si>
  <si>
    <t>https://www.trccompanies.com/contact-us/</t>
  </si>
  <si>
    <t>Subsidiary of WSP Global (TSX: WSP); acquisition closed Feb 24 2026</t>
  </si>
  <si>
    <t>~8,000 professionals; ENR Top 500 #17; deal ~$3.3B per Wikipedia</t>
  </si>
  <si>
    <t>ELE-007</t>
  </si>
  <si>
    <t>Leidos (Power Delivery / Energy)</t>
  </si>
  <si>
    <t>Substation design (4-765 kV), T&amp;D lines, SCADA, system planning, NERC compliance for Texas utilities</t>
  </si>
  <si>
    <t>Houston; Fort Worth (per Leidos careers postings); site cites design centers across Texas</t>
  </si>
  <si>
    <t>https://www.leidos.com/</t>
  </si>
  <si>
    <t>https://www.leidos.com/contact-us</t>
  </si>
  <si>
    <t>Public (NYSE: LDOS)</t>
  </si>
  <si>
    <t>~47,000 employees (2026); revenue $17.2B (2025); Jan 2026 agreed to acquire Entrust Solutions Group (utility engineering) for ~$2.4B; ENR #4 T&amp;D design (2022)</t>
  </si>
  <si>
    <t>https://www.leidos.com/markets/energy/texas</t>
  </si>
  <si>
    <t>ELE-008</t>
  </si>
  <si>
    <t>Power delivery engineering: substations, transmission to 765 kV, protection &amp; control, renewables/BESS</t>
  </si>
  <si>
    <t>900+ professionals, 33+ offices (FL Public Power assn listing); acquired Relay Application Innovation (2019)</t>
  </si>
  <si>
    <t>US-based staff; official site not reachable for verification</t>
  </si>
  <si>
    <t>Fire protection engineering consultants — Vendor Landscape</t>
  </si>
  <si>
    <t>Fire / BESS Hazard Services</t>
  </si>
  <si>
    <t>FIRE-001</t>
  </si>
  <si>
    <t>Jensen Hughes</t>
  </si>
  <si>
    <t>Lithium-ion/BESS risk consulting: hazard mitigation, NFPA 855/UL 9540A expertise, explosion protection (CFD, deflagration venting), large-scale fire testing</t>
  </si>
  <si>
    <t>Columbia</t>
  </si>
  <si>
    <t>MD</t>
  </si>
  <si>
    <t>https://www.jensenhughes.com/</t>
  </si>
  <si>
    <t>https://www.jensenhughes.com/contact-us</t>
  </si>
  <si>
    <t>PE-backed: Gryphon Investors; Aug 5 2026 definitive agreement for New Mountain Capital to acquire (close expected Q4 2026)</t>
  </si>
  <si>
    <t>~2,000 employees, 110 offices; founded 1939</t>
  </si>
  <si>
    <t>Global firm; Texas office not confirmed</t>
  </si>
  <si>
    <t>FIRE-002</t>
  </si>
  <si>
    <t>ESRG (Energy Safety Response Group)</t>
  </si>
  <si>
    <t>Energy-storage-only safety: testing, permitting/project review, emergency response plans &amp; first-responder training, incident response</t>
  </si>
  <si>
    <t>https://www.energyresponsegroup.com/</t>
  </si>
  <si>
    <t>1-833-SAFE-ESS</t>
  </si>
  <si>
    <t>https://www.energyresponsegroup.com/contact</t>
  </si>
  <si>
    <t>Team of fire-service veterans; HQ not stated on site</t>
  </si>
  <si>
    <t>https://energyresponsegroup.com/</t>
  </si>
  <si>
    <t>FIRE-003</t>
  </si>
  <si>
    <t>Fire &amp; Risk Alliance</t>
  </si>
  <si>
    <t>BESS code consulting (NFPA 855/IFC), HMA, UL 9540A assessment, deflagration (NFPA 68/69) and heat-flux modeling, FMEA, ERP and responder training</t>
  </si>
  <si>
    <t>Rockville</t>
  </si>
  <si>
    <t>https://fireriskalliance.com/</t>
  </si>
  <si>
    <t>(301) 658-3060</t>
  </si>
  <si>
    <t>https://fireriskalliance.com/contact-us/</t>
  </si>
  <si>
    <t>Single listed office (Rockville, MD); 24/7 availability</t>
  </si>
  <si>
    <t>FIRE-004</t>
  </si>
  <si>
    <t>Telgian Engineering &amp; Consulting</t>
  </si>
  <si>
    <t>Fire protection engineering and code consulting; has published ESS fire-hazard guidance (BESS-specific services not detailed on site)</t>
  </si>
  <si>
    <t>Richardson (Dallas office)</t>
  </si>
  <si>
    <t>https://www.telgian.com/</t>
  </si>
  <si>
    <t>480.753.5444</t>
  </si>
  <si>
    <t>https://www.telgian.com/contact/</t>
  </si>
  <si>
    <t>Private (Telgian Holdings, Inc.)</t>
  </si>
  <si>
    <t>US-based staff; offices in Atlanta, Chicago, Dallas, Denver, Irvine, Phoenix, Seattle, Wilmington DE, plus Toronto and Mexico City</t>
  </si>
  <si>
    <t>FIRE-005</t>
  </si>
  <si>
    <t>DNV</t>
  </si>
  <si>
    <t>Battery safety, risk analysis (QRA) and permitting support; energy storage technical due diligence and engineering review</t>
  </si>
  <si>
    <t>Høvik (Oslo)</t>
  </si>
  <si>
    <t>Norway</t>
  </si>
  <si>
    <t>Houston (North American HQ)</t>
  </si>
  <si>
    <t>https://www.dnv.com/</t>
  </si>
  <si>
    <t>https://www.dnv.us/contact/</t>
  </si>
  <si>
    <t>Owned by the independent Det Norske Veritas Foundation</t>
  </si>
  <si>
    <t>~15,000 employees (2024); revenue NOK 31.6B (2023); 1,500+ US employees</t>
  </si>
  <si>
    <t>Global firm; North American HQ Houston, TX</t>
  </si>
  <si>
    <t>https://en.wikipedia.org/wiki/DNV</t>
  </si>
  <si>
    <t>FIRE-006</t>
  </si>
  <si>
    <t>UL Solutions Inc.</t>
  </si>
  <si>
    <t>UL 9540A testing, NFPA 855 documentation readiness review, fire/explosion hazard assessment, AHJ-focused technical support</t>
  </si>
  <si>
    <t>Northbrook</t>
  </si>
  <si>
    <t>Houston; Plano; Rollingwood (Austin area)</t>
  </si>
  <si>
    <t>https://www.ul.com/</t>
  </si>
  <si>
    <t>+1.877.854.3577 (customer service)</t>
  </si>
  <si>
    <t>https://www.ul.com/contact-us</t>
  </si>
  <si>
    <t>Public (NYSE: ULS), IPO April 16 2024</t>
  </si>
  <si>
    <t>IPO ~US$1.08B (Apr 2024); serves 80,000+ companies</t>
  </si>
  <si>
    <t>US-based labs incl. Plano, TX</t>
  </si>
  <si>
    <t>https://www.ul.com/services/ess-safety-assessment-and-nfpa-compliance</t>
  </si>
  <si>
    <t>FIRE-007</t>
  </si>
  <si>
    <t>Exponent, Inc.</t>
  </si>
  <si>
    <t>BESS safety &amp; risk consulting: fire protection engineering, emergency response planning, root-cause failure analysis, testing</t>
  </si>
  <si>
    <t>Menlo Park</t>
  </si>
  <si>
    <t>https://www.exponent.com/</t>
  </si>
  <si>
    <t>(650) 326-9400</t>
  </si>
  <si>
    <t>Public (NASDAQ: EXPO)</t>
  </si>
  <si>
    <t>20 US offices + 5 overseas; founded 1967 as Failure Analysis Associates</t>
  </si>
  <si>
    <t>US-based staff; Menlo Park HQ has on-site labs</t>
  </si>
  <si>
    <t>https://www.exponent.com/offices/menlo-park</t>
  </si>
  <si>
    <t>Owner's engineer — Vendor Landscape</t>
  </si>
  <si>
    <t>OE Services</t>
  </si>
  <si>
    <t>OE-001</t>
  </si>
  <si>
    <t>Owner's engineering for energy storage: feasibility, dispatch modeling, RFP/tender support, design and procurement review, grid connection, warranty definition, FAT/SAT, construction PM, HSE</t>
  </si>
  <si>
    <t>Høvik</t>
  </si>
  <si>
    <t>Houston (North America HQ); Austin; Dallas (per DNV job postings)</t>
  </si>
  <si>
    <t>https://www.dnv.com</t>
  </si>
  <si>
    <t>+1 281 396 1000 (DNV North America HQ, Houston)</t>
  </si>
  <si>
    <t>Private; owned by the independent foundation Stiftelsen Det Norske Veritas</t>
  </si>
  <si>
    <t>2025 operating revenue NOK 35,291 million (+0.9% y/y); operates in 100+ countries</t>
  </si>
  <si>
    <t>US energy-storage OE/IE staff posted in Houston, Austin, Dallas, plus Oakland, San Diego, Seattle, Portland, Medford MA, Chalfont PA, New York</t>
  </si>
  <si>
    <t>https://www.dnv.com/services/owner-s-engineering-for-energy-storage-63162</t>
  </si>
  <si>
    <t>OE-002</t>
  </si>
  <si>
    <t>Enertis Applus+</t>
  </si>
  <si>
    <t>Renewables and BESS technical advisory: design evaluation, site assessment, engineering, QA/QC, testing and optimization for developers, owners and financiers</t>
  </si>
  <si>
    <t>Madrid</t>
  </si>
  <si>
    <t>Spain</t>
  </si>
  <si>
    <t>https://enertisapplus.com</t>
  </si>
  <si>
    <t>+1 415 671 4000 (US offices, San Francisco / Raleigh)</t>
  </si>
  <si>
    <t>https://enertisapplus.com/contact/</t>
  </si>
  <si>
    <t>Subsidiary of Applus+ (Applus Services S.A.), taken private June 2024 by Amber EquityCo (TDR Capital and I Squared Capital)</t>
  </si>
  <si>
    <t>Parent Applus+: 26,000+ employees in 70+ countries; TDR/I Squared takeover completed 14 Jun 2024</t>
  </si>
  <si>
    <t>US offices in San Francisco, CA and Raleigh, NC; Madrid HQ; 15 offices globally</t>
  </si>
  <si>
    <t>https://enertisapplus.com/</t>
  </si>
  <si>
    <t>OE-003</t>
  </si>
  <si>
    <t>BESS owner's engineer: EPC design review, construction monitoring, commissioning supervision, early operations oversight; firm reports 74 GWh supported as OE</t>
  </si>
  <si>
    <t>Houston (Energy Corridor; second-largest B&amp;V office); Dallas; Deer Park</t>
  </si>
  <si>
    <t>https://www.bv.com</t>
  </si>
  <si>
    <t>Private; 100% employee-owned</t>
  </si>
  <si>
    <t>Revenue ~$4.7B (2023); ~13,000 employees (2024); ENR 2024 #13 design firm, #4 power design; acquired Bird Electric (Texas electrical contractor, ~600 staff) 2023</t>
  </si>
  <si>
    <t>Houston office houses 300+ staff and is the regional hub for power and energy (May 2026)</t>
  </si>
  <si>
    <t>https://new.bv.com/news/black-and-veatch-appointed-as-owners-engineer-for-eccles-battery-storage-project-in-scotland</t>
  </si>
  <si>
    <t>OE-004</t>
  </si>
  <si>
    <t>Owner's engineer for utility-scale solar + BESS: EPC RFP/specs, bid evaluation, contract negotiation support, review of LV/MV, collection, substation and transmission designs</t>
  </si>
  <si>
    <t>Fort Worth; Houston; Midland</t>
  </si>
  <si>
    <t>https://www.sargentlundy.com</t>
  </si>
  <si>
    <t>312-269-2000</t>
  </si>
  <si>
    <t>Private; owned and managed by its employees (engineers)</t>
  </si>
  <si>
    <t>Founded 1891; 30+ offices; acquisitions include Summit Engineering Services and ARES Corp. Energy Services Division (2019)</t>
  </si>
  <si>
    <t>OE-005</t>
  </si>
  <si>
    <t>Clean Energy Associates (Intertek CEA)</t>
  </si>
  <si>
    <t>Owner's engineer and technical due diligence; storage system QA, factory/production monitoring, supply-chain traceability for BESS and PV</t>
  </si>
  <si>
    <t>CO</t>
  </si>
  <si>
    <t>https://www.cea3.com</t>
  </si>
  <si>
    <t>Subsidiary of Intertek Group plc (LSE: ITRK); acquired 2022</t>
  </si>
  <si>
    <t>Acquisition completed mid-2022 (price undisclosed); CEA had 150+ employees and GBP 21.7M revenue in 2021</t>
  </si>
  <si>
    <t>Staff across North America, Europe and Asia; significant operations in China (factory QA)</t>
  </si>
  <si>
    <t>https://www.cea3.com/</t>
  </si>
  <si>
    <t>OE-006</t>
  </si>
  <si>
    <t>Kimley-Horn</t>
  </si>
  <si>
    <t>BESS consulting incl. owner's engineering, feasibility, siting/permitting, interconnection studies, and civil/structural/electrical design</t>
  </si>
  <si>
    <t>https://www.kimley-horn.com</t>
  </si>
  <si>
    <t>https://www.kimley-horn.com/contact/submit-a-service-inquiry/</t>
  </si>
  <si>
    <t>Private; employee-owned</t>
  </si>
  <si>
    <t>Revenue US$2.8B (2025); 11,000+ employees; ENR Top 500 Design Firms #8 (2025)</t>
  </si>
  <si>
    <t>https://www.kimley-horn.com/services/energy-consulting/battery-energy-storage-systems-consulting/</t>
  </si>
  <si>
    <t>OE-007</t>
  </si>
  <si>
    <t>Natural Power</t>
  </si>
  <si>
    <t>Renewables-only consultant: owner's advisory, technology evaluation, field inspections and technical due diligence for standalone/co-located storage</t>
  </si>
  <si>
    <t>Castle Douglas</t>
  </si>
  <si>
    <t>Scotland</t>
  </si>
  <si>
    <t>UK</t>
  </si>
  <si>
    <t>https://www.naturalpower.com</t>
  </si>
  <si>
    <t>+1 (518) 308 0200 (Saratoga Springs, NY office)</t>
  </si>
  <si>
    <t>https://www.naturalpower.com/us/contact</t>
  </si>
  <si>
    <t>Private; independent (founded 1995)</t>
  </si>
  <si>
    <t>400+ staff globally; 30+ NA IE projects (6+ GW) in 2025</t>
  </si>
  <si>
    <t>US offices: Saratoga Springs NY, Seattle WA, Golden CO</t>
  </si>
  <si>
    <t>https://www.naturalpower.com/us/sector/energy-storage</t>
  </si>
  <si>
    <t>Engineer of record — Vendor Landscape</t>
  </si>
  <si>
    <t>EOR Services</t>
  </si>
  <si>
    <t>EOR-001</t>
  </si>
  <si>
    <t>In-house design engineering and EPC for BESS, substations and transmission; delivered Texas BESS EPC (e.g., RWE Texas Waves II, LGES/SER West Texas)</t>
  </si>
  <si>
    <t>https://www.burnsmcd.com</t>
  </si>
  <si>
    <t>(816) 333-9400</t>
  </si>
  <si>
    <t>75+ offices worldwide; founded 1898</t>
  </si>
  <si>
    <t>EOR-002</t>
  </si>
  <si>
    <t>Power engineering firm: electrical design for collection, substation and transmission; renewables and storage engineering</t>
  </si>
  <si>
    <t>Founded 1891; 30+ offices</t>
  </si>
  <si>
    <t>EOR-003</t>
  </si>
  <si>
    <t>POWER Engineers (Member of WSP)</t>
  </si>
  <si>
    <t>Power delivery engineering: substation, transmission, renewables and storage design</t>
  </si>
  <si>
    <t>https://www.powereng.com</t>
  </si>
  <si>
    <t>Subsidiary of WSP Global Inc. (TSX: WSP)</t>
  </si>
  <si>
    <t>Acquired by WSP for US$1.78B, completed 1 Oct 2024; ~4,000 employees, ~50 US locations</t>
  </si>
  <si>
    <t>WSP substation job postings show Fort Worth and Spring, TX roles (unconfirmed as POWER offices)</t>
  </si>
  <si>
    <t>https://www.wsp.com/en-gl/investors/press-releases/details/WSP-Completes-Acquisition--of-POWER-Engineers/2956467/2024</t>
  </si>
  <si>
    <t>EOR-004</t>
  </si>
  <si>
    <t>Design, permitting and optimization of standalone/hybrid BESS; substation and transmission line engineering; surveying</t>
  </si>
  <si>
    <t>https://www.westwoodps.com</t>
  </si>
  <si>
    <t>1-888-937-5150</t>
  </si>
  <si>
    <t>PE-backed; Blackstone Energy Transition Partners majority investment (Aug 2024), previously Endurance Partners</t>
  </si>
  <si>
    <t>1,600+ employees (2024); acquired O'Dell Engineering (California)</t>
  </si>
  <si>
    <t>Texas-headquartered</t>
  </si>
  <si>
    <t>https://www.westwoodps.com/</t>
  </si>
  <si>
    <t>EOR-005</t>
  </si>
  <si>
    <t>Engineering and EPC for BESS and HV substations; firm reports 8.9 GWh delivered as BESS EPC</t>
  </si>
  <si>
    <t>Houston; Dallas; Deer Park</t>
  </si>
  <si>
    <t>Revenue ~$4.7B (2023); ~13,000 employees; ENR 2024 #4 power design</t>
  </si>
  <si>
    <t>EOR-006</t>
  </si>
  <si>
    <t>Detailed civil, structural and electrical BESS design incl. plant, HV substation and transmission/interconnection design</t>
  </si>
  <si>
    <t>EOR-007</t>
  </si>
  <si>
    <t>Bowman Consulting Group</t>
  </si>
  <si>
    <t>Energy design and engineering incl. BESS, electric power and transmission; civil/survey</t>
  </si>
  <si>
    <t>Austin; Arlington; Plano (Dallas); Houston (2); Marshall; Midland; San Antonio; San Marcos; Waco</t>
  </si>
  <si>
    <t>https://bowman.com</t>
  </si>
  <si>
    <t>https://bowman.com/contact/</t>
  </si>
  <si>
    <t>Public (Nasdaq: BWMN)</t>
  </si>
  <si>
    <t>FY2025 gross contract revenue ~$490M; 2,300+ employees; ENR Top 500 #72; 7 acquisitions in 2025 (~$75.4M) incl. RPT Alliance (Houston, Dec 2025)</t>
  </si>
  <si>
    <t>https://bowman.com/services/battery-energy-storage-systems</t>
  </si>
  <si>
    <t>Independent engineer — Vendor Landscape</t>
  </si>
  <si>
    <t>IE Services</t>
  </si>
  <si>
    <t>IE-001</t>
  </si>
  <si>
    <t>Independent engineering and technical due diligence for BESS: vendor/design/safety review, performance validation, guarantee verification, bankability for investors/financiers</t>
  </si>
  <si>
    <t>2025 operating revenue NOK 35,291 million</t>
  </si>
  <si>
    <t>Energy Storage IE PM roles posted in Austin and Houston among other US cities</t>
  </si>
  <si>
    <t>https://www.dnv.com/services/independent-engineering-and-technical-due-diligence-63108/</t>
  </si>
  <si>
    <t>IE-002</t>
  </si>
  <si>
    <t>Lender's IE for BESS: project-finance technical due diligence, design/grid/warranty review, MC/SC/FC milestone certification (e.g., 550 MW / 1,433 MWh Texas portfolio for Excelsior/Lydian)</t>
  </si>
  <si>
    <t>+1 415 671 4000 (US offices)</t>
  </si>
  <si>
    <t>Subsidiary of Applus+ (private since June 2024; TDR Capital and I Squared Capital)</t>
  </si>
  <si>
    <t>Parent Applus+: 26,000+ employees, 70+ countries</t>
  </si>
  <si>
    <t>US offices in San Francisco, CA and Raleigh, NC</t>
  </si>
  <si>
    <t>https://informedinfrastructure.com/index.php/post/enertis-applus-delivers-independent-engineering-expertise-to-texas-bess-projects-for-excelsior-energy-capital</t>
  </si>
  <si>
    <t>IE-003</t>
  </si>
  <si>
    <t>Leidos</t>
  </si>
  <si>
    <t>Independent engineering for project development, acquisition, financing and investment diligence across energy storage and other technologies</t>
  </si>
  <si>
    <t>https://www.leidos.com</t>
  </si>
  <si>
    <t>(571) 526-6000</t>
  </si>
  <si>
    <t>https://www.leidos.com/contact</t>
  </si>
  <si>
    <t>~48,000 employees (Jan 2025); ~87% of FY2024 revenue from US government; energy IE is a small commercial practice</t>
  </si>
  <si>
    <t>https://www.infocastinc.com/2026-solar-wind-finance-investment-sponsors/leidos</t>
  </si>
  <si>
    <t>IE-004</t>
  </si>
  <si>
    <t>BESS independent engineering due diligence for investors/tax equity: use-case modeling, module warranty terms, fire protection design</t>
  </si>
  <si>
    <t>Founded 1891; describes itself as one of the few tax-equity-accepted IEs for BESS</t>
  </si>
  <si>
    <t>https://sargentlundy.com/?p=12226</t>
  </si>
  <si>
    <t>IE-005</t>
  </si>
  <si>
    <t>Independent engineering and technical due diligence for lenders/investors on wind, solar and storage; new Head of IE North America (Dec 2025)</t>
  </si>
  <si>
    <t>400+ staff; 184+ GW NA transactions supported since 2022; 30+ NA IE projects (6+ GW) in 2025</t>
  </si>
  <si>
    <t>https://www.naturalpower.com/us/news/news-post/natural-power-appoints-head-of-independent-engineering-in-north-america</t>
  </si>
  <si>
    <t>IE-006</t>
  </si>
  <si>
    <t>UL Solutions</t>
  </si>
  <si>
    <t>Energy Storage Advisory: IE and technical advisory for project financing, tax equity, sales and acquisitions (contracts, financial models, designs); BESS testing/certification</t>
  </si>
  <si>
    <t>https://www.ul.com</t>
  </si>
  <si>
    <t>(847) 272-8800</t>
  </si>
  <si>
    <t>Public (NYSE: ULS); majority voting control held by ULSE Inc. (UL Standards &amp; Engagement)</t>
  </si>
  <si>
    <t>~14,600 full-time employees (FY2025); 110+ countries</t>
  </si>
  <si>
    <t>https://www.builtinchicago.org/job/senior-project-engineer-energy-storage-advisory/9342322</t>
  </si>
  <si>
    <t>Energy storage equipment — Vendor Landscape</t>
  </si>
  <si>
    <t>Product Line</t>
  </si>
  <si>
    <t>Manufacturing / Cell Origin</t>
  </si>
  <si>
    <t>BESS-001</t>
  </si>
  <si>
    <t>Tesla (Tesla Energy)</t>
  </si>
  <si>
    <t>Megapack 2 / Megapack 2 XL / Megapack 3 (~5 MWh) / Megablock (4x Megapack 3 + transformer + switchgear, ~20 MWh)</t>
  </si>
  <si>
    <t>Austin (corporate HQ); Brookshire, TX Megafactory (Megapack 3 production began Aug 2026 per SMM report)</t>
  </si>
  <si>
    <t>https://www.tesla.com/megapack</t>
  </si>
  <si>
    <t>Public (NASDAQ: TSLA)</t>
  </si>
  <si>
    <t>Brookshire, TX Megafactory targets 50 GWh/yr; ~$200M investment and 1,500-job commitment by 2028 (Basenor, Apr/Jul 2026). BNEF tier status not confirmed in this pass.</t>
  </si>
  <si>
    <t>Megapack 3 built in Brookshire, TX (production start reported Aug 6, 2026). Per SMM (Aug 2026), LFP cell suppliers span US, Southeast Asia and China, with CATL identified as Tesla's largest storage cell supplier; a reported $4.3B LG Energy Solution deal supplies LFP cells from Lansing, MI (secondary source). Cell origin varies by order — FEOC/material-assistance review of cell supply required; tariff exposure on any China-origin cells.</t>
  </si>
  <si>
    <t>BESS-002</t>
  </si>
  <si>
    <t>Fluence Energy</t>
  </si>
  <si>
    <t>Grid-scale BESS (Gridstack/Smartstack platforms), US domestic-content offering</t>
  </si>
  <si>
    <t>Arlington</t>
  </si>
  <si>
    <t>https://fluenceenergy.com</t>
  </si>
  <si>
    <t>Public (NASDAQ: FLNC); AES and Siemens are founding shareholders</t>
  </si>
  <si>
    <t>FY2025 revenue $2.3B; FY2026 guidance $3.2-3.6B; record backlog $5.3B (results released Nov 24, 2025).</t>
  </si>
  <si>
    <t>US module assembly in Tooele County, UT; LFP cells from a supplier in Smyrna, TN; partner manufacturing ramping in AZ and TX (May 28, 2025). Markets a US domestic-content strategy. Confirm cell/enclosure origin per order for FEOC compliance.</t>
  </si>
  <si>
    <t>https://www.nasdaq.com/press-release/fluence-energy-inc-reports-2025-financial-results-and-initiates-2026-guidance-2025-11</t>
  </si>
  <si>
    <t>BESS-003</t>
  </si>
  <si>
    <t>Sungrow</t>
  </si>
  <si>
    <t>PowerTitan 3.0 AC block (6.9 MWh per 20-ft container); PowerStack (C&amp;I)</t>
  </si>
  <si>
    <t>Hefei</t>
  </si>
  <si>
    <t>Anhui</t>
  </si>
  <si>
    <t>China</t>
  </si>
  <si>
    <t>Costa Mesa, CA (3200 Park Center Dr Suite 850)</t>
  </si>
  <si>
    <t>https://www.sungrowpower.com/us/en</t>
  </si>
  <si>
    <t>+1 833 747 6937</t>
  </si>
  <si>
    <t>https://www.sungrowpower.com/us/en/about-us/contact-us</t>
  </si>
  <si>
    <t>Public (Shenzhen: 300274)</t>
  </si>
  <si>
    <t>PowerTitan 3.0 launched for North America at RE+ 2025 (Sep 9, 2025). BNEF tier status not confirmed in this pass.</t>
  </si>
  <si>
    <t>Chinese parent company — FEOC review required under OBBBA (enacted Jul 4, 2025). No US manufacturing identified in sources reviewed; China-origin equipment subject to Section 301/reciprocal tariffs.</t>
  </si>
  <si>
    <t>https://www.powermag.com/sungrow-introduces-new-solar-energy-storage-products-for-north-american-market/</t>
  </si>
  <si>
    <t>BESS-004</t>
  </si>
  <si>
    <t>LG Energy Solution Vertech</t>
  </si>
  <si>
    <t>Containerized LFP grid-scale BESS + AEROS controls/analytics; integration and lifecycle services</t>
  </si>
  <si>
    <t>Seoul</t>
  </si>
  <si>
    <t>South Korea</t>
  </si>
  <si>
    <t>Westborough, MA</t>
  </si>
  <si>
    <t>Subsidiary of LG Energy Solution (KRX: 373220)</t>
  </si>
  <si>
    <t>Dec 19, 2024: multi-year 7.5 GWh agreement with Excelsior Energy Capital (first delivery Apr 2026), following an 8 GWh Terra-Gen agreement.</t>
  </si>
  <si>
    <t>LFP ESS cells produced at LG Energy Solution's Lansing, MI plant (production began 2025; &gt;35 GWh/yr at full scale). Products marketed as meeting US domestic-content requirements. Korean parent (not a covered-nation FEOC on its face) — still confirm material-assistance cost ratio per OBBBA.</t>
  </si>
  <si>
    <t>https://lgcorp.com/media/release/28489</t>
  </si>
  <si>
    <t>BESS-005</t>
  </si>
  <si>
    <t>Samsung SDI</t>
  </si>
  <si>
    <t>Samsung Battery Box (SBB) 2.0 — prismatic LFP DC block (cell/DC supplier; requires PCS/EMS integrator)</t>
  </si>
  <si>
    <t>Yongin</t>
  </si>
  <si>
    <t>Gyeonggi</t>
  </si>
  <si>
    <t>https://www.samsungsdi.com</t>
  </si>
  <si>
    <t>Public (KRX: 006400)</t>
  </si>
  <si>
    <t>Dec 2025: ~$1.36B, 3-year LFP ESS supply contract with an unnamed North American energy company, deliveries from 2027.</t>
  </si>
  <si>
    <t>Converting lines at StarPlus Energy (Samsung SDI–Stellantis JV) plant in Kokomo, IN to prismatic LFP ESS cells (announced Dec 10, 2025); company describes itself as the only non-Chinese prismatic LFP ESS cell maker producing in the US. Korean parent.</t>
  </si>
  <si>
    <t>https://www.solarpowerworldonline.com/2025/12/samsung-sdi-to-begin-lfp-battery-manufacturing-in-indiana/</t>
  </si>
  <si>
    <t>BESS-006</t>
  </si>
  <si>
    <t>Wärtsilä Energy Storage</t>
  </si>
  <si>
    <t>Quantum3 AC-block BESS (introduced Sep 2024); GEMS software</t>
  </si>
  <si>
    <t>Helsinki</t>
  </si>
  <si>
    <t>Finland</t>
  </si>
  <si>
    <t>Houston, TX (Wärtsilä North America, Inc., 11710 N. Gessner Rd., Suite A); Energy Storage offices Emeryville, CA and Herndon, VA</t>
  </si>
  <si>
    <t>Houston, TX</t>
  </si>
  <si>
    <t>https://www.wartsila.com/usa</t>
  </si>
  <si>
    <t>+1 281 233 6200</t>
  </si>
  <si>
    <t>https://www.wartsila.com/usa/about/contact-us</t>
  </si>
  <si>
    <t>Public (Nasdaq Helsinki: WRT1V)</t>
  </si>
  <si>
    <t>Mar 31, 2025: concluded 18-month strategic review and retained the energy storage business; separate Energy Storage reporting segment from Apr 1, 2025 (target ≥10% organic growth, 3-5% operating margin).</t>
  </si>
  <si>
    <t>Cell supplier/origin not stated in sources reviewed — confirm cell origin for FEOC/tariff review.</t>
  </si>
  <si>
    <t>https://energy-storage.news/wartsila-closes-strategic-review-of-energy-storage-segment-remains-committed-to-sector</t>
  </si>
  <si>
    <t>BESS-007</t>
  </si>
  <si>
    <t>FlexGen Power Systems</t>
  </si>
  <si>
    <t>BESS integration with HybridOS EMS; legacy Powin fleet support (Powin assets/IP acquired)</t>
  </si>
  <si>
    <t>Durham</t>
  </si>
  <si>
    <t>https://www.flexgen.com</t>
  </si>
  <si>
    <t>855-327-5674</t>
  </si>
  <si>
    <t>https://www.flexgen.com/contact-us</t>
  </si>
  <si>
    <t>Acquired key Powin assets and IP via court-approved sale (court approval announced Aug 6, 2025; completion announced Aug 15, 2025); now supports &gt;25 GWh across &gt;200 sites.</t>
  </si>
  <si>
    <t>No manufacturing locations stated in sources reviewed; confirm battery/cell OEM and origin per project for FEOC review. Legacy Powin warranty/support assumptions should be diligenced.</t>
  </si>
  <si>
    <t>https://www.flexgen.com/resources/blog/flexgen-completes-acquisition-powin-assets-expanding-global-leadership-grid-scale</t>
  </si>
  <si>
    <t>BESS-008</t>
  </si>
  <si>
    <t>Hithium</t>
  </si>
  <si>
    <t>LFP BESS modules/systems (∞Power 6.25 MWh platform)</t>
  </si>
  <si>
    <t>Xiamen</t>
  </si>
  <si>
    <t>Fujian</t>
  </si>
  <si>
    <t>Mesquite, TX (12955 FM 2932) — module/system plant</t>
  </si>
  <si>
    <t>https://hithium.com</t>
  </si>
  <si>
    <t>Private (founded 2019)</t>
  </si>
  <si>
    <t>~$200M Mesquite plant opened May 28/Jun 5, 2025; 10 GWh/yr modules and systems; mass production slated for late 2025.</t>
  </si>
  <si>
    <t>Chinese parent company — FEOC review required under OBBBA. US assembly in Mesquite, TX; cell origin not stated in sources (assume imported until confirmed) — tariff relevance.</t>
  </si>
  <si>
    <t>https://dallasinnovates.com/hithium-opens-200m-battery-energy-storage-manufacturing-facility-in-north-texas/</t>
  </si>
  <si>
    <t>BESS-009</t>
  </si>
  <si>
    <t>Canadian Solar e-STORAGE</t>
  </si>
  <si>
    <t>Utility-scale BESS (SolBank platform) and EPC/LTSA services</t>
  </si>
  <si>
    <t>Kitchener</t>
  </si>
  <si>
    <t>ON</t>
  </si>
  <si>
    <t>Mesquite, TX module plant (solar, not storage)</t>
  </si>
  <si>
    <t>https://www.csisolar.com/e-storage/</t>
  </si>
  <si>
    <t>Part of Canadian Solar Inc. (NASDAQ: CSIQ); US manufacturing consolidated into CS PowerTech (75.1% CSIQ / 24.9% CSI Solar)</t>
  </si>
  <si>
    <t>Company states Tier 1 storage rating and 23 GWh shipped. Q2 2026: revenue $1.2B (-29% YoY), net loss $76.9M, e-STORAGE backlog $3.5B (IIR, Aug 28, 2026). Dec 2025 restructuring moved US manufacturing out from under China-listed CSI Solar.</t>
  </si>
  <si>
    <t>Shelbyville, KY BESS plant: Phase I 3 GWh complete, Phase II planned later 2026 to double capacity. CSI Solar (Suzhou, China-listed) retains 24.9% of US JV — FEOC review required; restructuring was positioned to address FEOC rules.</t>
  </si>
  <si>
    <t>https://www.ess-news.com/2025/12/01/canadian-solar-consolidates-us-manufacturing-under-parent-including-solar-and-storage/</t>
  </si>
  <si>
    <t>BESS-010</t>
  </si>
  <si>
    <t>Prevalon Energy (now Nextpower)</t>
  </si>
  <si>
    <t>HD5 AC / HD5 DC BESS platforms, insightOS, service/LTSA</t>
  </si>
  <si>
    <t>Fremont</t>
  </si>
  <si>
    <t>https://prevalonenergy.com</t>
  </si>
  <si>
    <t>https://prevalonenergy.com/contact-us/</t>
  </si>
  <si>
    <t>Subsidiary of Nextpower (NASDAQ: NXT; formerly Nextracker) since Jul 20, 2026; previously Mitsubishi Power Americas / EES JV</t>
  </si>
  <si>
    <t>Nextpower completed acquisition for up to $365M cash and stock (Jul 20, 2026); Prevalon has &gt;6 GWh deployed; CEO Tom Cornell continues leading the division.</t>
  </si>
  <si>
    <t>Cell supplier and manufacturing locations not stated in sources reviewed — confirm origin for FEOC/tariff review. HQ shown is Nextpower parent (Prevalon described as US-headquartered).</t>
  </si>
  <si>
    <t>https://www.businesswire.com/news/home/20260720085364/en/</t>
  </si>
  <si>
    <t>Medium-voltage transformers — Vendor Landscape</t>
  </si>
  <si>
    <t>Manufacturing Origin</t>
  </si>
  <si>
    <t>MVT-001</t>
  </si>
  <si>
    <t>Hitachi Energy</t>
  </si>
  <si>
    <t>Pad-mount and distribution transformers (single-phase pad-mount from Reynosa); large distribution transformers (South Boston, VA)</t>
  </si>
  <si>
    <t>Zurich</t>
  </si>
  <si>
    <t>Switzerland</t>
  </si>
  <si>
    <t>Raleigh, NC</t>
  </si>
  <si>
    <t>https://www.hitachienergy.com/us/en</t>
  </si>
  <si>
    <t>Subsidiary of Hitachi, Ltd. (TSE: 6501)</t>
  </si>
  <si>
    <t>Sep 2024: $155M North American expansion (incl. $70M Reynosa MX pad-mount plant, $25M+ South Boston VA). Sep 5, 2025: $1B US manufacturing commitment incl. ~$457-475M South Boston VA large power transformer plant (ops ~2028).</t>
  </si>
  <si>
    <t>US plants in South Boston, VA; pad-mount distribution transformers from Reynosa, Mexico (USMCA). Confirm three-phase 34.5 kV BESS/solar pad-mount availability and plant of origin per quote.</t>
  </si>
  <si>
    <t>https://www.publicpower.org/periodical/article/hitachi-energy-new-distribution-transformer-factory-serve-north-american-market</t>
  </si>
  <si>
    <t>MVT-002</t>
  </si>
  <si>
    <t>Eaton</t>
  </si>
  <si>
    <t>Three-phase pad-mount transformers; single-phase/pole/pad-mount</t>
  </si>
  <si>
    <t>Dublin</t>
  </si>
  <si>
    <t>Ireland</t>
  </si>
  <si>
    <t>Cleveland (Beachwood), OH</t>
  </si>
  <si>
    <t>Nacogdoches, TX (single-phase, pole-mount and pad-mount transformer plant)</t>
  </si>
  <si>
    <t>https://www.eaton.com/us/en-us.html</t>
  </si>
  <si>
    <t>Public (NYSE: ETN)</t>
  </si>
  <si>
    <t>Feb 12, 2025: $340M Jonesville, SC three-phase transformer plant (production 2027, 700 jobs); &gt;$1B invested in North American electrical manufacturing since 2023.</t>
  </si>
  <si>
    <t>US transformer plants: Waukesha, WI (three-phase), Nacogdoches, TX, Jonesville, SC (from 2027). US-manufactured options available.</t>
  </si>
  <si>
    <t>https://www.businesswire.com/news/home/20250212663224/en</t>
  </si>
  <si>
    <t>MVT-003</t>
  </si>
  <si>
    <t>Prolec GE (GE Vernova)</t>
  </si>
  <si>
    <t>Three-phase pad-mount (Shreveport) and medium power / substation transformers (Goldsboro)</t>
  </si>
  <si>
    <t>Monterrey</t>
  </si>
  <si>
    <t>Nuevo León</t>
  </si>
  <si>
    <t>Mexico</t>
  </si>
  <si>
    <t>https://www.prolec.energy</t>
  </si>
  <si>
    <t>Wholly owned by GE Vernova (NYSE: GEV) since Feb 5, 2026 (bought Xignux's 50% for $5.275B); operating under GE Vernova brand in Electrification segment</t>
  </si>
  <si>
    <t>~10,000 employees, 7 manufacturing sites incl. 5 in US. May 14, 2025: $140M Goldsboro, NC expansion (doubling capacity by 2030); &gt;$300M recent North American investment.</t>
  </si>
  <si>
    <t>US plants: Shreveport, LA (three-phase pad-mount, 1,500+ units/yr) and Goldsboro, NC (medium power); additional plants in Mexico (USMCA).</t>
  </si>
  <si>
    <t>https://www.tdworld.com/utility-business/news/55355616/ge-vernova-completes-acquisition-of-prolec-ge</t>
  </si>
  <si>
    <t>MVT-004</t>
  </si>
  <si>
    <t>WEG</t>
  </si>
  <si>
    <t>Distribution and power transformers (WEG Transformers USA); confirm three-phase 34.5 kV pad-mount offering</t>
  </si>
  <si>
    <t>Jaraguá do Sul</t>
  </si>
  <si>
    <t>Santa Catarina</t>
  </si>
  <si>
    <t>Brazil</t>
  </si>
  <si>
    <t>https://www.weg.net/institutional/US/en/</t>
  </si>
  <si>
    <t>Public (B3: WEGE3)</t>
  </si>
  <si>
    <t>Sep 2025: $77M, 130,000 sq ft expansion of Washington, MO transformer plant (50 jobs).</t>
  </si>
  <si>
    <t>US transformer manufacturing in Washington, MO. US HQ and BESS/solar pad-mount product details not confirmed in this pass.</t>
  </si>
  <si>
    <t>https://www.areadevelopment.com/newsItems/9-27-2025/weg-washington-missouri.shtml</t>
  </si>
  <si>
    <t>MVT-005</t>
  </si>
  <si>
    <t>Virginia Transformer Corp</t>
  </si>
  <si>
    <t>E2X pad-mount; liquid substation/GSU (500 kVA–1,400 MVA); BESS listed as served industry</t>
  </si>
  <si>
    <t>Roanoke</t>
  </si>
  <si>
    <t>https://www.vatransformer.com</t>
  </si>
  <si>
    <t>(540) 345-9892</t>
  </si>
  <si>
    <t>Private, US-owned</t>
  </si>
  <si>
    <t>Bloomberg (Jan 9, 2025) reported it was considering a sale (~$6B). Nov 20, 2025: Rincon, GA expansion starting Jan 2026 (+400 jobs, ~70% capacity increase); still privately held per that release.</t>
  </si>
  <si>
    <t>Six facilities across US and Mexico (incl. Rincon, GA power transformers 30–500 MVA up to 525 kV). Watch for ownership change.</t>
  </si>
  <si>
    <t>https://www.vatransformer.com/</t>
  </si>
  <si>
    <t>MVT-006</t>
  </si>
  <si>
    <t>ERMCO</t>
  </si>
  <si>
    <t>Three-phase and single-phase pad-mount distribution transformers (incl. ECO-PAD)</t>
  </si>
  <si>
    <t>Dyersburg</t>
  </si>
  <si>
    <t>TN</t>
  </si>
  <si>
    <t>https://www.ermco-eci.com</t>
  </si>
  <si>
    <t>https://www.ermco-eci.com/</t>
  </si>
  <si>
    <t>Subsidiary of Arkansas Electric Cooperatives, Inc. (cooperative-owned)</t>
  </si>
  <si>
    <t>Describes itself as the largest US maker of oil-filled distribution transformers. Jan 2026: new ~566,000 sq ft three-phase plant west of Phoenix, AZ (production 2027, ~541 jobs).</t>
  </si>
  <si>
    <t>Facilities in Dyersburg, Greeneville and Bristol, TN, and Reynosa, Mexico; Arizona plant from 2027. Primarily distribution-class; confirm kVA range for BESS MV step-up.</t>
  </si>
  <si>
    <t>MVT-007</t>
  </si>
  <si>
    <t>Howard Industries</t>
  </si>
  <si>
    <t>Distribution transformers incl. large three-phase pad-mount 750–10,000 kVA (utilities, data centers, BESS)</t>
  </si>
  <si>
    <t>Ellisville</t>
  </si>
  <si>
    <t>MS</t>
  </si>
  <si>
    <t>https://www.howard.com</t>
  </si>
  <si>
    <t>(601) 425-3151</t>
  </si>
  <si>
    <t>Jun 26, 2025: &gt;$230M Mississippi expansion (450 jobs). May 8, 2026: ~$100M, 825,000 sq ft Mexico plant for three-phase 750–10,000 kVA units, operational Q3 2026.</t>
  </si>
  <si>
    <t>Mississippi plants (Laurel/Ellisville area, Quitman); new Mexico plant (USMCA) explicitly targeting BESS.</t>
  </si>
  <si>
    <t>https://www.howard.com/INFO/news/2025/06/26/howard-industries-invests-over-230-million-to-expand-operations-across-mississippi.cfm</t>
  </si>
  <si>
    <t>MVT-008</t>
  </si>
  <si>
    <t>Maddox Transformer</t>
  </si>
  <si>
    <t>New and remanufactured three-phase pad-mount and substation transformers; in-stock inventory</t>
  </si>
  <si>
    <t>Battle Ground</t>
  </si>
  <si>
    <t>WA</t>
  </si>
  <si>
    <t>https://www.maddox.com</t>
  </si>
  <si>
    <t>1-800-270-2011</t>
  </si>
  <si>
    <t>https://www.maddox.com/contact</t>
  </si>
  <si>
    <t>Private (founded 2015); ownership structure not disclosed</t>
  </si>
  <si>
    <t>No financial data published in sources reviewed.</t>
  </si>
  <si>
    <t>Locations in WA, SC (5 sites), OH and Houston, TX. Manufacturing origin of new units not stated — confirm country of origin per unit for tariff review.</t>
  </si>
  <si>
    <t>https://www.maddox.com/</t>
  </si>
  <si>
    <t>MVT-009</t>
  </si>
  <si>
    <t>JST Power Equipment</t>
  </si>
  <si>
    <t>Liquid-filled pad-mount 1- and 3-phase (25–6,000 kVA, up to 35 kV); MV switchgear and packaged substations</t>
  </si>
  <si>
    <t>Lake Mary</t>
  </si>
  <si>
    <t>FL</t>
  </si>
  <si>
    <t>https://www.jstpower.com</t>
  </si>
  <si>
    <t>https://jstpower.com/contact/</t>
  </si>
  <si>
    <t>Not disclosed in sources reviewed — confirm parent/ultimate ownership</t>
  </si>
  <si>
    <t>May 19, 2026: opened Wytheville, VA pad-mount plant (~150 units 2026, scaling to 1,000 in 2027).</t>
  </si>
  <si>
    <t>Plants in Wuhan, China (2021), Nogales, Mexico (2019), Malaysia (2025) and Wytheville, VA. China-origin units carry tariff exposure; specify plant of origin in RFQ.</t>
  </si>
  <si>
    <t>https://www.businesswire.com/news/home/20260519751615/en/JST-Power-Equipment-Opens-Virginia-Transformer-Manufacturing-Facility-to-Support-Power-for-Utilities-and-Data-Center-Demand</t>
  </si>
  <si>
    <t>MVT-010</t>
  </si>
  <si>
    <t>Sunbelt Solomon</t>
  </si>
  <si>
    <t>New and refurbished pad-mount and substation transformers; rentals and field services</t>
  </si>
  <si>
    <t>Temple</t>
  </si>
  <si>
    <t>Temple, TX (HQ and facility)</t>
  </si>
  <si>
    <t>https://www.sunbeltsolomon.com</t>
  </si>
  <si>
    <t>888-691-4712</t>
  </si>
  <si>
    <t>https://www.sunbeltsolomon.com/</t>
  </si>
  <si>
    <t>Private; Trilantic North America portfolio company</t>
  </si>
  <si>
    <t>Formed by 2019 merger of Sunbelt Transformer and Solomon Corp; added Trinity Power Rentals (2022) and Power Solutions Group (2024). 40+ locations; 64,000+ units in inventory.</t>
  </si>
  <si>
    <t>Facilities in Temple, TX; Solomon, KS; Sharon, PA; Elba and Bay Minette, AL; plus Canada and Chile. Origin of new units not stated — confirm per unit.</t>
  </si>
  <si>
    <t>High-voltage breakers (345 kV class) — Vendor Landscape</t>
  </si>
  <si>
    <t>HVB-001</t>
  </si>
  <si>
    <t>Dead tank circuit breakers up to 420 kV (incl. 362 kV); EconiQ SF6-free; PASS hybrid switchgear</t>
  </si>
  <si>
    <t>Apr 2025: &gt;$70M Pennsylvania investments (Mount Pleasant, Hunker, Greensburg); full capacity expected 2026. Part of $1B US commitment (Sep 5, 2025) incl. Pittsburgh-area breaker/switchgear expansion.</t>
  </si>
  <si>
    <t>Dead tank breakers manufactured in Mount Pleasant, PA (US-made).</t>
  </si>
  <si>
    <t>https://www.hitachienergy.com/products-and-solutions/high-voltage-switchgear-and-breakers/air-insulated-switchgear/dead-tank-circuit-breaker-362-420-kv</t>
  </si>
  <si>
    <t>HVB-002</t>
  </si>
  <si>
    <t>Siemens Energy</t>
  </si>
  <si>
    <t>Dead tank breakers 72.5–550 kV (US SPS 362 kV); Blue SF6-free portfolio</t>
  </si>
  <si>
    <t>Munich</t>
  </si>
  <si>
    <t>Germany</t>
  </si>
  <si>
    <t>https://siemens-energy.com/us/en/home.html</t>
  </si>
  <si>
    <t>https://siemens-energy.com/us/en/home/products-services/product/dead-tank.html</t>
  </si>
  <si>
    <t>Public (Frankfurt: ENR)</t>
  </si>
  <si>
    <t>Feb 3, 2026: ~$1B US investment incl. new high-voltage switchgear plant near Richland, MS (300 jobs) and Charlotte, NC transformer expansion.</t>
  </si>
  <si>
    <t>Richland, MS HV switchgear/breaker manufacturing (expanding). German parent.</t>
  </si>
  <si>
    <t>HVB-003</t>
  </si>
  <si>
    <t>GE Vernova</t>
  </si>
  <si>
    <t>Dead tank breakers up to 550 kV (DT1-362 for 362 kV); g3 SF6-free models (72.5/145 kV)</t>
  </si>
  <si>
    <t>Cambridge</t>
  </si>
  <si>
    <t>MA</t>
  </si>
  <si>
    <t>https://www.gevernova.com/grid-solutions/equipment/circuit-breakers/dead-tank-circuit-breakers</t>
  </si>
  <si>
    <t>Public (NYSE: GEV)</t>
  </si>
  <si>
    <t>Aug 20, 2026: $138M expansion of Charleroi, PA plant (HV breakers, switchgear, instrument transformers; ~275 jobs through 2028). Acquired 100% of Prolec GE Feb 5, 2026.</t>
  </si>
  <si>
    <t>HV circuit breakers manufactured in Charleroi, PA (US).</t>
  </si>
  <si>
    <t>HVB-004</t>
  </si>
  <si>
    <t>Mitsubishi Electric Power Products (MEPPI)</t>
  </si>
  <si>
    <t>Dead tank gas circuit breakers 72.5–800 kV (362 kV up to 63 kA)</t>
  </si>
  <si>
    <t>Tokyo</t>
  </si>
  <si>
    <t>Japan</t>
  </si>
  <si>
    <t>Warrendale, PA</t>
  </si>
  <si>
    <t>https://www.meppi.com</t>
  </si>
  <si>
    <t>https://www.meppi.com/contact-us</t>
  </si>
  <si>
    <t>Subsidiary of Mitsubishi Electric Corp. (TSE: 6503)</t>
  </si>
  <si>
    <t>$86M investment incl. new 160,000 sq ft Warrendale, PA factory for vacuum and gas circuit breakers (&gt;200 jobs; reported 2025).</t>
  </si>
  <si>
    <t>Breakers 'fully assembled and tested in the USA' per MEPPI.</t>
  </si>
  <si>
    <t>https://meppi.com/products/hv-gas-insulated-circuit-breakers</t>
  </si>
  <si>
    <t>HVB-005</t>
  </si>
  <si>
    <t>Hyosung HICO</t>
  </si>
  <si>
    <t>Gas circuit breakers 72.5–800 kV</t>
  </si>
  <si>
    <t>Memphis, TN</t>
  </si>
  <si>
    <t>https://www.hyosungheavyindustries.com/en/business/power-products/P010104</t>
  </si>
  <si>
    <t>Subsidiary of Hyosung Heavy Industries (KRX-listed)</t>
  </si>
  <si>
    <t>Jun 2026: formed JV 'Hyosung HICO Breaker' with Quanta Services; targets 25% US GCB share by 2030. Nov 12, 2025: $157M Memphis transformer expansion.</t>
  </si>
  <si>
    <t>GCB semi-finished products from Changwon, Korea; final assembly at Quanta's Canonsburg, PA facility from Oct 2026. Korean-origin content — tariff relevance.</t>
  </si>
  <si>
    <t>https://www.koreatimes.co.kr/business/companies/20260918/hyosung-heavy-industries-forms-us-joint-venture-to-make-high-voltage-circuit-breakers</t>
  </si>
  <si>
    <t>HVB-006</t>
  </si>
  <si>
    <t>HD Hyundai Electric (watchlist)</t>
  </si>
  <si>
    <t>SF6-free switchgear/breakers; 362 kV dead tank breaker planned for 2028 launch</t>
  </si>
  <si>
    <t>Public (KRX-listed)</t>
  </si>
  <si>
    <t>May 7, 2026: ~$119M contract for 765 kV transformers/reactors for an SPP transmission project.</t>
  </si>
  <si>
    <t>362 kV dead tank breaker not available until 2028 per source — future-option only. Korean origin; tariff relevance.</t>
  </si>
  <si>
    <t>https://transformer-technology.com/hd-hyundai-electric-expands-us-grid-presence-with-119-million-contract/</t>
  </si>
  <si>
    <t>Medium-voltage breakers / switchgear — Vendor Landscape</t>
  </si>
  <si>
    <t>MVB-001</t>
  </si>
  <si>
    <t>VacClad-HD 38 kV metal-clad switchgear with VCPW-HD vacuum breakers (1,200–3,000 A, up to 40 kA)</t>
  </si>
  <si>
    <t>&gt;$1B invested in North American electrical manufacturing since 2023 (Feb 2025).</t>
  </si>
  <si>
    <t>US manufacturing footprint; confirm plant of origin for 38 kV gear per quote.</t>
  </si>
  <si>
    <t>https://eaton.com/us/en-us/catalog/medium-voltage-power-distribution-control-systems/vacclad-w-38-kv-metal-clad-medium-voltage-switchgear.html</t>
  </si>
  <si>
    <t>MVB-002</t>
  </si>
  <si>
    <t>Schneider Electric</t>
  </si>
  <si>
    <t>MV switchgear: air-insulated, gas-insulated and shielded solid insulation</t>
  </si>
  <si>
    <t>Rueil-Malmaison</t>
  </si>
  <si>
    <t>France</t>
  </si>
  <si>
    <t>Andover, MA (Boston One campus)</t>
  </si>
  <si>
    <t>https://www.se.com/us/en/</t>
  </si>
  <si>
    <t>Public (Euronext Paris: SU)</t>
  </si>
  <si>
    <t>Nov 11, 2025: opened Mt. Juliet, TN MV switchgear plant (500,000+ sq ft; second 540,000+ sq ft building under construction).</t>
  </si>
  <si>
    <t>US MV switchgear production in Mt. Juliet, TN; other TN sites Smyrna and Franklin.</t>
  </si>
  <si>
    <t>https://www.se.com/us/en/about-us/newsroom/news/press-releases/Schneider-Electric-Opens-New-Energy-Manufacturing-Facility-in-Middle-Tennessee-68d6a8ba1686eb8d4d047558</t>
  </si>
  <si>
    <t>MVB-003</t>
  </si>
  <si>
    <t>ABB</t>
  </si>
  <si>
    <t>MV breakers/switchgear and grid components (Electrification); confirm 38 kV outdoor breaker line</t>
  </si>
  <si>
    <t>Cary, NC</t>
  </si>
  <si>
    <t>https://electrification.us.abb.com</t>
  </si>
  <si>
    <t>Public (SIX: ABBN)</t>
  </si>
  <si>
    <t>Sep 16, 2025: $110M US manufacturing investment (Richmond VA, Pinetops NC, Senatobia MS, Arecibo PR) incl. LV and MV grid components; ~17,000 US employees.</t>
  </si>
  <si>
    <t>~40 US facilities; confirm plant of origin for 34.5 kV equipment per quote.</t>
  </si>
  <si>
    <t>https://new.abb.com/news/detail/129047/abb-to-invest-us110-million-in-us-manufacturing</t>
  </si>
  <si>
    <t>MVB-004</t>
  </si>
  <si>
    <t>Siemens (Smart Infrastructure)</t>
  </si>
  <si>
    <t>SDV7 / SDV7-AR outdoor distribution vacuum breakers (15.5–38 kV, up to 40 kA, 200 kV BIL)</t>
  </si>
  <si>
    <t>Fort Worth, TX plant (low-voltage switchboards/switchgear; opened Mar 2025)</t>
  </si>
  <si>
    <t>https://www.siemens.com/us/en.html</t>
  </si>
  <si>
    <t>+1 (800) 347-6659</t>
  </si>
  <si>
    <t>Public (Frankfurt: SIE)</t>
  </si>
  <si>
    <t>Mar 2025: $190M Fort Worth, TX plant (LV equipment; 800 jobs by 2026) as part of $285M two-plant investment.</t>
  </si>
  <si>
    <t>SDV7 manufactured by Siemens Industry, Inc., Wendell, NC (per product flyer). German parent.</t>
  </si>
  <si>
    <t>https://assets.new.siemens.com/siemens/assets/api/uuid:49344958-3e1b-4282-ac76-e1c7fa185d32/ansi-mv-ovcb-sdv7-flyer-en.pdf</t>
  </si>
  <si>
    <t>MVB-005</t>
  </si>
  <si>
    <t>Powell Industries</t>
  </si>
  <si>
    <t>ANSI metal-clad (PowlVac, Power/Vac) and metal-enclosed switchgear; E-houses / PCR packaged solutions</t>
  </si>
  <si>
    <t>Houston, TX (HQ)</t>
  </si>
  <si>
    <t>https://www.powellind.com</t>
  </si>
  <si>
    <t>https://www.powellind.com/contact</t>
  </si>
  <si>
    <t>Public (NASDAQ: POWL)</t>
  </si>
  <si>
    <t>FY2025 (Sep 30) revenue $1.1B (+9%); backlog $1.4B; acquired Remsdaq Ltd. (UK SCADA RTUs) (Nov 18, 2025 release).</t>
  </si>
  <si>
    <t>Operations in US, Canada and UK; Texas-based manufacturer. Confirm 38 kV rating availability per product line.</t>
  </si>
  <si>
    <t>https://powellindustriesinc.gcs-web.com/news-releases/news-release-details/powell-industries-announces-fourth-quarter-and-full-year-0</t>
  </si>
  <si>
    <t>MVB-006</t>
  </si>
  <si>
    <t>S&amp;C Electric Company</t>
  </si>
  <si>
    <t>MV switching and protection (pad-mounted / metal-enclosed switchgear, distribution switching); confirm 34.5 kV collector-system products</t>
  </si>
  <si>
    <t>https://www.sandc.com</t>
  </si>
  <si>
    <t>Mar 2023: 275,000 sq ft Palatine, IL manufacturing expansion; ~3,500 employees globally.</t>
  </si>
  <si>
    <t>US manufacturing in Chicago area (Rogers Park HQ campus; Palatine, IL).</t>
  </si>
  <si>
    <t>https://www.sandc.com/en/company/</t>
  </si>
  <si>
    <t>MVB-007</t>
  </si>
  <si>
    <t>G&amp;W Electric</t>
  </si>
  <si>
    <t>Switchgear, reclosers, overhead switches, current-limiting protection, cable accessories; confirm 38 kV ratings</t>
  </si>
  <si>
    <t>Bolingbrook</t>
  </si>
  <si>
    <t>https://www.gwelectric.com</t>
  </si>
  <si>
    <t>Private (Mueller family; Chairman/owner John H. Mueller)</t>
  </si>
  <si>
    <t>Acquired Veneta Isolatori SpA (Italy). No revenue data published in sources reviewed.</t>
  </si>
  <si>
    <t>HQ and manufacturing in Bolingbrook, IL; facility in Italy. Confirm origin per product.</t>
  </si>
  <si>
    <t>https://www.gwelectric.com/about/</t>
  </si>
  <si>
    <t>EPC contractor services — Vendor Landscape</t>
  </si>
  <si>
    <t>EPC Scope</t>
  </si>
  <si>
    <t>Labor / Delivery Origin</t>
  </si>
  <si>
    <t>EPC-001</t>
  </si>
  <si>
    <t>Mortenson</t>
  </si>
  <si>
    <t>Full EPC for utility-scale BESS incl. project substation and gen-tie (e.g., Revolution 150 MW / 300 MWh, Crane TX, ERCOT)</t>
  </si>
  <si>
    <t>Minneapolis</t>
  </si>
  <si>
    <t>MN</t>
  </si>
  <si>
    <t>https://www.mortenson.com</t>
  </si>
  <si>
    <t>763.522.2100</t>
  </si>
  <si>
    <t>https://www.mortenson.com/contact</t>
  </si>
  <si>
    <t>Private (M. A. Mortenson Company)</t>
  </si>
  <si>
    <t>#1 utility-scale storage installer in Solar Power World 2026 list (5,776 MWh installed in 2025)</t>
  </si>
  <si>
    <t>https://www.mortenson.com/projects/revolution-energy-storage</t>
  </si>
  <si>
    <t>EPC-002</t>
  </si>
  <si>
    <t>McCarthy Building Companies</t>
  </si>
  <si>
    <t>Renewable Energy &amp; Storage group: utility-scale BESS and solar EPC</t>
  </si>
  <si>
    <t>St. Louis</t>
  </si>
  <si>
    <t>Austin; Dallas (Richardson); Houston; Channelview</t>
  </si>
  <si>
    <t>https://www.mccarthy.com</t>
  </si>
  <si>
    <t>314-968-3300</t>
  </si>
  <si>
    <t>https://www.mccarthy.com/contact-us</t>
  </si>
  <si>
    <t>#2 utility-scale storage installer in Solar Power World 2026 list (4,188 MWh installed in 2025); founded 1864</t>
  </si>
  <si>
    <t>https://www.mccarthy.com/locations/st-louis</t>
  </si>
  <si>
    <t>EPC-003</t>
  </si>
  <si>
    <t>Blattner (Quanta Services)</t>
  </si>
  <si>
    <t>Utility-scale wind, solar and energy storage construction/EPC incl. HV substation and collection</t>
  </si>
  <si>
    <t>Avon</t>
  </si>
  <si>
    <t>https://www.blattnercompany.com</t>
  </si>
  <si>
    <t>320-356-7351</t>
  </si>
  <si>
    <t>https://www.blattnercompany.com/contact</t>
  </si>
  <si>
    <t>Subsidiary of Quanta Services, Inc. (NYSE: PWR); acquisition completed Oct 14, 2021</t>
  </si>
  <si>
    <t>Says it has installed 20%+ of US utility-scale wind, solar and storage capacity; parent Quanta ranked #3 storage installer in Solar Power World 2026 (2,520 MWh)</t>
  </si>
  <si>
    <t>https://www.quantaservices.com/companies/blattner</t>
  </si>
  <si>
    <t>EPC-004</t>
  </si>
  <si>
    <t>Self-perform EPC for BESS, substations and transmission; Texas BESS EPC references</t>
  </si>
  <si>
    <t>75+ offices worldwide</t>
  </si>
  <si>
    <t>https://www.burnsmcd.com/news/epc-contract-for-west-texas-storage-projects</t>
  </si>
  <si>
    <t>EPC-005</t>
  </si>
  <si>
    <t>Primoris Services (Primoris Renewable Energy)</t>
  </si>
  <si>
    <t>Utility-scale solar and BESS EPC; T&amp;D/substation via Primoris T&amp;D and Power Line Services</t>
  </si>
  <si>
    <t>Dallas</t>
  </si>
  <si>
    <t>Dallas (corporate HQ); Fort Worth; Houston; The Woodlands; Converse; Balch Springs; Heath</t>
  </si>
  <si>
    <t>https://www.prim.com</t>
  </si>
  <si>
    <t>(214) 740-5600</t>
  </si>
  <si>
    <t>https://www.prim.com/contact</t>
  </si>
  <si>
    <t>Public (NYSE: PRIM)</t>
  </si>
  <si>
    <t>FY2025 revenue $7.6B (+19%); Energy segment $5.0B; renewables revenue &gt;$3B; backlog $11.9B; Primoris Renewable Energy HQ Aurora, CO (720-374-3900)</t>
  </si>
  <si>
    <t>EPC-006</t>
  </si>
  <si>
    <t>Rosendin</t>
  </si>
  <si>
    <t>Electrical contractor/EPC for utility-scale wind, solar, BESS and HV substation</t>
  </si>
  <si>
    <t>San Jose</t>
  </si>
  <si>
    <t>Austin; Coppell; Pflugerville; San Antonio</t>
  </si>
  <si>
    <t>https://www.rosendin.com</t>
  </si>
  <si>
    <t>(408) 286-2800</t>
  </si>
  <si>
    <t>https://www.rosendin.com/contact/</t>
  </si>
  <si>
    <t>Private; 100% employee-owned (ESOP)</t>
  </si>
  <si>
    <t>Founded 1919; 12,000+ employees; ~US$5.6B annual revenue (company history page)</t>
  </si>
  <si>
    <t>EPC-007</t>
  </si>
  <si>
    <t>SOLV Energy</t>
  </si>
  <si>
    <t>Utility-scale solar and BESS EPC, substation/HV, and O&amp;M</t>
  </si>
  <si>
    <t>San Diego</t>
  </si>
  <si>
    <t>https://solvenergy.com</t>
  </si>
  <si>
    <t>858.251.4888</t>
  </si>
  <si>
    <t>https://solvenergy.com/contact/</t>
  </si>
  <si>
    <t>Public (Nasdaq: MWH) since Feb 2026 IPO; sponsor American Securities</t>
  </si>
  <si>
    <t>IPO priced Feb 11, 2026 at $25 (~$513M raised); #4 utility-scale storage installer in Solar Power World 2026 (1,648 MWh)</t>
  </si>
  <si>
    <t>EPC-008</t>
  </si>
  <si>
    <t>MasTec Renewables (incl. former IEA, Wanzek, White Construction)</t>
  </si>
  <si>
    <t>Utility-scale solar, wind and battery storage EPC; parent also provides transmission and substation (Power Delivery segment)</t>
  </si>
  <si>
    <t>Coral Gables</t>
  </si>
  <si>
    <t>https://www.mastec.com</t>
  </si>
  <si>
    <t>Subsidiary/unit of MasTec, Inc. (NYSE: MTZ); MasTec acquired IEA Oct 7, 2022; IEA, Wanzek and White rebranded as MasTec Renewables</t>
  </si>
  <si>
    <t>MasTec FY2025 revenue ~$14.2B; Clean Energy &amp; Infrastructure segment ~$4.7B; ~36,000 employees; iea.net now redirects to mastec.com</t>
  </si>
  <si>
    <t>Operates in both union and open-shop markets</t>
  </si>
  <si>
    <t>https://mastec.com/expertise/clean-energy-and-infrastructure/renewables.html</t>
  </si>
  <si>
    <t>Software (QSE, EMS, APM, market data) — Vendor Landscape</t>
  </si>
  <si>
    <t>Sub-scope / Product</t>
  </si>
  <si>
    <t>Hosting / Development Origin</t>
  </si>
  <si>
    <t>SW-001</t>
  </si>
  <si>
    <t>Tesla, Inc. (Tesla Energy)</t>
  </si>
  <si>
    <t>(a)/(b) Trading &amp; BESS optimization - Autobidder (real-time trading and dispatch control platform)</t>
  </si>
  <si>
    <t>HQ: 1 Tesla Road, Austin, TX 78725 (Gigafactory Texas)</t>
  </si>
  <si>
    <t>https://www.tesla.com/support/energy/tesla-software/autobidder</t>
  </si>
  <si>
    <t>https://www.tesla.com/contact</t>
  </si>
  <si>
    <t>Autobidder described by Tesla as a real-time trading and control platform for market bidding and dispatch; Tesla page cites Hornsdale Power Reserve (S. Australia); official Autobidder page does not explicitly mention ERCOT. Support email on official page: autobiddersupport@tesla.com. (Tesla energy toll-free 877-798-3752 is residential Powerwall/Solar support, not listed as general line.)</t>
  </si>
  <si>
    <t>Official page: runs on Tesla's cloud infrastructure and interfaces with market operators via secure web APIs. No SOC 2/NERC CIP statement found.</t>
  </si>
  <si>
    <t>SW-002</t>
  </si>
  <si>
    <t>Fluence Energy (Fluence Mosaic / Nispera)</t>
  </si>
  <si>
    <t>(a)/(b) Fluence Mosaic intelligent bidding software (launched in ERCOT Feb 2023); (c) Fluence Nispera APM</t>
  </si>
  <si>
    <t>Houston (listed among Fluence office locations on contact page; street address not confirmed)</t>
  </si>
  <si>
    <t>https://fluenceenergy.com/contact/</t>
  </si>
  <si>
    <t>Public (NASDAQ: FLNC)</t>
  </si>
  <si>
    <t>Mosaic launched in ERCOT Feb 22, 2023 with 350+ MW of storage scheduled that year; acquired Nispera (Zurich; ~8 GW / 450 wind &amp; solar projects under APM) announced Apr 11, 2022.</t>
  </si>
  <si>
    <t>Nispera originally developed in Zurich, Switzerland. No SOC 2/NERC CIP statement found on pages reviewed.</t>
  </si>
  <si>
    <t>SW-003</t>
  </si>
  <si>
    <t>Ascend Analytics</t>
  </si>
  <si>
    <t>(a)/(d) SmartBidder (nodal price forecasting &amp; bid optimization); Market Intelligence, PowerSIMM, PowerVAL</t>
  </si>
  <si>
    <t>Boulder</t>
  </si>
  <si>
    <t>https://www.ascendanalytics.com</t>
  </si>
  <si>
    <t>1-303-415-1400</t>
  </si>
  <si>
    <t>https://www.ascendanalytics.com/about-us/lets-connect</t>
  </si>
  <si>
    <t>Private, PE-backed (Rubicon Technology Partners lead; Galvanize Climate Solutions; Silversmith Capital Partners)</t>
  </si>
  <si>
    <t>Strategic growth investment led by Rubicon Technology Partners with Galvanize and Silversmith announced Mar 21, 2024 (amount undisclosed); co-founded 2002.</t>
  </si>
  <si>
    <t>https://www.ascendanalytics.com/</t>
  </si>
  <si>
    <t>SW-004</t>
  </si>
  <si>
    <t>PCI Energy Solutions (Power Costs, Inc.)</t>
  </si>
  <si>
    <t>(a) ERCOT QSE / bid-to-bill - GenManager (forecast, ISO scheduling, settlements) and GenTrader (portfolio/storage optimization)</t>
  </si>
  <si>
    <t>Norman</t>
  </si>
  <si>
    <t>OK</t>
  </si>
  <si>
    <t>https://www.pcienergysolutions.com</t>
  </si>
  <si>
    <t>+1 405.447.6933</t>
  </si>
  <si>
    <t>https://www.pcienergysolutions.com/contact-us/</t>
  </si>
  <si>
    <t>Private (held by individual U.S. shareholders); definitive agreement to be acquired by Mitsubishi Electric (TSE: 6503)</t>
  </si>
  <si>
    <t>Mitsubishi Electric agreed Aug 20, 2026 to acquire 100% of PCI for ~US$1.4B, expected to close within 2026 subject to regulatory approvals; PCI says 50%+ of North American power optimized on its platform.</t>
  </si>
  <si>
    <t>Website cites a cloud-native platform; no explicit SOC 2/NERC CIP statement found. Offices also in Mexico City and Lima.</t>
  </si>
  <si>
    <t>SW-005</t>
  </si>
  <si>
    <t>Yes Energy</t>
  </si>
  <si>
    <t>(d) Market data &amp; analytics (PowerSignals, QuickSignals, Live Power, Demand Forecasts, EnCompass); (a) bid-to-bill (PowerCore, Submission Services)</t>
  </si>
  <si>
    <t>https://www.yesenergy.com</t>
  </si>
  <si>
    <t>+1 303-993-2773</t>
  </si>
  <si>
    <t>https://www.yesenergy.com/locations</t>
  </si>
  <si>
    <t>Private, PE-backed (Accel-KKR portfolio company since 2022)</t>
  </si>
  <si>
    <t>Accel-KKR invested 2022; acquisitions incl. Power Settlements (bid-to-bill) and TESLA Inc. forecasting (2024), The C Three Group and Live Power; processes ~1.2B daily updates from 1,400+ sources.</t>
  </si>
  <si>
    <t>https://www.yesenergy.com/</t>
  </si>
  <si>
    <t>SW-006</t>
  </si>
  <si>
    <t>Enverus</t>
  </si>
  <si>
    <t>(d) Market data &amp; analytics / forecasting - Enverus Power &amp; Renewables (Mosaic, Panorama, MarketView, Trading &amp; Risk)</t>
  </si>
  <si>
    <t>HQ: 2901 Via Fortuna #100, Austin, TX 78746</t>
  </si>
  <si>
    <t>https://www.enverus.com</t>
  </si>
  <si>
    <t>1-800-282-4245</t>
  </si>
  <si>
    <t>https://www.enverus.com/contact-us/</t>
  </si>
  <si>
    <t>Private, PE-backed (Blackstone agreed to acquire from Hellman &amp; Friedman and Genstar Capital; announced Aug 5, 2025, expected close by end of 2025 - closing not confirmed in sources reviewed)</t>
  </si>
  <si>
    <t>Blackstone acquisition announced Aug 5, 2025 (value not disclosed in release; press reports ~$6.5B); ~8,000 customers in 50 countries.</t>
  </si>
  <si>
    <t>SW-007</t>
  </si>
  <si>
    <t>Power Factors</t>
  </si>
  <si>
    <t>(c) Asset performance management / SCADA / EMS - Unity platform (Drive APM, local monitoring &amp; controls)</t>
  </si>
  <si>
    <t>San Francisco</t>
  </si>
  <si>
    <t>https://www.powerfactors.com</t>
  </si>
  <si>
    <t>1-866-398-3010</t>
  </si>
  <si>
    <t>https://www.powerfactors.com/contact</t>
  </si>
  <si>
    <t>Private, PE-backed (Vista Equity Partners majority since 2021; Mubadala strategic minority investor 2026)</t>
  </si>
  <si>
    <t>310+ GW under management, 600+ enterprise customers in 70+ countries (per About page); Mubadala joined as minority investor in 2026.</t>
  </si>
  <si>
    <t>About page states founded in San Francisco (2013) with operations in North America and Europe; HQ city based on founding location - current HQ address not published on pages reviewed. No SOC 2/NERC CIP statement found.</t>
  </si>
  <si>
    <t>https://www.powerfactors.com/about</t>
  </si>
  <si>
    <t>SW-008</t>
  </si>
  <si>
    <t>Habitat Energy</t>
  </si>
  <si>
    <t>(a)/(b) BESS optimization &amp; trading service incl. Level 4 QSE services in ERCOT (EVOLVE)</t>
  </si>
  <si>
    <t>Oxford</t>
  </si>
  <si>
    <t>England</t>
  </si>
  <si>
    <t>300 W. 6th St, Suite 1960, Austin, TX 78701</t>
  </si>
  <si>
    <t>https://www.habitat.energy</t>
  </si>
  <si>
    <t>https://www.habitat.energy/contact</t>
  </si>
  <si>
    <t>Private; portfolio company of Quinbrook Infrastructure Partners</t>
  </si>
  <si>
    <t>May 2024: contracted to optimize UBS Asset Management's 730 MW ERCOT BESS portfolio, taking ERCOT contracted capacity to ~1 GW and global portfolio to 2+ GW; 90+ employees.</t>
  </si>
  <si>
    <t>SW-009</t>
  </si>
  <si>
    <t>Tyba</t>
  </si>
  <si>
    <t>(b)/(d) BESS simulation, automated dispatch/bidding and AI price forecasting platform</t>
  </si>
  <si>
    <t>https://www.tyba.ai</t>
  </si>
  <si>
    <t>https://www.tyba.ai/contact/</t>
  </si>
  <si>
    <t>Private, VC-backed (Series A led by Energize Capital)</t>
  </si>
  <si>
    <t>Raised $13.9M Series A led by Energize Capital (Feb 7, 2025); operates 1+ GWh of storage across Texas and California.</t>
  </si>
  <si>
    <t>https://www.tyba.ai/</t>
  </si>
  <si>
    <t>SW-010</t>
  </si>
  <si>
    <t>Modo Energy</t>
  </si>
  <si>
    <t>(d) Market data, BESS revenue benchmarks &amp; forecasts (ERCOT coverage)</t>
  </si>
  <si>
    <t>https://modoenergy.com</t>
  </si>
  <si>
    <t>Private, VC-backed (Molten Ventures, ETF Partners, MMC Ventures, Fred. Olsen)</t>
  </si>
  <si>
    <t>Raised ~$33M (GBP 25M) Series B led by Molten Ventures (reported Dec 2025), following $15M Series A led by MMC (Nov 2023).</t>
  </si>
  <si>
    <t>Website lists teams in New York (Americas), London and Madrid, and Sydney; HQ as UK per ESS News. Benchmarks described as FCA-regulated.</t>
  </si>
  <si>
    <t>https://modoenergy.com/</t>
  </si>
  <si>
    <t>SW-011</t>
  </si>
  <si>
    <t>Stem, Inc.</t>
  </si>
  <si>
    <t>(b)/(c) PowerTrack Suite - PowerTrack EMS, PowerTrack Optimizer (formerly Athena), PowerTrack APM/monitoring (AlsoEnergy)</t>
  </si>
  <si>
    <t>HQ: 1400 Post Oak Blvd, Suite 560, Houston, TX 77056</t>
  </si>
  <si>
    <t>https://www.stem.com</t>
  </si>
  <si>
    <t>877-374-7836</t>
  </si>
  <si>
    <t>https://www.stem.com/contact/</t>
  </si>
  <si>
    <t>Public (NYSE: STEM)</t>
  </si>
  <si>
    <t>Sept 2025 strategic realignment: unified brand with AlsoEnergy, launched PowerTrack EMS and rebranded Athena as PowerTrack Optimizer; 600+ employees.</t>
  </si>
  <si>
    <t>Offices also in Broomfield &amp; Longmont CO, Berlin, Gurgaon, Tokyo.</t>
  </si>
  <si>
    <t>SW-012</t>
  </si>
  <si>
    <t>Tenaska Power Services Co. (TPS)</t>
  </si>
  <si>
    <t>(a) QSE service provider - power marketing, 24/7 energy management, storage/renewable portfolio optimization, settlements</t>
  </si>
  <si>
    <t>Irving</t>
  </si>
  <si>
    <t>TPS HQ: The Point at Las Colinas, 300 E. John Carpenter Freeway, Suite 1100, Irving, TX 75062</t>
  </si>
  <si>
    <t>https://www.tenaska.com/our-business/power-marketing/</t>
  </si>
  <si>
    <t>817-462-1521</t>
  </si>
  <si>
    <t>https://www.tenaska.com/contact-us/</t>
  </si>
  <si>
    <t>Subsidiary of Tenaska (privately held; HQ Omaha, NE)</t>
  </si>
  <si>
    <t>18,500+ MW wholesale/retail load management, 650+ enabling agreements, 29 years of energy management services; serves energy storage customers.</t>
  </si>
  <si>
    <t>Official page does not use the term 'QSE' explicitly; QSE role not confirmed from an official source (only historical ERCOT/SEC references seen in search results) - verify current ERCOT QSE registration.</t>
  </si>
  <si>
    <t>Strong</t>
  </si>
  <si>
    <t>Low</t>
  </si>
  <si>
    <t>RFI Sent</t>
  </si>
  <si>
    <t>Adequate</t>
  </si>
  <si>
    <t>Medium</t>
  </si>
  <si>
    <t>Yes - Verified</t>
  </si>
  <si>
    <t>RFI Received</t>
  </si>
  <si>
    <t>Weak</t>
  </si>
  <si>
    <t>High</t>
  </si>
  <si>
    <t>RFP Sent</t>
  </si>
  <si>
    <t>RFP Received</t>
  </si>
  <si>
    <t>RFQ Sent</t>
  </si>
  <si>
    <t>RFQ Received</t>
  </si>
  <si>
    <t>Awarded</t>
  </si>
  <si>
    <t>Tab</t>
  </si>
  <si>
    <t>Source URL (accessed 2026-10-05)</t>
  </si>
  <si>
    <t>https://www.erm.com/locations/</t>
  </si>
  <si>
    <t>https://en.wikipedia.org/wiki/Tetra_Tech</t>
  </si>
  <si>
    <t>https://tetratech.com/en/united-states</t>
  </si>
  <si>
    <t>https://www.stantec.com/en/offices/united-states-locations/texas-offices</t>
  </si>
  <si>
    <t>https://www.stantec.com/en/offices/united-states-locations/texas-offices/houston-tx</t>
  </si>
  <si>
    <t>https://www.stantec.com/en/offices/united-states-locations/texas-offices/san-antonio-texas-office</t>
  </si>
  <si>
    <t>https://www.wsp.com/en-us/contact-us/offices/united-states/texas</t>
  </si>
  <si>
    <t>https://www.wsp.com/en-us/contact-us/offices</t>
  </si>
  <si>
    <t>https://www.globenewswire.com/news-release/2026/02/24/3243828/0/en/WSP-completes-acquisition-of-TRC.html</t>
  </si>
  <si>
    <t>https://www.terracon.com/about/</t>
  </si>
  <si>
    <t>https://www.terracon.com/offices/austin/</t>
  </si>
  <si>
    <t>https://www.terracon.com/offices/houston/</t>
  </si>
  <si>
    <t>https://www.terracon.com/offices/san-antonio/</t>
  </si>
  <si>
    <t>https://www.terracon.com/offices/frisco/</t>
  </si>
  <si>
    <t>https://www.swca.com/about</t>
  </si>
  <si>
    <t>https://www.swca.com/offices/phoenix-az/</t>
  </si>
  <si>
    <t>https://dallasinnovates.com/new-york-based-blackstone-makes-majority-investment-in-north-texas-westwood-professional-services</t>
  </si>
  <si>
    <t>https://en.wikipedia.org/wiki/HDR,_Inc.</t>
  </si>
  <si>
    <t>https://www.hdrinc.com/locations/US/Texas/Austin</t>
  </si>
  <si>
    <t>https://www.hdrinc.com/locations/US/Texas/Houston</t>
  </si>
  <si>
    <t>https://www.kimley-horn.com/locations/?_state=texas</t>
  </si>
  <si>
    <t>https://dallasinnovates.com/infrastructure-consulting-firm-halff-to-relocate-its-richardson-hq-to-bigger-digs-in-the-city/</t>
  </si>
  <si>
    <t>https://www.pape-dawson.com/locations/</t>
  </si>
  <si>
    <t>https://www.pape-dawson.com/services/power-energy/</t>
  </si>
  <si>
    <t>https://www.privsource.com/acquisitions/deal/3AS2jb</t>
  </si>
  <si>
    <t>https://investors.bowman.com/news-releases/news-release-details/bowman-consulting-group-enters-definitive-agreement-be-acquired</t>
  </si>
  <si>
    <t>https://bowman.com/texas/</t>
  </si>
  <si>
    <t>https://www.terracon.com/locations/</t>
  </si>
  <si>
    <t>https://www.burnsmcd.com/about/locations</t>
  </si>
  <si>
    <t>https://www.burnsmcd.com/locations/houston</t>
  </si>
  <si>
    <t>https://www.walterpmoore.com/offices</t>
  </si>
  <si>
    <t>https://www.walterpmoore.com/about/history</t>
  </si>
  <si>
    <t>https://www.sargentlundy.com/about/</t>
  </si>
  <si>
    <t>https://www.sargentlundy.com/projects/battery-energy-storage-project/</t>
  </si>
  <si>
    <t>https://en.wikipedia.org/wiki/Black_%26_Veatch</t>
  </si>
  <si>
    <t>https://www.bv.com/en-US/news/black-and-veatch-expands-team-in-houston-to-support-growth-in-the-human-critical-infrastructure-markets</t>
  </si>
  <si>
    <t>https://www.bennettjones.com/News/Client-Work/2024/10/WSP-Completes-Acquisition-of-Power-Engineers-for-US1-78-Billion</t>
  </si>
  <si>
    <t>http://www.powereng.com/press-releases/power-engineers-moving-its-houston-office-to-larger-space/</t>
  </si>
  <si>
    <t>https://www.powereng.com/library/power-opens-new-tyler-location/</t>
  </si>
  <si>
    <t>https://www.utilitydive.com/press-release/20191011-electrical-consultants-inc-relay-application-innovation-inc-are-joini</t>
  </si>
  <si>
    <t>https://www.burnsmcd.com/news/cps-energy-turnkey-grid-modernization</t>
  </si>
  <si>
    <t>https://www.sargentlundy.com/services/grid/</t>
  </si>
  <si>
    <t>https://www.epeconsulting.com/</t>
  </si>
  <si>
    <t>https://www.businesswire.com/news/home/20250107310148/en</t>
  </si>
  <si>
    <t>https://en.wikipedia.org/wiki/Leidos</t>
  </si>
  <si>
    <t>https://careers.leidos.com/jobs/16634885-substation-engineering-supervisor</t>
  </si>
  <si>
    <t>https://www.jensenhughes.com/services/lithium-ion-risk-consulting</t>
  </si>
  <si>
    <t>https://www.newmountaincapital.com/new-mountain-capital-to-acquire-jensen-hughes-taps-dr-hisham-mahmoud-to-serve-as-chairman-of-the-board/</t>
  </si>
  <si>
    <t>https://hillerfire.com/resources/esrg-capabilities</t>
  </si>
  <si>
    <t>https://members.renewablesassociation.ca/activememberdirectory/Details/esrg-energy-safety-response-group-3878060</t>
  </si>
  <si>
    <t>https://fireriskalliance.com/battery-energy-storage-systems/</t>
  </si>
  <si>
    <t>https://www.telgian.com/companies-services/telgian-engineering-consulting/locations/</t>
  </si>
  <si>
    <t>https://www.telgian.com/energy-storage-systems-fire-hazard-considerations-webinar/</t>
  </si>
  <si>
    <t>https://jobs.dnv.com/locations/usa</t>
  </si>
  <si>
    <t>https://www.dnv.com/services/energy-storage-development-and-engineering-154224/</t>
  </si>
  <si>
    <t>https://www.dnv.com/Publications/quantitative-risk-analysis-for-battery-energy-storage-sites-154811/</t>
  </si>
  <si>
    <t>https://www.ul.com/about/locations</t>
  </si>
  <si>
    <t>https://www.lw.com/en/news/2024/04/latham-watkins-represents-ul-solutions-inc-in-upsized-us1-08-billion-ipo</t>
  </si>
  <si>
    <t>https://www.exponent.com/capabilities/battery-energy-storage-systems-bess-consulting</t>
  </si>
  <si>
    <t>https://www.exponent.com/offices/houston</t>
  </si>
  <si>
    <t>https://en.wikipedia.org/wiki/Exponent_(consulting_firm)</t>
  </si>
  <si>
    <t>https://www.dnv.com/news/2026/dnvcompletes-strategy-period-with-solid-growth/</t>
  </si>
  <si>
    <t>https://jobs.dnv.com/job-search/energy-systems/engineer/houston-tx-united-states-austin-tx-united-states-dallas-tx-united-states-medford-ma-united-states-oakland-ca-united-states-san-diego-ca-united-states-new-york-ny-united-states-portland-or-united-states-seattle-wa-united-states/senior-project-manager-owners-engineering/300000914813084</t>
  </si>
  <si>
    <t>https://www.tdrcapital.com/tdr-capital-v-acquires-applus/</t>
  </si>
  <si>
    <t>https://www.bv.com/news/black-and-veatch-expands-team-in-houston-to-support-growth-in-the-human-critical-infrastructure-markets</t>
  </si>
  <si>
    <t>https://www.bv.com/news/black-and-veatch-expands-construction-presence-in-texas-with-new-office</t>
  </si>
  <si>
    <t>https://careers.bv.com/job/Dallas-Consulting-Manager,-Asset-Management-TX-75201/1370757733</t>
  </si>
  <si>
    <t>https://www.sargentlundy.com/about-us</t>
  </si>
  <si>
    <t>https://international-sargentlundy.icims.com/jobs/12396/senior-electrical-consultant----renewable-energy/job</t>
  </si>
  <si>
    <t>https://pv-tech.org/clean-energy-associates-acquired-by-british-quality-assurance-firm-intertek</t>
  </si>
  <si>
    <t>https://taiyangnews.info/business/britains-intertek-acquires-clean-energy-associates</t>
  </si>
  <si>
    <t>https://www.careerbuilder.com/job-details/practice-builder-electrical-renewable-energy-austin-tx--d6dd89db-7e48-4d3a-8285-046a97192aa7</t>
  </si>
  <si>
    <t>https://www.naturalpower.com/us/news-post/25-years-of-natural-power</t>
  </si>
  <si>
    <t>https://www.burnsmcd.com/locations/kansas-city-mo?hsLang=en</t>
  </si>
  <si>
    <t>https://energy-storage.news/burns-mcdonnell-providing-epc-services-for-rwes-texas-waves-ii-bess</t>
  </si>
  <si>
    <t>https://boisedev.com/news/2024/08/13/hailey-energy-consulting-firm-acquisition-planned-for-17-billion/</t>
  </si>
  <si>
    <t>https://www.theladders.com/job/substation-senior-project-engineer-wsp-fort-worth-tx_88141000</t>
  </si>
  <si>
    <t>https://www.businesswire.com/news/home/20240807897752/en/Blackstone-Energy-Transition-Partners-Announces-Majority-Investment-in-Westwood-Professional-Services-Inc.-Leading-Engineering-Consulting-Firm</t>
  </si>
  <si>
    <t>https://dallasinnovates.com/plano-based-westwood-acquires-californias-odell-engineering/</t>
  </si>
  <si>
    <t>https://www.bv.com/news/black-and-veatch-to-build-200mwh-of-battery-energy-storage-solution-bess-in-the-uk</t>
  </si>
  <si>
    <t>https://www.sec.gov/Archives/edgar/data/1847590/000162828026015252/bwmn-20251231.htm</t>
  </si>
  <si>
    <t>https://www.nasdaq.com/press-release/bowman-acquires-rpt-alliance-broadens-energy-engineering-include-utility-scale-power</t>
  </si>
  <si>
    <t>https://jobs.dnv.com/job-search/energy-systems/engineer/new-york-ny-united-states-austin-tx-united-states-houston-tx-united-states-chalfont-pa-united-states-medford-ma-united-states-seattle-wa-united-states-portland-me-united-states-portland-or-united-states-oakland-ca-united-states-san-diego-ca-united-states/project-manager-energy-storage-independent-engineering-multiple-locations/300001018677780</t>
  </si>
  <si>
    <t>https://www.sec.gov/Archives/edgar/data/1336920/000133692025000006/ldos-20250103.htm</t>
  </si>
  <si>
    <t>https://www.sec.gov/Archives/edgar/data/1901440/000190144026000005/uls-20251231.htm</t>
  </si>
  <si>
    <t>https://news.metal.com/newscontent/104046720-tesla-starts-megapack-3-production-in-texas</t>
  </si>
  <si>
    <t>https://www.basenor.com/blogs/news/teslas-texas-megapack-factory-megapack-3-production-starts-2026</t>
  </si>
  <si>
    <t>https://finviz.com/news/67918/us-senator-john-curtis-visits-utah-manufacturing-facility-producing-fluence-battery-modules-highlights-energy-jobs-and-domestic-battery-supply-chain</t>
  </si>
  <si>
    <t>https://energy-storage.news/lg-energy-solution-begins-lfp-and-nmc-bess-and-ev-cell-production-at-michigan-factory</t>
  </si>
  <si>
    <t>https://www.solarpowerworldonline.com/2025/06/lg-energy-solutions-opens-lfp-battery-cell-manufacturing-plant-in-michigan/</t>
  </si>
  <si>
    <t>https://battery-news.de/en/2025/12/11/samsung-sdi-receives-billion-dollar-order-for-lfp-batteries-in-usa/</t>
  </si>
  <si>
    <t>https://www.wartsila.com/media/news/04-09-2024-wartsila-introduces-quantum3-a-complete-high-density-ac-block-energy-storage-system-with-industry-leading-features-and-controls-3489850</t>
  </si>
  <si>
    <t>https://www.businesswire.com/news/home/20250806799131/en/FlexGen-Expands-Global-Battery-Energy-Storage-Leadership-with-Court-Approval-of-Powin-Assets-Acquisition</t>
  </si>
  <si>
    <t>https://hithium.com/newsroom/latest/details/68.html</t>
  </si>
  <si>
    <t>https://www.industrialinfo.com/iirenergy/industry-news/article/canadian-solar-sees-bess-as-bright-side-of-tough-quarter--361881</t>
  </si>
  <si>
    <t>https://uk.finance.yahoo.com/quote/CSIQ/profile</t>
  </si>
  <si>
    <t>https://www.ess-news.com/2026/07/20/nextpower-completes-365-million-prevalon-energy-acquisition/</t>
  </si>
  <si>
    <t>https://prevalonenergy.com/</t>
  </si>
  <si>
    <t>https://www.datacenterdynamics.com/en/news/hitachi-energy-to-invest-1bn-into-us-grid-infrastructure-manufacturing-to-address-data-center-power-demand/</t>
  </si>
  <si>
    <t>https://hitachienergy.com/us/en/about-us/company-profile/pg-in-the-us</t>
  </si>
  <si>
    <t>https://www.prolec.energy/news/prolec-ge-invests-an-additional-140-million-in-the-u-s-to-support-north-american-electric-grid-goals/</t>
  </si>
  <si>
    <t>https://theljc.com/projects/weg-transformers-usa</t>
  </si>
  <si>
    <t>https://www.utilitydive.com/press-release/20251120-virginia-transformer-to-expand-georgia-transformer-plant-in-rincon-ga-to/</t>
  </si>
  <si>
    <t>https://bnnbloomberg.ca/investing/2025/01/09/virginia-transformer-considers-6-billion-sale</t>
  </si>
  <si>
    <t>https://www.cooperative.com/news/Pages/Transformer-Builder-ERMCO-to-Expand-Production-Into-Arizona-in-2027-as-Demand-Rises.aspx</t>
  </si>
  <si>
    <t>https://www.howard.com/INFO/news/2026/05/08/howard-industries-announces-major-expansion-of-mexico-manufacturing-operations.cfm</t>
  </si>
  <si>
    <t>https://www.maddox.com/about</t>
  </si>
  <si>
    <t>https://manufacturing-today.com/news/after-china-mexico-and-malaysia-jst-power-equipment-continues-its-expansion-with-a-new-us-factory-in-virginia/</t>
  </si>
  <si>
    <t>https://www.jstpower.com/</t>
  </si>
  <si>
    <t>https://sunbeltsolomon.com/about-us/</t>
  </si>
  <si>
    <t>https://trilanticnorthamerica.com/portfolio/sunbelt-solomon</t>
  </si>
  <si>
    <t>https://www.hitachienergy.com/ch/it/news-and-events/press-releases/2025/04/hitachi-energy-boosts-pennsylvania-investments-to-more-than-70-million</t>
  </si>
  <si>
    <t>https://www.plantservices.com/industry-news/news/55355114/siemens-energy-announces-1-billion-for-mississippi-plant-us-expansions</t>
  </si>
  <si>
    <t>https://www.gevernova.com/electrification/sites/default/files/resources/products/brochures/DT1-362-brochure-EN-N50281-Hybrid-202509-R003.pdf</t>
  </si>
  <si>
    <t>https://www.plantservices.com/industry-news/news/55399356/ge-vernova-invests-138-million-to-expand-power-transmission-manufacturing-facility-in-pennsylvania</t>
  </si>
  <si>
    <t>https://pennbizreport.com/news/29602-new-manufacturing-factory-facility-upgrades-planned-for-western-pennsylvania-with-86m-investment/</t>
  </si>
  <si>
    <t>https://switchgear-magazine.com/news/business/hyosung-targets-25-us-gcb-share/</t>
  </si>
  <si>
    <t>https://www.actionnews5.com/2025/11/12/hyosung-hico-expands-again-bringing-240-new-jobs-memphis</t>
  </si>
  <si>
    <t>https://www.plantengineering.com/schneider-electric-moves-corporate-hq-to-massachusetts/</t>
  </si>
  <si>
    <t>https://www.keranews.org/business-economy/2025-03-07/siemens-opens-190m-plant-in-south-fort-worth-adding-800-jobs-by-2026/</t>
  </si>
  <si>
    <t>https://www.powellind.com/</t>
  </si>
  <si>
    <t>https://www.renewableenergyworld.com/power-grid/sc-electric-expanding-manufacturing-facilities-to-meet-growing-demand/</t>
  </si>
  <si>
    <t>https://engineering.lehigh.edu/node/169459</t>
  </si>
  <si>
    <t>https://www.gwelectric.com/news/gw-electric-acquires-veneta-isolatori-spa/</t>
  </si>
  <si>
    <t>https://www.solarpowerworldonline.com/2026-top-solar-storage-installers/</t>
  </si>
  <si>
    <t>https://www.mccarthy.com/locations</t>
  </si>
  <si>
    <t>https://www.mccarthy.com/about</t>
  </si>
  <si>
    <t>https://www.quantaservices.com/quanta-services-completes-the-previously-announced-acquisition-of-blattner/</t>
  </si>
  <si>
    <t>https://www.sec.gov/Archives/edgar/data/1361538/000136153826000007/prim-20260217xex99.htm</t>
  </si>
  <si>
    <t>https://www.rosendin.com/contact/office-locations/</t>
  </si>
  <si>
    <t>https://www.rosendin.com/company/history/</t>
  </si>
  <si>
    <t>https://www.renaissancecapital.com/IPO-Center/News/116914/american-securities-solar-project-builder-solv-energy-prices-ipo-at-25</t>
  </si>
  <si>
    <t>https://investors.mastec.com/node/17776</t>
  </si>
  <si>
    <t>https://www.inforum.com/business/announcements/wanzek-rebrands-as-mastec-reflecting-continued-growth-and-commitment-5c42027021e12668ac8da793-66b4eefa6dbc50000e3b385e</t>
  </si>
  <si>
    <t>https://www.sec.gov/Archives/edgar/data/15615/000001561526000020/mtz-20251231.htm</t>
  </si>
  <si>
    <t>https://www.nasdaq.com/press-release/fluence-mosaic-intelligent-bidding-software-for-energy-storage-systems-expands-into</t>
  </si>
  <si>
    <t>https://ir.fluenceenergy.com/news-releases/news-release-details/fluence-announces-agreement-acquire-ai-enabled-software-service</t>
  </si>
  <si>
    <t>https://www.ascendanalytics.com/blog/ascend-analytics-announces-strategic-growth-investment</t>
  </si>
  <si>
    <t>https://www.pcienergysolutions.com/</t>
  </si>
  <si>
    <t>https://www.mitsubishielectric.com/en/pr/2026/pdf/0820_ei1.pdf</t>
  </si>
  <si>
    <t>https://www.accel-kkr.com/portfolio-company/yes-energy/</t>
  </si>
  <si>
    <t>https://www.enverus.com/</t>
  </si>
  <si>
    <t>https://www.businesswire.com/news/home/20250805990991/en/Blackstone-Announces-Agreement-to-Acquire-Enverus</t>
  </si>
  <si>
    <t>https://www.renewableenergyworld.com/energy-business/energy-finance/blackstone-to-acquire-energy-data-analytics-firm-in-6-5b-deal/</t>
  </si>
  <si>
    <t>https://www.powerfactors.com/contact-us</t>
  </si>
  <si>
    <t>https://www.williamblair.com/News/Power-Factors-and-Vista-Equity-Partners-Transaction</t>
  </si>
  <si>
    <t>https://www.businesswire.com/news/home/20240502931363/en/Habitat-Energy-to-optimize-UBS-Asset-Management%E2%80%99s-730MW-ERCOT-battery-storage-portfolio</t>
  </si>
  <si>
    <t>https://batterypoweronline.com/view-press-releases/entry/5380</t>
  </si>
  <si>
    <t>https://www.ess-news.com/2025/12/03/modo-energy-raises-33m-and-sets-out-ai-ambitions/</t>
  </si>
  <si>
    <t>https://mmc.vc/mmc-leads-15-million-series-a-for-modo-energy/</t>
  </si>
  <si>
    <t>https://www.businesswire.com/news/home/20250909722132/en/Stem-Inc.-Letter-to-Shareholders-Reflecting-on-our-journey-of-strategic-realignment</t>
  </si>
  <si>
    <t>https://www.tenaska.com/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</si>
</sst>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charset val="1"/>
    </font>
    <font>
      <b/>
      <sz val="16"/>
      <color rgb="FF1F3864"/>
      <name val="Arial"/>
      <charset val="1"/>
    </font>
    <font>
      <i/>
      <sz val="9"/>
      <color rgb="FF595959"/>
      <name val="Arial"/>
      <charset val="1"/>
    </font>
    <font>
      <b/>
      <sz val="11"/>
      <color rgb="FFFFFFFF"/>
      <name val="Arial"/>
      <charset val="1"/>
    </font>
    <font>
      <b/>
      <sz val="10"/>
      <name val="Arial"/>
      <charset val="1"/>
    </font>
    <font>
      <sz val="10"/>
      <name val="Arial"/>
      <charset val="1"/>
    </font>
    <font>
      <b/>
      <sz val="11"/>
      <name val="Arial"/>
      <charset val="1"/>
    </font>
    <font>
      <sz val="9"/>
      <name val="Arial"/>
      <charset val="1"/>
    </font>
    <font>
      <b/>
      <sz val="9"/>
      <color rgb="FFFFFFFF"/>
      <name val="Arial"/>
      <charset val="1"/>
    </font>
    <font>
      <b/>
      <sz val="14"/>
      <color rgb="FF1F3864"/>
      <name val="Arial"/>
      <charset val="1"/>
    </font>
    <font>
      <b/>
      <sz val="10"/>
      <color rgb="FFFFFFFF"/>
      <name val="Arial"/>
      <charset val="1"/>
    </font>
    <font>
      <u/>
      <sz val="10"/>
      <color rgb="FF0563C1"/>
      <name val="Arial"/>
      <charset val="1"/>
    </font>
    <font>
      <b/>
      <sz val="10"/>
      <color rgb="FF000000"/>
      <name val="Arial"/>
      <charset val="1"/>
    </font>
    <font>
      <u/>
      <sz val="9"/>
      <color rgb="FF0563C1"/>
      <name val="Arial"/>
      <charset val="1"/>
    </font>
    <font>
      <sz val="10"/>
      <name val="Arial"/>
      <family val="2"/>
    </font>
    <font>
      <sz val="11"/>
      <name val="Arial"/>
      <charset val="1"/>
    </font>
    <font>
      <sz val="9"/>
      <color rgb="FF000000"/>
      <name val="Arial"/>
      <charset val="1"/>
    </font>
  </fonts>
  <fills count="11">
    <fill>
      <patternFill patternType="none"/>
    </fill>
    <fill>
      <patternFill patternType="gray125"/>
    </fill>
    <fill>
      <patternFill patternType="solid">
        <fgColor rgb="FF1F3864"/>
        <bgColor rgb="FF333333"/>
      </patternFill>
    </fill>
    <fill>
      <patternFill patternType="solid">
        <fgColor rgb="FFFFF9DB"/>
        <bgColor rgb="FFFFFFFF"/>
      </patternFill>
    </fill>
    <fill>
      <patternFill patternType="solid">
        <fgColor rgb="FF2E5C8A"/>
        <bgColor rgb="FF1B7A7A"/>
      </patternFill>
    </fill>
    <fill>
      <patternFill patternType="solid">
        <fgColor rgb="FF1B7A7A"/>
        <bgColor rgb="FF2E5C8A"/>
      </patternFill>
    </fill>
    <fill>
      <patternFill patternType="solid">
        <fgColor rgb="FF2E7D32"/>
        <bgColor rgb="FF1B7A7A"/>
      </patternFill>
    </fill>
    <fill>
      <patternFill patternType="solid">
        <fgColor rgb="FF5E35B1"/>
        <bgColor rgb="FF595959"/>
      </patternFill>
    </fill>
    <fill>
      <patternFill patternType="solid">
        <fgColor rgb="FFC55A11"/>
        <bgColor rgb="FF993300"/>
      </patternFill>
    </fill>
    <fill>
      <patternFill patternType="solid">
        <fgColor rgb="FF595959"/>
        <bgColor rgb="FF2E5C8A"/>
      </patternFill>
    </fill>
    <fill>
      <patternFill patternType="solid">
        <fgColor rgb="FFD9E1F2"/>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3">
    <xf numFmtId="0" fontId="0" fillId="0" borderId="0" xfId="0"/>
    <xf numFmtId="0" fontId="10" fillId="9" borderId="0" xfId="0" applyFont="1" applyFill="1" applyAlignment="1">
      <alignment horizontal="center"/>
    </xf>
    <xf numFmtId="0" fontId="10" fillId="8" borderId="0" xfId="0" applyFont="1" applyFill="1" applyAlignment="1">
      <alignment horizontal="center"/>
    </xf>
    <xf numFmtId="0" fontId="10" fillId="7" borderId="0" xfId="0" applyFont="1" applyFill="1" applyAlignment="1">
      <alignment horizontal="center"/>
    </xf>
    <xf numFmtId="0" fontId="10" fillId="6" borderId="0" xfId="0" applyFont="1" applyFill="1" applyAlignment="1">
      <alignment horizontal="center"/>
    </xf>
    <xf numFmtId="0" fontId="10" fillId="5" borderId="0" xfId="0" applyFont="1" applyFill="1" applyAlignment="1">
      <alignment horizontal="center"/>
    </xf>
    <xf numFmtId="0" fontId="10" fillId="4" borderId="0" xfId="0" applyFont="1" applyFill="1" applyAlignment="1">
      <alignment horizontal="center"/>
    </xf>
    <xf numFmtId="0" fontId="10" fillId="2" borderId="0" xfId="0" applyFont="1" applyFill="1" applyAlignment="1">
      <alignment horizontal="center"/>
    </xf>
    <xf numFmtId="0" fontId="1" fillId="0" borderId="0" xfId="0" applyFont="1"/>
    <xf numFmtId="0" fontId="2" fillId="0" borderId="0" xfId="0" applyFont="1"/>
    <xf numFmtId="0" fontId="3" fillId="2" borderId="0" xfId="0" applyFont="1" applyFill="1"/>
    <xf numFmtId="0" fontId="0" fillId="2" borderId="0" xfId="0" applyFill="1"/>
    <xf numFmtId="0" fontId="4" fillId="0" borderId="0" xfId="0" applyFont="1" applyAlignment="1">
      <alignment vertical="top" wrapText="1"/>
    </xf>
    <xf numFmtId="0" fontId="5" fillId="0" borderId="0" xfId="0" applyFont="1" applyAlignment="1">
      <alignment vertical="top" wrapText="1"/>
    </xf>
    <xf numFmtId="0" fontId="6" fillId="0" borderId="0" xfId="0" applyFont="1"/>
    <xf numFmtId="0" fontId="7" fillId="0" borderId="0" xfId="0" applyFont="1"/>
    <xf numFmtId="0" fontId="7" fillId="3" borderId="0" xfId="0" applyFont="1" applyFill="1"/>
    <xf numFmtId="0" fontId="8"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9" fillId="0" borderId="0" xfId="0" applyFont="1"/>
    <xf numFmtId="0" fontId="10" fillId="2" borderId="1" xfId="0" applyFont="1" applyFill="1" applyBorder="1" applyAlignment="1">
      <alignment horizontal="center" vertical="center" wrapText="1"/>
    </xf>
    <xf numFmtId="0" fontId="11" fillId="0" borderId="1" xfId="0" applyFont="1" applyBorder="1"/>
    <xf numFmtId="0" fontId="5" fillId="0" borderId="1" xfId="0" applyFont="1" applyBorder="1" applyAlignment="1">
      <alignment horizontal="center"/>
    </xf>
    <xf numFmtId="0" fontId="6" fillId="10" borderId="1" xfId="0" applyFont="1" applyFill="1" applyBorder="1"/>
    <xf numFmtId="0" fontId="6" fillId="10" borderId="1" xfId="0" applyFont="1" applyFill="1" applyBorder="1" applyAlignment="1">
      <alignment horizontal="center"/>
    </xf>
    <xf numFmtId="0" fontId="12" fillId="10" borderId="1" xfId="0" applyFont="1" applyFill="1" applyBorder="1" applyAlignment="1">
      <alignment horizontal="center" vertical="center" wrapText="1"/>
    </xf>
    <xf numFmtId="0" fontId="7" fillId="0" borderId="1" xfId="0" applyFont="1" applyBorder="1" applyAlignment="1">
      <alignment vertical="top" wrapText="1"/>
    </xf>
    <xf numFmtId="0" fontId="13" fillId="0" borderId="1" xfId="0" applyFont="1" applyBorder="1" applyAlignment="1">
      <alignment vertical="top" wrapText="1"/>
    </xf>
    <xf numFmtId="0" fontId="7" fillId="3" borderId="1" xfId="0" applyFont="1" applyFill="1" applyBorder="1" applyAlignment="1">
      <alignment vertical="top" wrapText="1"/>
    </xf>
    <xf numFmtId="164" fontId="7" fillId="0" borderId="1" xfId="0" applyNumberFormat="1" applyFont="1" applyBorder="1" applyAlignment="1">
      <alignment vertical="top" wrapText="1"/>
    </xf>
    <xf numFmtId="164" fontId="7" fillId="3" borderId="1" xfId="0" applyNumberFormat="1" applyFont="1" applyFill="1" applyBorder="1" applyAlignment="1">
      <alignment vertical="top" wrapText="1"/>
    </xf>
    <xf numFmtId="0" fontId="7" fillId="0" borderId="0" xfId="0" applyFont="1" applyAlignment="1">
      <alignment vertical="top" wrapText="1"/>
    </xf>
    <xf numFmtId="0" fontId="7" fillId="3" borderId="0" xfId="0" applyFont="1" applyFill="1" applyAlignment="1">
      <alignment vertical="top" wrapText="1"/>
    </xf>
    <xf numFmtId="164" fontId="7" fillId="0" borderId="0" xfId="0" applyNumberFormat="1" applyFont="1" applyAlignment="1">
      <alignment vertical="top" wrapText="1"/>
    </xf>
    <xf numFmtId="164" fontId="7" fillId="3" borderId="0" xfId="0" applyNumberFormat="1" applyFont="1" applyFill="1" applyAlignment="1">
      <alignment vertical="top" wrapText="1"/>
    </xf>
    <xf numFmtId="0" fontId="15" fillId="0" borderId="0" xfId="0" applyFont="1"/>
    <xf numFmtId="0" fontId="16" fillId="0" borderId="0" xfId="0" applyFont="1"/>
    <xf numFmtId="0" fontId="13" fillId="0" borderId="0" xfId="0" applyFont="1"/>
  </cellXfs>
  <cellStyles count="1">
    <cellStyle name="Normal" xfId="0" builtinId="0"/>
  </cellStyles>
  <dxfs count="140">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
      <font>
        <b/>
        <color rgb="FF9C0006"/>
        <name val="Arial"/>
        <charset val="1"/>
      </font>
      <fill>
        <patternFill>
          <bgColor rgb="FFFFC7CE"/>
        </patternFill>
      </fill>
    </dxf>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FFC7CE"/>
        </patternFill>
      </fill>
    </dxf>
    <dxf>
      <fill>
        <patternFill>
          <bgColor rgb="FFFFEB9C"/>
        </patternFill>
      </fill>
    </dxf>
    <dxf>
      <fill>
        <patternFill>
          <bgColor rgb="FFDDEBF7"/>
        </patternFill>
      </fill>
    </dxf>
    <dxf>
      <fill>
        <patternFill>
          <bgColor rgb="FFE2EFDA"/>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B7A7A"/>
      <rgbColor rgb="FFBFBFBF"/>
      <rgbColor rgb="FF808080"/>
      <rgbColor rgb="FF9999FF"/>
      <rgbColor rgb="FF993366"/>
      <rgbColor rgb="FFFFF9DB"/>
      <rgbColor rgb="FFDDEBF7"/>
      <rgbColor rgb="FF660066"/>
      <rgbColor rgb="FFFF8080"/>
      <rgbColor rgb="FF0563C1"/>
      <rgbColor rgb="FFD9E1F2"/>
      <rgbColor rgb="FF000080"/>
      <rgbColor rgb="FFFF00FF"/>
      <rgbColor rgb="FFFFFF00"/>
      <rgbColor rgb="FF00FFFF"/>
      <rgbColor rgb="FF800080"/>
      <rgbColor rgb="FF800000"/>
      <rgbColor rgb="FF2E5C8A"/>
      <rgbColor rgb="FF0000FF"/>
      <rgbColor rgb="FF00CCFF"/>
      <rgbColor rgb="FFE2EFDA"/>
      <rgbColor rgb="FFC6EFCE"/>
      <rgbColor rgb="FFFFEB9C"/>
      <rgbColor rgb="FF99CCFF"/>
      <rgbColor rgb="FFFFC7CE"/>
      <rgbColor rgb="FFCC99FF"/>
      <rgbColor rgb="FFF8CBAD"/>
      <rgbColor rgb="FF3366FF"/>
      <rgbColor rgb="FF33CCCC"/>
      <rgbColor rgb="FF99CC00"/>
      <rgbColor rgb="FFFFCC00"/>
      <rgbColor rgb="FFFF9900"/>
      <rgbColor rgb="FFC55A11"/>
      <rgbColor rgb="FF595959"/>
      <rgbColor rgb="FF969696"/>
      <rgbColor rgb="FF1F3864"/>
      <rgbColor rgb="FF2E7D32"/>
      <rgbColor rgb="FF003300"/>
      <rgbColor rgb="FF333300"/>
      <rgbColor rgb="FF993300"/>
      <rgbColor rgb="FF993366"/>
      <rgbColor rgb="FF5E35B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2026-10-05_vendor-landscape-tracker_v01.xlsx" TargetMode="External"/><Relationship Id="rId13" Type="http://schemas.openxmlformats.org/officeDocument/2006/relationships/hyperlink" Target="2026-10-05_vendor-landscape-tracker_v01.xlsx" TargetMode="External"/><Relationship Id="rId3" Type="http://schemas.openxmlformats.org/officeDocument/2006/relationships/hyperlink" Target="2026-10-05_vendor-landscape-tracker_v01.xlsx" TargetMode="External"/><Relationship Id="rId7" Type="http://schemas.openxmlformats.org/officeDocument/2006/relationships/hyperlink" Target="2026-10-05_vendor-landscape-tracker_v01.xlsx" TargetMode="External"/><Relationship Id="rId12" Type="http://schemas.openxmlformats.org/officeDocument/2006/relationships/hyperlink" Target="2026-10-05_vendor-landscape-tracker_v01.xlsx" TargetMode="External"/><Relationship Id="rId2" Type="http://schemas.openxmlformats.org/officeDocument/2006/relationships/hyperlink" Target="2026-10-05_vendor-landscape-tracker_v01.xlsx" TargetMode="External"/><Relationship Id="rId1" Type="http://schemas.openxmlformats.org/officeDocument/2006/relationships/hyperlink" Target="2026-10-05_vendor-landscape-tracker_v01.xlsx" TargetMode="External"/><Relationship Id="rId6" Type="http://schemas.openxmlformats.org/officeDocument/2006/relationships/hyperlink" Target="2026-10-05_vendor-landscape-tracker_v01.xlsx" TargetMode="External"/><Relationship Id="rId11" Type="http://schemas.openxmlformats.org/officeDocument/2006/relationships/hyperlink" Target="2026-10-05_vendor-landscape-tracker_v01.xlsx" TargetMode="External"/><Relationship Id="rId5" Type="http://schemas.openxmlformats.org/officeDocument/2006/relationships/hyperlink" Target="2026-10-05_vendor-landscape-tracker_v01.xlsx" TargetMode="External"/><Relationship Id="rId10" Type="http://schemas.openxmlformats.org/officeDocument/2006/relationships/hyperlink" Target="2026-10-05_vendor-landscape-tracker_v01.xlsx" TargetMode="External"/><Relationship Id="rId4" Type="http://schemas.openxmlformats.org/officeDocument/2006/relationships/hyperlink" Target="2026-10-05_vendor-landscape-tracker_v01.xlsx" TargetMode="External"/><Relationship Id="rId9" Type="http://schemas.openxmlformats.org/officeDocument/2006/relationships/hyperlink" Target="2026-10-05_vendor-landscape-tracker_v01.xlsx" TargetMode="External"/><Relationship Id="rId14" Type="http://schemas.openxmlformats.org/officeDocument/2006/relationships/hyperlink" Target="2026-10-05_vendor-landscape-tracker_v01.xls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n.wikipedia.org/wiki/Stantec" TargetMode="External"/><Relationship Id="rId13" Type="http://schemas.openxmlformats.org/officeDocument/2006/relationships/hyperlink" Target="https://www.terracon.com/contact/" TargetMode="External"/><Relationship Id="rId18" Type="http://schemas.openxmlformats.org/officeDocument/2006/relationships/hyperlink" Target="https://westwoodps.com/" TargetMode="External"/><Relationship Id="rId3" Type="http://schemas.openxmlformats.org/officeDocument/2006/relationships/hyperlink" Target="https://en.wikipedia.org/wiki/ERM_(consultancy)" TargetMode="External"/><Relationship Id="rId21" Type="http://schemas.openxmlformats.org/officeDocument/2006/relationships/hyperlink" Target="https://www.hdrinc.com/" TargetMode="External"/><Relationship Id="rId7" Type="http://schemas.openxmlformats.org/officeDocument/2006/relationships/hyperlink" Target="https://www.stantec.com/en" TargetMode="External"/><Relationship Id="rId12" Type="http://schemas.openxmlformats.org/officeDocument/2006/relationships/hyperlink" Target="https://www.terracon.com/" TargetMode="External"/><Relationship Id="rId17" Type="http://schemas.openxmlformats.org/officeDocument/2006/relationships/hyperlink" Target="https://www.swca.com/contact" TargetMode="External"/><Relationship Id="rId25" Type="http://schemas.openxmlformats.org/officeDocument/2006/relationships/comments" Target="../comments1.xml"/><Relationship Id="rId2" Type="http://schemas.openxmlformats.org/officeDocument/2006/relationships/hyperlink" Target="https://www.erm.com/contact-us/" TargetMode="External"/><Relationship Id="rId16" Type="http://schemas.openxmlformats.org/officeDocument/2006/relationships/hyperlink" Target="https://www.swca.com/contact/" TargetMode="External"/><Relationship Id="rId20" Type="http://schemas.openxmlformats.org/officeDocument/2006/relationships/hyperlink" Target="https://westwoodps.com/about-us/offices" TargetMode="External"/><Relationship Id="rId1" Type="http://schemas.openxmlformats.org/officeDocument/2006/relationships/hyperlink" Target="https://www.erm.com/" TargetMode="External"/><Relationship Id="rId6" Type="http://schemas.openxmlformats.org/officeDocument/2006/relationships/hyperlink" Target="https://www.tetratech.com/contact/" TargetMode="External"/><Relationship Id="rId11" Type="http://schemas.openxmlformats.org/officeDocument/2006/relationships/hyperlink" Target="https://en.wikipedia.org/wiki/WSP_Global" TargetMode="External"/><Relationship Id="rId24" Type="http://schemas.openxmlformats.org/officeDocument/2006/relationships/vmlDrawing" Target="../drawings/vmlDrawing1.vml"/><Relationship Id="rId5" Type="http://schemas.openxmlformats.org/officeDocument/2006/relationships/hyperlink" Target="https://www.tetratech.com/contact/" TargetMode="External"/><Relationship Id="rId15" Type="http://schemas.openxmlformats.org/officeDocument/2006/relationships/hyperlink" Target="https://www.swca.com/" TargetMode="External"/><Relationship Id="rId23" Type="http://schemas.openxmlformats.org/officeDocument/2006/relationships/hyperlink" Target="https://www.hdrinc.com/contact-us" TargetMode="External"/><Relationship Id="rId10" Type="http://schemas.openxmlformats.org/officeDocument/2006/relationships/hyperlink" Target="https://www.wsp.com/en-us/contact-us" TargetMode="External"/><Relationship Id="rId19" Type="http://schemas.openxmlformats.org/officeDocument/2006/relationships/hyperlink" Target="https://westwoodps.com/contact-us" TargetMode="External"/><Relationship Id="rId4" Type="http://schemas.openxmlformats.org/officeDocument/2006/relationships/hyperlink" Target="https://www.tetratech.com/" TargetMode="External"/><Relationship Id="rId9" Type="http://schemas.openxmlformats.org/officeDocument/2006/relationships/hyperlink" Target="https://www.wsp.com/en-us" TargetMode="External"/><Relationship Id="rId14" Type="http://schemas.openxmlformats.org/officeDocument/2006/relationships/hyperlink" Target="https://www.terracon.com/contact/" TargetMode="External"/><Relationship Id="rId22" Type="http://schemas.openxmlformats.org/officeDocument/2006/relationships/hyperlink" Target="https://www.hdrinc.com/contact-us"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halff.com/contact/" TargetMode="External"/><Relationship Id="rId13" Type="http://schemas.openxmlformats.org/officeDocument/2006/relationships/hyperlink" Target="https://bowman.com/" TargetMode="External"/><Relationship Id="rId18" Type="http://schemas.openxmlformats.org/officeDocument/2006/relationships/hyperlink" Target="https://www.terracon.com/contact/" TargetMode="External"/><Relationship Id="rId3" Type="http://schemas.openxmlformats.org/officeDocument/2006/relationships/hyperlink" Target="https://en.wikipedia.org/wiki/Kimley-Horn" TargetMode="External"/><Relationship Id="rId21" Type="http://schemas.openxmlformats.org/officeDocument/2006/relationships/hyperlink" Target="https://en.wikipedia.org/wiki/Burns_%26_McDonnell" TargetMode="External"/><Relationship Id="rId7" Type="http://schemas.openxmlformats.org/officeDocument/2006/relationships/hyperlink" Target="https://www.halff.com/" TargetMode="External"/><Relationship Id="rId12" Type="http://schemas.openxmlformats.org/officeDocument/2006/relationships/hyperlink" Target="https://www.pape-dawson.com/contact" TargetMode="External"/><Relationship Id="rId17" Type="http://schemas.openxmlformats.org/officeDocument/2006/relationships/hyperlink" Target="https://www.terracon.com/contact/" TargetMode="External"/><Relationship Id="rId2" Type="http://schemas.openxmlformats.org/officeDocument/2006/relationships/hyperlink" Target="https://www.kimley-horn.com/contact/" TargetMode="External"/><Relationship Id="rId16" Type="http://schemas.openxmlformats.org/officeDocument/2006/relationships/hyperlink" Target="https://www.terracon.com/" TargetMode="External"/><Relationship Id="rId20" Type="http://schemas.openxmlformats.org/officeDocument/2006/relationships/hyperlink" Target="https://info.burnsmcd.com/contact-us" TargetMode="External"/><Relationship Id="rId1" Type="http://schemas.openxmlformats.org/officeDocument/2006/relationships/hyperlink" Target="https://www.kimley-horn.com/" TargetMode="External"/><Relationship Id="rId6" Type="http://schemas.openxmlformats.org/officeDocument/2006/relationships/hyperlink" Target="https://westwoodps.com/about-us/offices" TargetMode="External"/><Relationship Id="rId11" Type="http://schemas.openxmlformats.org/officeDocument/2006/relationships/hyperlink" Target="https://www.pape-dawson.com/contact" TargetMode="External"/><Relationship Id="rId5" Type="http://schemas.openxmlformats.org/officeDocument/2006/relationships/hyperlink" Target="https://westwoodps.com/contact-us" TargetMode="External"/><Relationship Id="rId15" Type="http://schemas.openxmlformats.org/officeDocument/2006/relationships/hyperlink" Target="https://investors.bowman.com/" TargetMode="External"/><Relationship Id="rId23" Type="http://schemas.openxmlformats.org/officeDocument/2006/relationships/comments" Target="../comments2.xml"/><Relationship Id="rId10" Type="http://schemas.openxmlformats.org/officeDocument/2006/relationships/hyperlink" Target="https://www.pape-dawson.com/" TargetMode="External"/><Relationship Id="rId19" Type="http://schemas.openxmlformats.org/officeDocument/2006/relationships/hyperlink" Target="https://www.burnsmcd.com/" TargetMode="External"/><Relationship Id="rId4" Type="http://schemas.openxmlformats.org/officeDocument/2006/relationships/hyperlink" Target="https://westwoodps.com/" TargetMode="External"/><Relationship Id="rId9" Type="http://schemas.openxmlformats.org/officeDocument/2006/relationships/hyperlink" Target="https://www.halff.com/contact/" TargetMode="External"/><Relationship Id="rId14" Type="http://schemas.openxmlformats.org/officeDocument/2006/relationships/hyperlink" Target="https://bowman.com/contact" TargetMode="External"/><Relationship Id="rId22"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nfo.burnsmcd.com/contact-us" TargetMode="External"/><Relationship Id="rId13" Type="http://schemas.openxmlformats.org/officeDocument/2006/relationships/hyperlink" Target="https://www.powereng.com/" TargetMode="External"/><Relationship Id="rId18" Type="http://schemas.openxmlformats.org/officeDocument/2006/relationships/comments" Target="../comments3.xml"/><Relationship Id="rId3" Type="http://schemas.openxmlformats.org/officeDocument/2006/relationships/hyperlink" Target="https://www.walterpmoore.com/about" TargetMode="External"/><Relationship Id="rId7" Type="http://schemas.openxmlformats.org/officeDocument/2006/relationships/hyperlink" Target="https://www.burnsmcd.com/" TargetMode="External"/><Relationship Id="rId12" Type="http://schemas.openxmlformats.org/officeDocument/2006/relationships/hyperlink" Target="https://www.bv.com/contact-us" TargetMode="External"/><Relationship Id="rId17" Type="http://schemas.openxmlformats.org/officeDocument/2006/relationships/vmlDrawing" Target="../drawings/vmlDrawing3.vml"/><Relationship Id="rId2" Type="http://schemas.openxmlformats.org/officeDocument/2006/relationships/hyperlink" Target="https://www.walterpmoore.com/contact" TargetMode="External"/><Relationship Id="rId16" Type="http://schemas.openxmlformats.org/officeDocument/2006/relationships/hyperlink" Target="https://www.flpublicpower.com/associate-membership/electrical-consultants-inc" TargetMode="External"/><Relationship Id="rId1" Type="http://schemas.openxmlformats.org/officeDocument/2006/relationships/hyperlink" Target="https://www.walterpmoore.com/" TargetMode="External"/><Relationship Id="rId6" Type="http://schemas.openxmlformats.org/officeDocument/2006/relationships/hyperlink" Target="https://www.sargentlundy.com/contact-us" TargetMode="External"/><Relationship Id="rId11" Type="http://schemas.openxmlformats.org/officeDocument/2006/relationships/hyperlink" Target="https://www.bv.com/contact-us" TargetMode="External"/><Relationship Id="rId5" Type="http://schemas.openxmlformats.org/officeDocument/2006/relationships/hyperlink" Target="https://www.sargentlundy.com/contact-us" TargetMode="External"/><Relationship Id="rId15" Type="http://schemas.openxmlformats.org/officeDocument/2006/relationships/hyperlink" Target="https://eciusa.com/" TargetMode="External"/><Relationship Id="rId10" Type="http://schemas.openxmlformats.org/officeDocument/2006/relationships/hyperlink" Target="https://www.bv.com/" TargetMode="External"/><Relationship Id="rId4" Type="http://schemas.openxmlformats.org/officeDocument/2006/relationships/hyperlink" Target="https://www.sargentlundy.com/" TargetMode="External"/><Relationship Id="rId9" Type="http://schemas.openxmlformats.org/officeDocument/2006/relationships/hyperlink" Target="https://en.wikipedia.org/wiki/Burns_%26_McDonnell" TargetMode="External"/><Relationship Id="rId14" Type="http://schemas.openxmlformats.org/officeDocument/2006/relationships/hyperlink" Target="https://www.wsp.com/en-us/news/2024/wsp-completes-acquisition-of-power-engineer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argentlundy.com/contact-us" TargetMode="External"/><Relationship Id="rId13" Type="http://schemas.openxmlformats.org/officeDocument/2006/relationships/hyperlink" Target="https://epeconsulting.com/contact" TargetMode="External"/><Relationship Id="rId18" Type="http://schemas.openxmlformats.org/officeDocument/2006/relationships/hyperlink" Target="https://www.leidos.com/" TargetMode="External"/><Relationship Id="rId3" Type="http://schemas.openxmlformats.org/officeDocument/2006/relationships/hyperlink" Target="https://www.burnsmcd.com/" TargetMode="External"/><Relationship Id="rId21" Type="http://schemas.openxmlformats.org/officeDocument/2006/relationships/hyperlink" Target="https://eciusa.com/" TargetMode="External"/><Relationship Id="rId7" Type="http://schemas.openxmlformats.org/officeDocument/2006/relationships/hyperlink" Target="https://www.sargentlundy.com/contact-us" TargetMode="External"/><Relationship Id="rId12" Type="http://schemas.openxmlformats.org/officeDocument/2006/relationships/hyperlink" Target="https://epeconsulting.com/" TargetMode="External"/><Relationship Id="rId17" Type="http://schemas.openxmlformats.org/officeDocument/2006/relationships/hyperlink" Target="https://www.trccompanies.com/contact-us/" TargetMode="External"/><Relationship Id="rId2" Type="http://schemas.openxmlformats.org/officeDocument/2006/relationships/hyperlink" Target="https://www.wsp.com/en-us/news/2024/wsp-completes-acquisition-of-power-engineers" TargetMode="External"/><Relationship Id="rId16" Type="http://schemas.openxmlformats.org/officeDocument/2006/relationships/hyperlink" Target="https://www.trccompanies.com/contact-us/" TargetMode="External"/><Relationship Id="rId20" Type="http://schemas.openxmlformats.org/officeDocument/2006/relationships/hyperlink" Target="https://www.leidos.com/markets/energy/texas" TargetMode="External"/><Relationship Id="rId1" Type="http://schemas.openxmlformats.org/officeDocument/2006/relationships/hyperlink" Target="https://www.powereng.com/" TargetMode="External"/><Relationship Id="rId6" Type="http://schemas.openxmlformats.org/officeDocument/2006/relationships/hyperlink" Target="https://www.sargentlundy.com/" TargetMode="External"/><Relationship Id="rId11" Type="http://schemas.openxmlformats.org/officeDocument/2006/relationships/hyperlink" Target="https://www.bv.com/contact-us" TargetMode="External"/><Relationship Id="rId24" Type="http://schemas.openxmlformats.org/officeDocument/2006/relationships/comments" Target="../comments4.xml"/><Relationship Id="rId5" Type="http://schemas.openxmlformats.org/officeDocument/2006/relationships/hyperlink" Target="https://en.wikipedia.org/wiki/Burns_%26_McDonnell" TargetMode="External"/><Relationship Id="rId15" Type="http://schemas.openxmlformats.org/officeDocument/2006/relationships/hyperlink" Target="https://www.trccompanies.com/" TargetMode="External"/><Relationship Id="rId23" Type="http://schemas.openxmlformats.org/officeDocument/2006/relationships/vmlDrawing" Target="../drawings/vmlDrawing4.vml"/><Relationship Id="rId10" Type="http://schemas.openxmlformats.org/officeDocument/2006/relationships/hyperlink" Target="https://www.bv.com/contact-us" TargetMode="External"/><Relationship Id="rId19" Type="http://schemas.openxmlformats.org/officeDocument/2006/relationships/hyperlink" Target="https://www.leidos.com/contact-us" TargetMode="External"/><Relationship Id="rId4" Type="http://schemas.openxmlformats.org/officeDocument/2006/relationships/hyperlink" Target="https://info.burnsmcd.com/contact-us" TargetMode="External"/><Relationship Id="rId9" Type="http://schemas.openxmlformats.org/officeDocument/2006/relationships/hyperlink" Target="https://www.bv.com/" TargetMode="External"/><Relationship Id="rId14" Type="http://schemas.openxmlformats.org/officeDocument/2006/relationships/hyperlink" Target="https://epeconsulting.com/contact" TargetMode="External"/><Relationship Id="rId22" Type="http://schemas.openxmlformats.org/officeDocument/2006/relationships/hyperlink" Target="https://www.flpublicpower.com/associate-membership/electrical-consultants-inc"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fireriskalliance.com/contact-us/" TargetMode="External"/><Relationship Id="rId13" Type="http://schemas.openxmlformats.org/officeDocument/2006/relationships/hyperlink" Target="https://www.dnv.com/" TargetMode="External"/><Relationship Id="rId18" Type="http://schemas.openxmlformats.org/officeDocument/2006/relationships/hyperlink" Target="https://www.ul.com/services/ess-safety-assessment-and-nfpa-compliance" TargetMode="External"/><Relationship Id="rId3" Type="http://schemas.openxmlformats.org/officeDocument/2006/relationships/hyperlink" Target="https://www.jensenhughes.com/contact-us" TargetMode="External"/><Relationship Id="rId21" Type="http://schemas.openxmlformats.org/officeDocument/2006/relationships/vmlDrawing" Target="../drawings/vmlDrawing5.vml"/><Relationship Id="rId7" Type="http://schemas.openxmlformats.org/officeDocument/2006/relationships/hyperlink" Target="https://fireriskalliance.com/" TargetMode="External"/><Relationship Id="rId12" Type="http://schemas.openxmlformats.org/officeDocument/2006/relationships/hyperlink" Target="https://www.telgian.com/contact/" TargetMode="External"/><Relationship Id="rId17" Type="http://schemas.openxmlformats.org/officeDocument/2006/relationships/hyperlink" Target="https://www.ul.com/contact-us" TargetMode="External"/><Relationship Id="rId2" Type="http://schemas.openxmlformats.org/officeDocument/2006/relationships/hyperlink" Target="https://www.jensenhughes.com/contact-us" TargetMode="External"/><Relationship Id="rId16" Type="http://schemas.openxmlformats.org/officeDocument/2006/relationships/hyperlink" Target="https://www.ul.com/" TargetMode="External"/><Relationship Id="rId20" Type="http://schemas.openxmlformats.org/officeDocument/2006/relationships/hyperlink" Target="https://www.exponent.com/offices/menlo-park" TargetMode="External"/><Relationship Id="rId1" Type="http://schemas.openxmlformats.org/officeDocument/2006/relationships/hyperlink" Target="https://www.jensenhughes.com/" TargetMode="External"/><Relationship Id="rId6" Type="http://schemas.openxmlformats.org/officeDocument/2006/relationships/hyperlink" Target="https://energyresponsegroup.com/" TargetMode="External"/><Relationship Id="rId11" Type="http://schemas.openxmlformats.org/officeDocument/2006/relationships/hyperlink" Target="https://www.telgian.com/contact/" TargetMode="External"/><Relationship Id="rId5" Type="http://schemas.openxmlformats.org/officeDocument/2006/relationships/hyperlink" Target="https://www.energyresponsegroup.com/contact" TargetMode="External"/><Relationship Id="rId15" Type="http://schemas.openxmlformats.org/officeDocument/2006/relationships/hyperlink" Target="https://en.wikipedia.org/wiki/DNV" TargetMode="External"/><Relationship Id="rId10" Type="http://schemas.openxmlformats.org/officeDocument/2006/relationships/hyperlink" Target="https://www.telgian.com/" TargetMode="External"/><Relationship Id="rId19" Type="http://schemas.openxmlformats.org/officeDocument/2006/relationships/hyperlink" Target="https://www.exponent.com/" TargetMode="External"/><Relationship Id="rId4" Type="http://schemas.openxmlformats.org/officeDocument/2006/relationships/hyperlink" Target="https://www.energyresponsegroup.com/" TargetMode="External"/><Relationship Id="rId9" Type="http://schemas.openxmlformats.org/officeDocument/2006/relationships/hyperlink" Target="https://fireriskalliance.com/" TargetMode="External"/><Relationship Id="rId14" Type="http://schemas.openxmlformats.org/officeDocument/2006/relationships/hyperlink" Target="https://www.dnv.us/contact/" TargetMode="External"/><Relationship Id="rId2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bv.com/contact-us" TargetMode="External"/><Relationship Id="rId13" Type="http://schemas.openxmlformats.org/officeDocument/2006/relationships/hyperlink" Target="https://www.cea3.com/" TargetMode="External"/><Relationship Id="rId18" Type="http://schemas.openxmlformats.org/officeDocument/2006/relationships/hyperlink" Target="https://www.naturalpower.com/" TargetMode="External"/><Relationship Id="rId3" Type="http://schemas.openxmlformats.org/officeDocument/2006/relationships/hyperlink" Target="https://www.dnv.com/services/owner-s-engineering-for-energy-storage-63162" TargetMode="External"/><Relationship Id="rId21" Type="http://schemas.openxmlformats.org/officeDocument/2006/relationships/vmlDrawing" Target="../drawings/vmlDrawing6.vml"/><Relationship Id="rId7" Type="http://schemas.openxmlformats.org/officeDocument/2006/relationships/hyperlink" Target="https://www.bv.com/" TargetMode="External"/><Relationship Id="rId12" Type="http://schemas.openxmlformats.org/officeDocument/2006/relationships/hyperlink" Target="https://www.sargentlundy.com/contact-us" TargetMode="External"/><Relationship Id="rId17" Type="http://schemas.openxmlformats.org/officeDocument/2006/relationships/hyperlink" Target="https://www.kimley-horn.com/services/energy-consulting/battery-energy-storage-systems-consulting/" TargetMode="External"/><Relationship Id="rId2" Type="http://schemas.openxmlformats.org/officeDocument/2006/relationships/hyperlink" Target="https://www.dnv.us/contact/" TargetMode="External"/><Relationship Id="rId16" Type="http://schemas.openxmlformats.org/officeDocument/2006/relationships/hyperlink" Target="https://www.kimley-horn.com/contact/submit-a-service-inquiry/" TargetMode="External"/><Relationship Id="rId20" Type="http://schemas.openxmlformats.org/officeDocument/2006/relationships/hyperlink" Target="https://www.naturalpower.com/us/sector/energy-storage" TargetMode="External"/><Relationship Id="rId1" Type="http://schemas.openxmlformats.org/officeDocument/2006/relationships/hyperlink" Target="https://www.dnv.com/" TargetMode="External"/><Relationship Id="rId6" Type="http://schemas.openxmlformats.org/officeDocument/2006/relationships/hyperlink" Target="https://enertisapplus.com/" TargetMode="External"/><Relationship Id="rId11" Type="http://schemas.openxmlformats.org/officeDocument/2006/relationships/hyperlink" Target="https://www.sargentlundy.com/contact-us" TargetMode="External"/><Relationship Id="rId5" Type="http://schemas.openxmlformats.org/officeDocument/2006/relationships/hyperlink" Target="https://enertisapplus.com/contact/" TargetMode="External"/><Relationship Id="rId15" Type="http://schemas.openxmlformats.org/officeDocument/2006/relationships/hyperlink" Target="https://www.kimley-horn.com/" TargetMode="External"/><Relationship Id="rId10" Type="http://schemas.openxmlformats.org/officeDocument/2006/relationships/hyperlink" Target="https://www.sargentlundy.com/" TargetMode="External"/><Relationship Id="rId19" Type="http://schemas.openxmlformats.org/officeDocument/2006/relationships/hyperlink" Target="https://www.naturalpower.com/us/contact" TargetMode="External"/><Relationship Id="rId4" Type="http://schemas.openxmlformats.org/officeDocument/2006/relationships/hyperlink" Target="https://enertisapplus.com/" TargetMode="External"/><Relationship Id="rId9" Type="http://schemas.openxmlformats.org/officeDocument/2006/relationships/hyperlink" Target="https://new.bv.com/news/black-and-veatch-appointed-as-owners-engineer-for-eccles-battery-storage-project-in-scotland" TargetMode="External"/><Relationship Id="rId14" Type="http://schemas.openxmlformats.org/officeDocument/2006/relationships/hyperlink" Target="https://www.cea3.com/" TargetMode="External"/><Relationship Id="rId2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8" Type="http://schemas.openxmlformats.org/officeDocument/2006/relationships/hyperlink" Target="https://www.wsp.com/en-gl/investors/press-releases/details/WSP-Completes-Acquisition--of-POWER-Engineers/2956467/2024" TargetMode="External"/><Relationship Id="rId13" Type="http://schemas.openxmlformats.org/officeDocument/2006/relationships/hyperlink" Target="https://www.bv.com/contact-us" TargetMode="External"/><Relationship Id="rId18" Type="http://schemas.openxmlformats.org/officeDocument/2006/relationships/hyperlink" Target="https://bowman.com/" TargetMode="External"/><Relationship Id="rId3" Type="http://schemas.openxmlformats.org/officeDocument/2006/relationships/hyperlink" Target="https://www.burnsmcd.com/" TargetMode="External"/><Relationship Id="rId21" Type="http://schemas.openxmlformats.org/officeDocument/2006/relationships/vmlDrawing" Target="../drawings/vmlDrawing7.vml"/><Relationship Id="rId7" Type="http://schemas.openxmlformats.org/officeDocument/2006/relationships/hyperlink" Target="https://www.powereng.com/" TargetMode="External"/><Relationship Id="rId12" Type="http://schemas.openxmlformats.org/officeDocument/2006/relationships/hyperlink" Target="https://www.bv.com/" TargetMode="External"/><Relationship Id="rId17" Type="http://schemas.openxmlformats.org/officeDocument/2006/relationships/hyperlink" Target="https://www.kimley-horn.com/services/energy-consulting/battery-energy-storage-systems-consulting/" TargetMode="External"/><Relationship Id="rId2" Type="http://schemas.openxmlformats.org/officeDocument/2006/relationships/hyperlink" Target="https://info.burnsmcd.com/contact-us" TargetMode="External"/><Relationship Id="rId16" Type="http://schemas.openxmlformats.org/officeDocument/2006/relationships/hyperlink" Target="https://www.kimley-horn.com/contact/submit-a-service-inquiry/" TargetMode="External"/><Relationship Id="rId20" Type="http://schemas.openxmlformats.org/officeDocument/2006/relationships/hyperlink" Target="https://bowman.com/services/battery-energy-storage-systems" TargetMode="External"/><Relationship Id="rId1" Type="http://schemas.openxmlformats.org/officeDocument/2006/relationships/hyperlink" Target="https://www.burnsmcd.com/" TargetMode="External"/><Relationship Id="rId6" Type="http://schemas.openxmlformats.org/officeDocument/2006/relationships/hyperlink" Target="https://www.sargentlundy.com/contact-us" TargetMode="External"/><Relationship Id="rId11" Type="http://schemas.openxmlformats.org/officeDocument/2006/relationships/hyperlink" Target="https://www.westwoodps.com/" TargetMode="External"/><Relationship Id="rId5" Type="http://schemas.openxmlformats.org/officeDocument/2006/relationships/hyperlink" Target="https://www.sargentlundy.com/contact-us" TargetMode="External"/><Relationship Id="rId15" Type="http://schemas.openxmlformats.org/officeDocument/2006/relationships/hyperlink" Target="https://www.kimley-horn.com/" TargetMode="External"/><Relationship Id="rId10" Type="http://schemas.openxmlformats.org/officeDocument/2006/relationships/hyperlink" Target="https://westwoodps.com/contact-us" TargetMode="External"/><Relationship Id="rId19" Type="http://schemas.openxmlformats.org/officeDocument/2006/relationships/hyperlink" Target="https://bowman.com/contact/" TargetMode="External"/><Relationship Id="rId4" Type="http://schemas.openxmlformats.org/officeDocument/2006/relationships/hyperlink" Target="https://www.sargentlundy.com/" TargetMode="External"/><Relationship Id="rId9" Type="http://schemas.openxmlformats.org/officeDocument/2006/relationships/hyperlink" Target="https://www.westwoodps.com/" TargetMode="External"/><Relationship Id="rId14" Type="http://schemas.openxmlformats.org/officeDocument/2006/relationships/hyperlink" Target="https://new.bv.com/news/black-and-veatch-appointed-as-owners-engineer-for-eccles-battery-storage-project-in-scotland" TargetMode="External"/><Relationship Id="rId22"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8" Type="http://schemas.openxmlformats.org/officeDocument/2006/relationships/hyperlink" Target="https://www.leidos.com/contact" TargetMode="External"/><Relationship Id="rId13" Type="http://schemas.openxmlformats.org/officeDocument/2006/relationships/hyperlink" Target="https://www.naturalpower.com/" TargetMode="External"/><Relationship Id="rId18" Type="http://schemas.openxmlformats.org/officeDocument/2006/relationships/vmlDrawing" Target="../drawings/vmlDrawing8.vml"/><Relationship Id="rId3" Type="http://schemas.openxmlformats.org/officeDocument/2006/relationships/hyperlink" Target="https://www.dnv.com/services/independent-engineering-and-technical-due-diligence-63108/" TargetMode="External"/><Relationship Id="rId7" Type="http://schemas.openxmlformats.org/officeDocument/2006/relationships/hyperlink" Target="https://www.leidos.com/" TargetMode="External"/><Relationship Id="rId12" Type="http://schemas.openxmlformats.org/officeDocument/2006/relationships/hyperlink" Target="https://sargentlundy.com/?p=12226" TargetMode="External"/><Relationship Id="rId17" Type="http://schemas.openxmlformats.org/officeDocument/2006/relationships/hyperlink" Target="https://www.builtinchicago.org/job/senior-project-engineer-energy-storage-advisory/9342322" TargetMode="External"/><Relationship Id="rId2" Type="http://schemas.openxmlformats.org/officeDocument/2006/relationships/hyperlink" Target="https://www.dnv.us/contact/" TargetMode="External"/><Relationship Id="rId16" Type="http://schemas.openxmlformats.org/officeDocument/2006/relationships/hyperlink" Target="https://www.ul.com/" TargetMode="External"/><Relationship Id="rId1" Type="http://schemas.openxmlformats.org/officeDocument/2006/relationships/hyperlink" Target="https://www.dnv.com/" TargetMode="External"/><Relationship Id="rId6" Type="http://schemas.openxmlformats.org/officeDocument/2006/relationships/hyperlink" Target="https://informedinfrastructure.com/index.php/post/enertis-applus-delivers-independent-engineering-expertise-to-texas-bess-projects-for-excelsior-energy-capital" TargetMode="External"/><Relationship Id="rId11" Type="http://schemas.openxmlformats.org/officeDocument/2006/relationships/hyperlink" Target="https://www.sargentlundy.com/contact-us" TargetMode="External"/><Relationship Id="rId5" Type="http://schemas.openxmlformats.org/officeDocument/2006/relationships/hyperlink" Target="https://enertisapplus.com/contact/" TargetMode="External"/><Relationship Id="rId15" Type="http://schemas.openxmlformats.org/officeDocument/2006/relationships/hyperlink" Target="https://www.naturalpower.com/us/news/news-post/natural-power-appoints-head-of-independent-engineering-in-north-america" TargetMode="External"/><Relationship Id="rId10" Type="http://schemas.openxmlformats.org/officeDocument/2006/relationships/hyperlink" Target="https://www.sargentlundy.com/" TargetMode="External"/><Relationship Id="rId19" Type="http://schemas.openxmlformats.org/officeDocument/2006/relationships/comments" Target="../comments8.xml"/><Relationship Id="rId4" Type="http://schemas.openxmlformats.org/officeDocument/2006/relationships/hyperlink" Target="https://enertisapplus.com/" TargetMode="External"/><Relationship Id="rId9" Type="http://schemas.openxmlformats.org/officeDocument/2006/relationships/hyperlink" Target="https://www.infocastinc.com/2026-solar-wind-finance-investment-sponsors/leidos" TargetMode="External"/><Relationship Id="rId14" Type="http://schemas.openxmlformats.org/officeDocument/2006/relationships/hyperlink" Target="https://www.naturalpower.com/us/contact"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powermag.com/sungrow-introduces-new-solar-energy-storage-products-for-north-american-market/" TargetMode="External"/><Relationship Id="rId13" Type="http://schemas.openxmlformats.org/officeDocument/2006/relationships/hyperlink" Target="https://www.wartsila.com/usa/about/contact-us" TargetMode="External"/><Relationship Id="rId18" Type="http://schemas.openxmlformats.org/officeDocument/2006/relationships/hyperlink" Target="https://hithium.com/" TargetMode="External"/><Relationship Id="rId26" Type="http://schemas.openxmlformats.org/officeDocument/2006/relationships/comments" Target="../comments9.xml"/><Relationship Id="rId3" Type="http://schemas.openxmlformats.org/officeDocument/2006/relationships/hyperlink" Target="https://www.tesla.com/megapack" TargetMode="External"/><Relationship Id="rId21" Type="http://schemas.openxmlformats.org/officeDocument/2006/relationships/hyperlink" Target="https://www.ess-news.com/2025/12/01/canadian-solar-consolidates-us-manufacturing-under-parent-including-solar-and-storage/" TargetMode="External"/><Relationship Id="rId7" Type="http://schemas.openxmlformats.org/officeDocument/2006/relationships/hyperlink" Target="https://www.sungrowpower.com/us/en/about-us/contact-us" TargetMode="External"/><Relationship Id="rId12" Type="http://schemas.openxmlformats.org/officeDocument/2006/relationships/hyperlink" Target="https://www.wartsila.com/usa" TargetMode="External"/><Relationship Id="rId17" Type="http://schemas.openxmlformats.org/officeDocument/2006/relationships/hyperlink" Target="https://www.flexgen.com/resources/blog/flexgen-completes-acquisition-powin-assets-expanding-global-leadership-grid-scale" TargetMode="External"/><Relationship Id="rId25" Type="http://schemas.openxmlformats.org/officeDocument/2006/relationships/vmlDrawing" Target="../drawings/vmlDrawing9.vml"/><Relationship Id="rId2" Type="http://schemas.openxmlformats.org/officeDocument/2006/relationships/hyperlink" Target="https://www.tesla.com/megapack" TargetMode="External"/><Relationship Id="rId16" Type="http://schemas.openxmlformats.org/officeDocument/2006/relationships/hyperlink" Target="https://www.flexgen.com/contact-us" TargetMode="External"/><Relationship Id="rId20" Type="http://schemas.openxmlformats.org/officeDocument/2006/relationships/hyperlink" Target="https://www.csisolar.com/e-storage/" TargetMode="External"/><Relationship Id="rId1" Type="http://schemas.openxmlformats.org/officeDocument/2006/relationships/hyperlink" Target="https://www.tesla.com/megapack" TargetMode="External"/><Relationship Id="rId6" Type="http://schemas.openxmlformats.org/officeDocument/2006/relationships/hyperlink" Target="https://www.sungrowpower.com/us/en" TargetMode="External"/><Relationship Id="rId11" Type="http://schemas.openxmlformats.org/officeDocument/2006/relationships/hyperlink" Target="https://www.solarpowerworldonline.com/2025/12/samsung-sdi-to-begin-lfp-battery-manufacturing-in-indiana/" TargetMode="External"/><Relationship Id="rId24" Type="http://schemas.openxmlformats.org/officeDocument/2006/relationships/hyperlink" Target="https://www.businesswire.com/news/home/20260720085364/en/" TargetMode="External"/><Relationship Id="rId5" Type="http://schemas.openxmlformats.org/officeDocument/2006/relationships/hyperlink" Target="https://www.nasdaq.com/press-release/fluence-energy-inc-reports-2025-financial-results-and-initiates-2026-guidance-2025-11" TargetMode="External"/><Relationship Id="rId15" Type="http://schemas.openxmlformats.org/officeDocument/2006/relationships/hyperlink" Target="https://www.flexgen.com/" TargetMode="External"/><Relationship Id="rId23" Type="http://schemas.openxmlformats.org/officeDocument/2006/relationships/hyperlink" Target="https://prevalonenergy.com/contact-us/" TargetMode="External"/><Relationship Id="rId10" Type="http://schemas.openxmlformats.org/officeDocument/2006/relationships/hyperlink" Target="https://www.samsungsdi.com/" TargetMode="External"/><Relationship Id="rId19" Type="http://schemas.openxmlformats.org/officeDocument/2006/relationships/hyperlink" Target="https://dallasinnovates.com/hithium-opens-200m-battery-energy-storage-manufacturing-facility-in-north-texas/" TargetMode="External"/><Relationship Id="rId4" Type="http://schemas.openxmlformats.org/officeDocument/2006/relationships/hyperlink" Target="https://fluenceenergy.com/" TargetMode="External"/><Relationship Id="rId9" Type="http://schemas.openxmlformats.org/officeDocument/2006/relationships/hyperlink" Target="https://lgcorp.com/media/release/28489" TargetMode="External"/><Relationship Id="rId14" Type="http://schemas.openxmlformats.org/officeDocument/2006/relationships/hyperlink" Target="https://energy-storage.news/wartsila-closes-strategic-review-of-energy-storage-segment-remains-committed-to-sector" TargetMode="External"/><Relationship Id="rId22" Type="http://schemas.openxmlformats.org/officeDocument/2006/relationships/hyperlink" Target="https://prevalonenergy.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areadevelopment.com/newsItems/9-27-2025/weg-washington-missouri.shtml" TargetMode="External"/><Relationship Id="rId13" Type="http://schemas.openxmlformats.org/officeDocument/2006/relationships/hyperlink" Target="https://www.ermco-eci.com/" TargetMode="External"/><Relationship Id="rId18" Type="http://schemas.openxmlformats.org/officeDocument/2006/relationships/hyperlink" Target="https://www.maddox.com/contact" TargetMode="External"/><Relationship Id="rId26" Type="http://schemas.openxmlformats.org/officeDocument/2006/relationships/vmlDrawing" Target="../drawings/vmlDrawing10.vml"/><Relationship Id="rId3" Type="http://schemas.openxmlformats.org/officeDocument/2006/relationships/hyperlink" Target="https://www.eaton.com/us/en-us.html" TargetMode="External"/><Relationship Id="rId21" Type="http://schemas.openxmlformats.org/officeDocument/2006/relationships/hyperlink" Target="https://jstpower.com/contact/" TargetMode="External"/><Relationship Id="rId7" Type="http://schemas.openxmlformats.org/officeDocument/2006/relationships/hyperlink" Target="https://www.weg.net/institutional/US/en/" TargetMode="External"/><Relationship Id="rId12" Type="http://schemas.openxmlformats.org/officeDocument/2006/relationships/hyperlink" Target="https://www.ermco-eci.com/" TargetMode="External"/><Relationship Id="rId17" Type="http://schemas.openxmlformats.org/officeDocument/2006/relationships/hyperlink" Target="https://www.maddox.com/" TargetMode="External"/><Relationship Id="rId25" Type="http://schemas.openxmlformats.org/officeDocument/2006/relationships/hyperlink" Target="https://www.sunbeltsolomon.com/" TargetMode="External"/><Relationship Id="rId2" Type="http://schemas.openxmlformats.org/officeDocument/2006/relationships/hyperlink" Target="https://www.publicpower.org/periodical/article/hitachi-energy-new-distribution-transformer-factory-serve-north-american-market" TargetMode="External"/><Relationship Id="rId16" Type="http://schemas.openxmlformats.org/officeDocument/2006/relationships/hyperlink" Target="https://www.howard.com/INFO/news/2025/06/26/howard-industries-invests-over-230-million-to-expand-operations-across-mississippi.cfm" TargetMode="External"/><Relationship Id="rId20" Type="http://schemas.openxmlformats.org/officeDocument/2006/relationships/hyperlink" Target="https://www.jstpower.com/" TargetMode="External"/><Relationship Id="rId1" Type="http://schemas.openxmlformats.org/officeDocument/2006/relationships/hyperlink" Target="https://www.hitachienergy.com/us/en" TargetMode="External"/><Relationship Id="rId6" Type="http://schemas.openxmlformats.org/officeDocument/2006/relationships/hyperlink" Target="https://www.tdworld.com/utility-business/news/55355616/ge-vernova-completes-acquisition-of-prolec-ge" TargetMode="External"/><Relationship Id="rId11" Type="http://schemas.openxmlformats.org/officeDocument/2006/relationships/hyperlink" Target="https://www.vatransformer.com/" TargetMode="External"/><Relationship Id="rId24" Type="http://schemas.openxmlformats.org/officeDocument/2006/relationships/hyperlink" Target="https://www.sunbeltsolomon.com/" TargetMode="External"/><Relationship Id="rId5" Type="http://schemas.openxmlformats.org/officeDocument/2006/relationships/hyperlink" Target="https://www.prolec.energy/" TargetMode="External"/><Relationship Id="rId15" Type="http://schemas.openxmlformats.org/officeDocument/2006/relationships/hyperlink" Target="https://www.howard.com/" TargetMode="External"/><Relationship Id="rId23" Type="http://schemas.openxmlformats.org/officeDocument/2006/relationships/hyperlink" Target="https://www.sunbeltsolomon.com/" TargetMode="External"/><Relationship Id="rId10" Type="http://schemas.openxmlformats.org/officeDocument/2006/relationships/hyperlink" Target="https://www.vatransformer.com/" TargetMode="External"/><Relationship Id="rId19" Type="http://schemas.openxmlformats.org/officeDocument/2006/relationships/hyperlink" Target="https://www.maddox.com/" TargetMode="External"/><Relationship Id="rId4" Type="http://schemas.openxmlformats.org/officeDocument/2006/relationships/hyperlink" Target="https://www.businesswire.com/news/home/20250212663224/en" TargetMode="External"/><Relationship Id="rId9" Type="http://schemas.openxmlformats.org/officeDocument/2006/relationships/hyperlink" Target="https://www.vatransformer.com/" TargetMode="External"/><Relationship Id="rId14" Type="http://schemas.openxmlformats.org/officeDocument/2006/relationships/hyperlink" Target="https://www.ermco-eci.com/" TargetMode="External"/><Relationship Id="rId22" Type="http://schemas.openxmlformats.org/officeDocument/2006/relationships/hyperlink" Target="https://www.businesswire.com/news/home/20260519751615/en/JST-Power-Equipment-Opens-Virginia-Transformer-Manufacturing-Facility-to-Support-Power-for-Utilities-and-Data-Center-Demand" TargetMode="External"/><Relationship Id="rId27"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8" Type="http://schemas.openxmlformats.org/officeDocument/2006/relationships/hyperlink" Target="https://www.meppi.com/" TargetMode="External"/><Relationship Id="rId13" Type="http://schemas.openxmlformats.org/officeDocument/2006/relationships/hyperlink" Target="https://transformer-technology.com/hd-hyundai-electric-expands-us-grid-presence-with-119-million-contract/" TargetMode="External"/><Relationship Id="rId3" Type="http://schemas.openxmlformats.org/officeDocument/2006/relationships/hyperlink" Target="https://siemens-energy.com/us/en/home.html" TargetMode="External"/><Relationship Id="rId7" Type="http://schemas.openxmlformats.org/officeDocument/2006/relationships/hyperlink" Target="https://www.gevernova.com/grid-solutions/equipment/circuit-breakers/dead-tank-circuit-breakers" TargetMode="External"/><Relationship Id="rId12" Type="http://schemas.openxmlformats.org/officeDocument/2006/relationships/hyperlink" Target="https://www.koreatimes.co.kr/business/companies/20260918/hyosung-heavy-industries-forms-us-joint-venture-to-make-high-voltage-circuit-breakers" TargetMode="External"/><Relationship Id="rId2" Type="http://schemas.openxmlformats.org/officeDocument/2006/relationships/hyperlink" Target="https://www.hitachienergy.com/products-and-solutions/high-voltage-switchgear-and-breakers/air-insulated-switchgear/dead-tank-circuit-breaker-362-420-kv" TargetMode="External"/><Relationship Id="rId1" Type="http://schemas.openxmlformats.org/officeDocument/2006/relationships/hyperlink" Target="https://www.hitachienergy.com/us/en" TargetMode="External"/><Relationship Id="rId6" Type="http://schemas.openxmlformats.org/officeDocument/2006/relationships/hyperlink" Target="https://www.gevernova.com/grid-solutions/equipment/circuit-breakers/dead-tank-circuit-breakers" TargetMode="External"/><Relationship Id="rId11" Type="http://schemas.openxmlformats.org/officeDocument/2006/relationships/hyperlink" Target="https://www.hyosungheavyindustries.com/en/business/power-products/P010104" TargetMode="External"/><Relationship Id="rId5" Type="http://schemas.openxmlformats.org/officeDocument/2006/relationships/hyperlink" Target="https://siemens-energy.com/us/en/home/products-services/product/dead-tank.html" TargetMode="External"/><Relationship Id="rId15" Type="http://schemas.openxmlformats.org/officeDocument/2006/relationships/comments" Target="../comments11.xml"/><Relationship Id="rId10" Type="http://schemas.openxmlformats.org/officeDocument/2006/relationships/hyperlink" Target="https://meppi.com/products/hv-gas-insulated-circuit-breakers" TargetMode="External"/><Relationship Id="rId4" Type="http://schemas.openxmlformats.org/officeDocument/2006/relationships/hyperlink" Target="https://siemens-energy.com/us/en/home/products-services/product/dead-tank.html" TargetMode="External"/><Relationship Id="rId9" Type="http://schemas.openxmlformats.org/officeDocument/2006/relationships/hyperlink" Target="https://www.meppi.com/contact-us" TargetMode="External"/><Relationship Id="rId14"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8" Type="http://schemas.openxmlformats.org/officeDocument/2006/relationships/hyperlink" Target="https://assets.new.siemens.com/siemens/assets/api/uuid:49344958-3e1b-4282-ac76-e1c7fa185d32/ansi-mv-ovcb-sdv7-flyer-en.pdf" TargetMode="External"/><Relationship Id="rId13" Type="http://schemas.openxmlformats.org/officeDocument/2006/relationships/hyperlink" Target="https://www.sandc.com/en/company/" TargetMode="External"/><Relationship Id="rId3" Type="http://schemas.openxmlformats.org/officeDocument/2006/relationships/hyperlink" Target="https://www.se.com/us/en/" TargetMode="External"/><Relationship Id="rId7" Type="http://schemas.openxmlformats.org/officeDocument/2006/relationships/hyperlink" Target="https://www.siemens.com/us/en.html" TargetMode="External"/><Relationship Id="rId12" Type="http://schemas.openxmlformats.org/officeDocument/2006/relationships/hyperlink" Target="https://www.sandc.com/" TargetMode="External"/><Relationship Id="rId17" Type="http://schemas.openxmlformats.org/officeDocument/2006/relationships/comments" Target="../comments12.xml"/><Relationship Id="rId2" Type="http://schemas.openxmlformats.org/officeDocument/2006/relationships/hyperlink" Target="https://eaton.com/us/en-us/catalog/medium-voltage-power-distribution-control-systems/vacclad-w-38-kv-metal-clad-medium-voltage-switchgear.html" TargetMode="External"/><Relationship Id="rId16" Type="http://schemas.openxmlformats.org/officeDocument/2006/relationships/vmlDrawing" Target="../drawings/vmlDrawing12.vml"/><Relationship Id="rId1" Type="http://schemas.openxmlformats.org/officeDocument/2006/relationships/hyperlink" Target="https://www.eaton.com/us/en-us.html" TargetMode="External"/><Relationship Id="rId6" Type="http://schemas.openxmlformats.org/officeDocument/2006/relationships/hyperlink" Target="https://new.abb.com/news/detail/129047/abb-to-invest-us110-million-in-us-manufacturing" TargetMode="External"/><Relationship Id="rId11" Type="http://schemas.openxmlformats.org/officeDocument/2006/relationships/hyperlink" Target="https://powellindustriesinc.gcs-web.com/news-releases/news-release-details/powell-industries-announces-fourth-quarter-and-full-year-0" TargetMode="External"/><Relationship Id="rId5" Type="http://schemas.openxmlformats.org/officeDocument/2006/relationships/hyperlink" Target="https://electrification.us.abb.com/" TargetMode="External"/><Relationship Id="rId15" Type="http://schemas.openxmlformats.org/officeDocument/2006/relationships/hyperlink" Target="https://www.gwelectric.com/about/" TargetMode="External"/><Relationship Id="rId10" Type="http://schemas.openxmlformats.org/officeDocument/2006/relationships/hyperlink" Target="https://www.powellind.com/contact" TargetMode="External"/><Relationship Id="rId4" Type="http://schemas.openxmlformats.org/officeDocument/2006/relationships/hyperlink" Target="https://www.se.com/us/en/about-us/newsroom/news/press-releases/Schneider-Electric-Opens-New-Energy-Manufacturing-Facility-in-Middle-Tennessee-68d6a8ba1686eb8d4d047558" TargetMode="External"/><Relationship Id="rId9" Type="http://schemas.openxmlformats.org/officeDocument/2006/relationships/hyperlink" Target="https://www.powellind.com/" TargetMode="External"/><Relationship Id="rId14" Type="http://schemas.openxmlformats.org/officeDocument/2006/relationships/hyperlink" Target="https://www.gwelectric.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www.blattnercompany.com/contact" TargetMode="External"/><Relationship Id="rId13" Type="http://schemas.openxmlformats.org/officeDocument/2006/relationships/hyperlink" Target="https://www.prim.com/" TargetMode="External"/><Relationship Id="rId18" Type="http://schemas.openxmlformats.org/officeDocument/2006/relationships/hyperlink" Target="https://www.rosendin.com/contact/" TargetMode="External"/><Relationship Id="rId3" Type="http://schemas.openxmlformats.org/officeDocument/2006/relationships/hyperlink" Target="https://www.mortenson.com/projects/revolution-energy-storage" TargetMode="External"/><Relationship Id="rId21" Type="http://schemas.openxmlformats.org/officeDocument/2006/relationships/hyperlink" Target="https://solvenergy.com/contact/" TargetMode="External"/><Relationship Id="rId7" Type="http://schemas.openxmlformats.org/officeDocument/2006/relationships/hyperlink" Target="https://www.blattnercompany.com/" TargetMode="External"/><Relationship Id="rId12" Type="http://schemas.openxmlformats.org/officeDocument/2006/relationships/hyperlink" Target="https://www.burnsmcd.com/news/epc-contract-for-west-texas-storage-projects" TargetMode="External"/><Relationship Id="rId17" Type="http://schemas.openxmlformats.org/officeDocument/2006/relationships/hyperlink" Target="https://www.rosendin.com/contact/" TargetMode="External"/><Relationship Id="rId25" Type="http://schemas.openxmlformats.org/officeDocument/2006/relationships/comments" Target="../comments13.xml"/><Relationship Id="rId2" Type="http://schemas.openxmlformats.org/officeDocument/2006/relationships/hyperlink" Target="https://www.mortenson.com/contact" TargetMode="External"/><Relationship Id="rId16" Type="http://schemas.openxmlformats.org/officeDocument/2006/relationships/hyperlink" Target="https://www.rosendin.com/" TargetMode="External"/><Relationship Id="rId20" Type="http://schemas.openxmlformats.org/officeDocument/2006/relationships/hyperlink" Target="https://solvenergy.com/contact/" TargetMode="External"/><Relationship Id="rId1" Type="http://schemas.openxmlformats.org/officeDocument/2006/relationships/hyperlink" Target="https://www.mortenson.com/" TargetMode="External"/><Relationship Id="rId6" Type="http://schemas.openxmlformats.org/officeDocument/2006/relationships/hyperlink" Target="https://www.mccarthy.com/locations/st-louis" TargetMode="External"/><Relationship Id="rId11" Type="http://schemas.openxmlformats.org/officeDocument/2006/relationships/hyperlink" Target="https://info.burnsmcd.com/contact-us" TargetMode="External"/><Relationship Id="rId24" Type="http://schemas.openxmlformats.org/officeDocument/2006/relationships/vmlDrawing" Target="../drawings/vmlDrawing13.vml"/><Relationship Id="rId5" Type="http://schemas.openxmlformats.org/officeDocument/2006/relationships/hyperlink" Target="https://www.mccarthy.com/contact-us" TargetMode="External"/><Relationship Id="rId15" Type="http://schemas.openxmlformats.org/officeDocument/2006/relationships/hyperlink" Target="https://www.prim.com/contact" TargetMode="External"/><Relationship Id="rId23" Type="http://schemas.openxmlformats.org/officeDocument/2006/relationships/hyperlink" Target="https://mastec.com/expertise/clean-energy-and-infrastructure/renewables.html" TargetMode="External"/><Relationship Id="rId10" Type="http://schemas.openxmlformats.org/officeDocument/2006/relationships/hyperlink" Target="https://www.burnsmcd.com/" TargetMode="External"/><Relationship Id="rId19" Type="http://schemas.openxmlformats.org/officeDocument/2006/relationships/hyperlink" Target="https://solvenergy.com/" TargetMode="External"/><Relationship Id="rId4" Type="http://schemas.openxmlformats.org/officeDocument/2006/relationships/hyperlink" Target="https://www.mccarthy.com/" TargetMode="External"/><Relationship Id="rId9" Type="http://schemas.openxmlformats.org/officeDocument/2006/relationships/hyperlink" Target="https://www.quantaservices.com/companies/blattner" TargetMode="External"/><Relationship Id="rId14" Type="http://schemas.openxmlformats.org/officeDocument/2006/relationships/hyperlink" Target="https://www.prim.com/contact" TargetMode="External"/><Relationship Id="rId22" Type="http://schemas.openxmlformats.org/officeDocument/2006/relationships/hyperlink" Target="https://www.mastec.com/"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yesenergy.com/" TargetMode="External"/><Relationship Id="rId18" Type="http://schemas.openxmlformats.org/officeDocument/2006/relationships/hyperlink" Target="https://www.enverus.com/contact-us/" TargetMode="External"/><Relationship Id="rId26" Type="http://schemas.openxmlformats.org/officeDocument/2006/relationships/hyperlink" Target="https://www.tyba.ai/contact/" TargetMode="External"/><Relationship Id="rId21" Type="http://schemas.openxmlformats.org/officeDocument/2006/relationships/hyperlink" Target="https://www.powerfactors.com/about" TargetMode="External"/><Relationship Id="rId34" Type="http://schemas.openxmlformats.org/officeDocument/2006/relationships/hyperlink" Target="https://www.tenaska.com/contact-us/" TargetMode="External"/><Relationship Id="rId7" Type="http://schemas.openxmlformats.org/officeDocument/2006/relationships/hyperlink" Target="https://www.ascendanalytics.com/" TargetMode="External"/><Relationship Id="rId12" Type="http://schemas.openxmlformats.org/officeDocument/2006/relationships/hyperlink" Target="https://www.pcienergysolutions.com/contact-us/" TargetMode="External"/><Relationship Id="rId17" Type="http://schemas.openxmlformats.org/officeDocument/2006/relationships/hyperlink" Target="https://www.enverus.com/contact-us/" TargetMode="External"/><Relationship Id="rId25" Type="http://schemas.openxmlformats.org/officeDocument/2006/relationships/hyperlink" Target="https://www.tyba.ai/" TargetMode="External"/><Relationship Id="rId33" Type="http://schemas.openxmlformats.org/officeDocument/2006/relationships/hyperlink" Target="https://www.tenaska.com/our-business/power-marketing/" TargetMode="External"/><Relationship Id="rId2" Type="http://schemas.openxmlformats.org/officeDocument/2006/relationships/hyperlink" Target="https://www.tesla.com/contact" TargetMode="External"/><Relationship Id="rId16" Type="http://schemas.openxmlformats.org/officeDocument/2006/relationships/hyperlink" Target="https://www.enverus.com/" TargetMode="External"/><Relationship Id="rId20" Type="http://schemas.openxmlformats.org/officeDocument/2006/relationships/hyperlink" Target="https://www.powerfactors.com/contact" TargetMode="External"/><Relationship Id="rId29" Type="http://schemas.openxmlformats.org/officeDocument/2006/relationships/hyperlink" Target="https://modoenergy.com/" TargetMode="External"/><Relationship Id="rId1" Type="http://schemas.openxmlformats.org/officeDocument/2006/relationships/hyperlink" Target="https://www.tesla.com/support/energy/tesla-software/autobidder" TargetMode="External"/><Relationship Id="rId6" Type="http://schemas.openxmlformats.org/officeDocument/2006/relationships/hyperlink" Target="https://fluenceenergy.com/contact/" TargetMode="External"/><Relationship Id="rId11" Type="http://schemas.openxmlformats.org/officeDocument/2006/relationships/hyperlink" Target="https://www.pcienergysolutions.com/contact-us/" TargetMode="External"/><Relationship Id="rId24" Type="http://schemas.openxmlformats.org/officeDocument/2006/relationships/hyperlink" Target="https://www.habitat.energy/contact" TargetMode="External"/><Relationship Id="rId32" Type="http://schemas.openxmlformats.org/officeDocument/2006/relationships/hyperlink" Target="https://www.stem.com/contact/" TargetMode="External"/><Relationship Id="rId37" Type="http://schemas.openxmlformats.org/officeDocument/2006/relationships/comments" Target="../comments14.xml"/><Relationship Id="rId5" Type="http://schemas.openxmlformats.org/officeDocument/2006/relationships/hyperlink" Target="https://fluenceenergy.com/contact/" TargetMode="External"/><Relationship Id="rId15" Type="http://schemas.openxmlformats.org/officeDocument/2006/relationships/hyperlink" Target="https://www.yesenergy.com/" TargetMode="External"/><Relationship Id="rId23" Type="http://schemas.openxmlformats.org/officeDocument/2006/relationships/hyperlink" Target="https://www.habitat.energy/contact" TargetMode="External"/><Relationship Id="rId28" Type="http://schemas.openxmlformats.org/officeDocument/2006/relationships/hyperlink" Target="https://modoenergy.com/" TargetMode="External"/><Relationship Id="rId36" Type="http://schemas.openxmlformats.org/officeDocument/2006/relationships/vmlDrawing" Target="../drawings/vmlDrawing14.vml"/><Relationship Id="rId10" Type="http://schemas.openxmlformats.org/officeDocument/2006/relationships/hyperlink" Target="https://www.pcienergysolutions.com/" TargetMode="External"/><Relationship Id="rId19" Type="http://schemas.openxmlformats.org/officeDocument/2006/relationships/hyperlink" Target="https://www.powerfactors.com/" TargetMode="External"/><Relationship Id="rId31" Type="http://schemas.openxmlformats.org/officeDocument/2006/relationships/hyperlink" Target="https://www.stem.com/contact/" TargetMode="External"/><Relationship Id="rId4" Type="http://schemas.openxmlformats.org/officeDocument/2006/relationships/hyperlink" Target="https://fluenceenergy.com/" TargetMode="External"/><Relationship Id="rId9" Type="http://schemas.openxmlformats.org/officeDocument/2006/relationships/hyperlink" Target="https://www.ascendanalytics.com/" TargetMode="External"/><Relationship Id="rId14" Type="http://schemas.openxmlformats.org/officeDocument/2006/relationships/hyperlink" Target="https://www.yesenergy.com/locations" TargetMode="External"/><Relationship Id="rId22" Type="http://schemas.openxmlformats.org/officeDocument/2006/relationships/hyperlink" Target="https://www.habitat.energy/" TargetMode="External"/><Relationship Id="rId27" Type="http://schemas.openxmlformats.org/officeDocument/2006/relationships/hyperlink" Target="https://www.tyba.ai/" TargetMode="External"/><Relationship Id="rId30" Type="http://schemas.openxmlformats.org/officeDocument/2006/relationships/hyperlink" Target="https://www.stem.com/" TargetMode="External"/><Relationship Id="rId35" Type="http://schemas.openxmlformats.org/officeDocument/2006/relationships/hyperlink" Target="https://www.tenaska.com/our-business/power-marketing/" TargetMode="External"/><Relationship Id="rId8" Type="http://schemas.openxmlformats.org/officeDocument/2006/relationships/hyperlink" Target="https://www.ascendanalytics.com/about-us/lets-connect" TargetMode="External"/><Relationship Id="rId3" Type="http://schemas.openxmlformats.org/officeDocument/2006/relationships/hyperlink" Target="https://www.tesla.com/support/energy/tesla-software/autobidder" TargetMode="External"/></Relationships>
</file>

<file path=xl/worksheets/_rels/sheet18.xml.rels><?xml version="1.0" encoding="UTF-8" standalone="yes"?>
<Relationships xmlns="http://schemas.openxmlformats.org/package/2006/relationships"><Relationship Id="rId117" Type="http://schemas.openxmlformats.org/officeDocument/2006/relationships/hyperlink" Target="https://www.exponent.com/capabilities/battery-energy-storage-systems-bess-consulting" TargetMode="External"/><Relationship Id="rId299" Type="http://schemas.openxmlformats.org/officeDocument/2006/relationships/hyperlink" Target="https://www.mitsubishielectric.com/en/pr/2026/pdf/0820_ei1.pdf" TargetMode="External"/><Relationship Id="rId21" Type="http://schemas.openxmlformats.org/officeDocument/2006/relationships/hyperlink" Target="https://www.swca.com/contact" TargetMode="External"/><Relationship Id="rId63" Type="http://schemas.openxmlformats.org/officeDocument/2006/relationships/hyperlink" Target="https://www.burnsmcd.com/about/locations" TargetMode="External"/><Relationship Id="rId159" Type="http://schemas.openxmlformats.org/officeDocument/2006/relationships/hyperlink" Target="https://dallasinnovates.com/plano-based-westwood-acquires-californias-odell-engineering/" TargetMode="External"/><Relationship Id="rId170" Type="http://schemas.openxmlformats.org/officeDocument/2006/relationships/hyperlink" Target="https://jobs.dnv.com/job-search/energy-systems/engineer/new-york-ny-united-states-austin-tx-united-states-houston-tx-united-states-chalfont-pa-united-states-medford-ma-united-states-seattle-wa-united-states-portland-me-united-states-portland-or-united-sta" TargetMode="External"/><Relationship Id="rId226" Type="http://schemas.openxmlformats.org/officeDocument/2006/relationships/hyperlink" Target="https://www.maddox.com/" TargetMode="External"/><Relationship Id="rId268" Type="http://schemas.openxmlformats.org/officeDocument/2006/relationships/hyperlink" Target="https://www.solarpowerworldonline.com/2026-top-solar-storage-installers/" TargetMode="External"/><Relationship Id="rId32" Type="http://schemas.openxmlformats.org/officeDocument/2006/relationships/hyperlink" Target="https://en.wikipedia.org/wiki/Kimley-Horn" TargetMode="External"/><Relationship Id="rId74" Type="http://schemas.openxmlformats.org/officeDocument/2006/relationships/hyperlink" Target="https://www.wsp.com/en-us/news/2024/wsp-completes-acquisition-of-power-engineers" TargetMode="External"/><Relationship Id="rId128" Type="http://schemas.openxmlformats.org/officeDocument/2006/relationships/hyperlink" Target="https://new.bv.com/news/black-and-veatch-appointed-as-owners-engineer-for-eccles-battery-storage-project-in-scotland" TargetMode="External"/><Relationship Id="rId5" Type="http://schemas.openxmlformats.org/officeDocument/2006/relationships/hyperlink" Target="https://en.wikipedia.org/wiki/Tetra_Tech" TargetMode="External"/><Relationship Id="rId181" Type="http://schemas.openxmlformats.org/officeDocument/2006/relationships/hyperlink" Target="https://www.naturalpower.com/us/sector/energy-storage" TargetMode="External"/><Relationship Id="rId237" Type="http://schemas.openxmlformats.org/officeDocument/2006/relationships/hyperlink" Target="https://siemens-energy.com/us/en/home/products-services/product/dead-tank.html" TargetMode="External"/><Relationship Id="rId279" Type="http://schemas.openxmlformats.org/officeDocument/2006/relationships/hyperlink" Target="https://www.rosendin.com/contact/" TargetMode="External"/><Relationship Id="rId43" Type="http://schemas.openxmlformats.org/officeDocument/2006/relationships/hyperlink" Target="https://www.privsource.com/acquisitions/deal/3AS2jb" TargetMode="External"/><Relationship Id="rId139" Type="http://schemas.openxmlformats.org/officeDocument/2006/relationships/hyperlink" Target="https://taiyangnews.info/business/britains-intertek-acquires-clean-energy-associates" TargetMode="External"/><Relationship Id="rId290" Type="http://schemas.openxmlformats.org/officeDocument/2006/relationships/hyperlink" Target="https://www.tesla.com/contact" TargetMode="External"/><Relationship Id="rId304" Type="http://schemas.openxmlformats.org/officeDocument/2006/relationships/hyperlink" Target="https://www.enverus.com/" TargetMode="External"/><Relationship Id="rId85" Type="http://schemas.openxmlformats.org/officeDocument/2006/relationships/hyperlink" Target="https://epeconsulting.com/contact" TargetMode="External"/><Relationship Id="rId150" Type="http://schemas.openxmlformats.org/officeDocument/2006/relationships/hyperlink" Target="https://energy-storage.news/burns-mcdonnell-providing-epc-services-for-rwes-texas-waves-ii-bess" TargetMode="External"/><Relationship Id="rId192" Type="http://schemas.openxmlformats.org/officeDocument/2006/relationships/hyperlink" Target="https://energy-storage.news/lg-energy-solution-begins-lfp-and-nmc-bess-and-ev-cell-production-at-michigan-factory" TargetMode="External"/><Relationship Id="rId206" Type="http://schemas.openxmlformats.org/officeDocument/2006/relationships/hyperlink" Target="https://www.csisolar.com/e-storage/" TargetMode="External"/><Relationship Id="rId248" Type="http://schemas.openxmlformats.org/officeDocument/2006/relationships/hyperlink" Target="https://eaton.com/us/en-us/catalog/medium-voltage-power-distribution-control-systems/vacclad-w-38-kv-metal-clad-medium-voltage-switchgear.html" TargetMode="External"/><Relationship Id="rId12" Type="http://schemas.openxmlformats.org/officeDocument/2006/relationships/hyperlink" Target="https://www.wsp.com/en-us/contact-us/offices/united-states/texas" TargetMode="External"/><Relationship Id="rId108" Type="http://schemas.openxmlformats.org/officeDocument/2006/relationships/hyperlink" Target="https://www.telgian.com/energy-storage-systems-fire-hazard-considerations-webinar/" TargetMode="External"/><Relationship Id="rId315" Type="http://schemas.openxmlformats.org/officeDocument/2006/relationships/hyperlink" Target="https://modoenergy.com/" TargetMode="External"/><Relationship Id="rId54" Type="http://schemas.openxmlformats.org/officeDocument/2006/relationships/hyperlink" Target="https://www.burnsmcd.com/" TargetMode="External"/><Relationship Id="rId96" Type="http://schemas.openxmlformats.org/officeDocument/2006/relationships/hyperlink" Target="https://www.jensenhughes.com/contact-us" TargetMode="External"/><Relationship Id="rId161" Type="http://schemas.openxmlformats.org/officeDocument/2006/relationships/hyperlink" Target="https://www.bv.com/news/black-and-veatch-to-build-200mwh-of-battery-energy-storage-solution-bess-in-the-uk" TargetMode="External"/><Relationship Id="rId217" Type="http://schemas.openxmlformats.org/officeDocument/2006/relationships/hyperlink" Target="https://www.areadevelopment.com/newsItems/9-27-2025/weg-washington-missouri.shtml" TargetMode="External"/><Relationship Id="rId259" Type="http://schemas.openxmlformats.org/officeDocument/2006/relationships/hyperlink" Target="https://www.gwelectric.com/about/" TargetMode="External"/><Relationship Id="rId23" Type="http://schemas.openxmlformats.org/officeDocument/2006/relationships/hyperlink" Target="https://www.swca.com/offices/phoenix-az/" TargetMode="External"/><Relationship Id="rId119" Type="http://schemas.openxmlformats.org/officeDocument/2006/relationships/hyperlink" Target="https://en.wikipedia.org/wiki/Exponent_(consulting_firm)" TargetMode="External"/><Relationship Id="rId270" Type="http://schemas.openxmlformats.org/officeDocument/2006/relationships/hyperlink" Target="https://www.blattnercompany.com/contact" TargetMode="External"/><Relationship Id="rId65" Type="http://schemas.openxmlformats.org/officeDocument/2006/relationships/hyperlink" Target="https://en.wikipedia.org/wiki/Black_%26_Veatch" TargetMode="External"/><Relationship Id="rId130" Type="http://schemas.openxmlformats.org/officeDocument/2006/relationships/hyperlink" Target="https://www.bv.com/news/black-and-veatch-expands-team-in-houston-to-support-growth-in-the-human-critical-infrastructure-markets" TargetMode="External"/><Relationship Id="rId172" Type="http://schemas.openxmlformats.org/officeDocument/2006/relationships/hyperlink" Target="https://enertisapplus.com/contact/" TargetMode="External"/><Relationship Id="rId228" Type="http://schemas.openxmlformats.org/officeDocument/2006/relationships/hyperlink" Target="https://www.businesswire.com/news/home/20260519751615/en/JST-Power-Equipment-Opens-Virginia-Transformer-Manufacturing-Facility-to-Support-Power-for-Utilities-and-Data-Center-Demand" TargetMode="External"/><Relationship Id="rId281" Type="http://schemas.openxmlformats.org/officeDocument/2006/relationships/hyperlink" Target="https://www.rosendin.com/company/history/" TargetMode="External"/><Relationship Id="rId34" Type="http://schemas.openxmlformats.org/officeDocument/2006/relationships/hyperlink" Target="https://www.kimley-horn.com/contact/" TargetMode="External"/><Relationship Id="rId55" Type="http://schemas.openxmlformats.org/officeDocument/2006/relationships/hyperlink" Target="https://www.walterpmoore.com/about" TargetMode="External"/><Relationship Id="rId76" Type="http://schemas.openxmlformats.org/officeDocument/2006/relationships/hyperlink" Target="https://www.powereng.com/library/power-opens-new-tyler-location/" TargetMode="External"/><Relationship Id="rId97" Type="http://schemas.openxmlformats.org/officeDocument/2006/relationships/hyperlink" Target="https://www.jensenhughes.com/services/lithium-ion-risk-consulting" TargetMode="External"/><Relationship Id="rId120" Type="http://schemas.openxmlformats.org/officeDocument/2006/relationships/hyperlink" Target="https://www.dnv.com/services/owner-s-engineering-for-energy-storage-63162" TargetMode="External"/><Relationship Id="rId141" Type="http://schemas.openxmlformats.org/officeDocument/2006/relationships/hyperlink" Target="https://en.wikipedia.org/wiki/Kimley-Horn" TargetMode="External"/><Relationship Id="rId7" Type="http://schemas.openxmlformats.org/officeDocument/2006/relationships/hyperlink" Target="https://en.wikipedia.org/wiki/Stantec" TargetMode="External"/><Relationship Id="rId162" Type="http://schemas.openxmlformats.org/officeDocument/2006/relationships/hyperlink" Target="https://en.wikipedia.org/wiki/Black_%26_Veatch" TargetMode="External"/><Relationship Id="rId183" Type="http://schemas.openxmlformats.org/officeDocument/2006/relationships/hyperlink" Target="https://www.sec.gov/Archives/edgar/data/1901440/000190144026000005/uls-20251231.htm" TargetMode="External"/><Relationship Id="rId218" Type="http://schemas.openxmlformats.org/officeDocument/2006/relationships/hyperlink" Target="https://theljc.com/projects/weg-transformers-usa" TargetMode="External"/><Relationship Id="rId239" Type="http://schemas.openxmlformats.org/officeDocument/2006/relationships/hyperlink" Target="https://www.gevernova.com/grid-solutions/equipment/circuit-breakers/dead-tank-circuit-breakers" TargetMode="External"/><Relationship Id="rId250" Type="http://schemas.openxmlformats.org/officeDocument/2006/relationships/hyperlink" Target="https://www.se.com/us/en/about-us/newsroom/news/press-releases/Schneider-Electric-Opens-New-Energy-Manufacturing-Facility-in-Middle-Tennessee-68d6a8ba1686eb8d4d047558" TargetMode="External"/><Relationship Id="rId271" Type="http://schemas.openxmlformats.org/officeDocument/2006/relationships/hyperlink" Target="https://www.quantaservices.com/quanta-services-completes-the-previously-announced-acquisition-of-blattner/" TargetMode="External"/><Relationship Id="rId292" Type="http://schemas.openxmlformats.org/officeDocument/2006/relationships/hyperlink" Target="https://www.nasdaq.com/press-release/fluence-mosaic-intelligent-bidding-software-for-energy-storage-systems-expands-into" TargetMode="External"/><Relationship Id="rId306" Type="http://schemas.openxmlformats.org/officeDocument/2006/relationships/hyperlink" Target="https://www.renewableenergyworld.com/energy-business/energy-finance/blackstone-to-acquire-energy-data-analytics-firm-in-6-5b-deal/" TargetMode="External"/><Relationship Id="rId24" Type="http://schemas.openxmlformats.org/officeDocument/2006/relationships/hyperlink" Target="https://westwoodps.com/about-us/offices" TargetMode="External"/><Relationship Id="rId45" Type="http://schemas.openxmlformats.org/officeDocument/2006/relationships/hyperlink" Target="https://investors.bowman.com/news-releases/news-release-details/bowman-consulting-group-enters-definitive-agreement-be-acquired" TargetMode="External"/><Relationship Id="rId66" Type="http://schemas.openxmlformats.org/officeDocument/2006/relationships/hyperlink" Target="https://www.bv.com/en-US/news/black-and-veatch-expands-team-in-houston-to-support-growth-in-the-human-critical-infrastructure-markets" TargetMode="External"/><Relationship Id="rId87" Type="http://schemas.openxmlformats.org/officeDocument/2006/relationships/hyperlink" Target="https://www.businesswire.com/news/home/20250107310148/en" TargetMode="External"/><Relationship Id="rId110" Type="http://schemas.openxmlformats.org/officeDocument/2006/relationships/hyperlink" Target="https://jobs.dnv.com/locations/usa" TargetMode="External"/><Relationship Id="rId131" Type="http://schemas.openxmlformats.org/officeDocument/2006/relationships/hyperlink" Target="https://www.bv.com/news/black-and-veatch-expands-construction-presence-in-texas-with-new-office" TargetMode="External"/><Relationship Id="rId152" Type="http://schemas.openxmlformats.org/officeDocument/2006/relationships/hyperlink" Target="https://www.sargentlundy.com/about-us" TargetMode="External"/><Relationship Id="rId173" Type="http://schemas.openxmlformats.org/officeDocument/2006/relationships/hyperlink" Target="https://www.tdrcapital.com/tdr-capital-v-acquires-applus/" TargetMode="External"/><Relationship Id="rId194" Type="http://schemas.openxmlformats.org/officeDocument/2006/relationships/hyperlink" Target="https://www.solarpowerworldonline.com/2025/12/samsung-sdi-to-begin-lfp-battery-manufacturing-in-indiana/" TargetMode="External"/><Relationship Id="rId208" Type="http://schemas.openxmlformats.org/officeDocument/2006/relationships/hyperlink" Target="https://www.businesswire.com/news/home/20260720085364/en/" TargetMode="External"/><Relationship Id="rId229" Type="http://schemas.openxmlformats.org/officeDocument/2006/relationships/hyperlink" Target="https://manufacturing-today.com/news/after-china-mexico-and-malaysia-jst-power-equipment-continues-its-expansion-with-a-new-us-factory-in-virginia/" TargetMode="External"/><Relationship Id="rId240" Type="http://schemas.openxmlformats.org/officeDocument/2006/relationships/hyperlink" Target="https://www.gevernova.com/electrification/sites/default/files/resources/products/brochures/DT1-362-brochure-EN-N50281-Hybrid-202509-R003.pdf" TargetMode="External"/><Relationship Id="rId261" Type="http://schemas.openxmlformats.org/officeDocument/2006/relationships/hyperlink" Target="https://www.gwelectric.com/news/gw-electric-acquires-veneta-isolatori-spa/" TargetMode="External"/><Relationship Id="rId14" Type="http://schemas.openxmlformats.org/officeDocument/2006/relationships/hyperlink" Target="https://www.globenewswire.com/news-release/2026/02/24/3243828/0/en/WSP-completes-acquisition-of-TRC.html" TargetMode="External"/><Relationship Id="rId35" Type="http://schemas.openxmlformats.org/officeDocument/2006/relationships/hyperlink" Target="https://westwoodps.com/about-us/offices" TargetMode="External"/><Relationship Id="rId56" Type="http://schemas.openxmlformats.org/officeDocument/2006/relationships/hyperlink" Target="https://www.walterpmoore.com/contact" TargetMode="External"/><Relationship Id="rId77" Type="http://schemas.openxmlformats.org/officeDocument/2006/relationships/hyperlink" Target="https://en.wikipedia.org/wiki/Burns_%26_McDonnell" TargetMode="External"/><Relationship Id="rId100" Type="http://schemas.openxmlformats.org/officeDocument/2006/relationships/hyperlink" Target="https://www.energyresponsegroup.com/contact" TargetMode="External"/><Relationship Id="rId282" Type="http://schemas.openxmlformats.org/officeDocument/2006/relationships/hyperlink" Target="https://solvenergy.com/contact/" TargetMode="External"/><Relationship Id="rId317" Type="http://schemas.openxmlformats.org/officeDocument/2006/relationships/hyperlink" Target="https://mmc.vc/mmc-leads-15-million-series-a-for-modo-energy/" TargetMode="External"/><Relationship Id="rId8" Type="http://schemas.openxmlformats.org/officeDocument/2006/relationships/hyperlink" Target="https://www.stantec.com/en/offices/united-states-locations/texas-offices" TargetMode="External"/><Relationship Id="rId98" Type="http://schemas.openxmlformats.org/officeDocument/2006/relationships/hyperlink" Target="https://www.newmountaincapital.com/new-mountain-capital-to-acquire-jensen-hughes-taps-dr-hisham-mahmoud-to-serve-as-chairman-of-the-board/" TargetMode="External"/><Relationship Id="rId121" Type="http://schemas.openxmlformats.org/officeDocument/2006/relationships/hyperlink" Target="https://www.dnv.us/contact/" TargetMode="External"/><Relationship Id="rId142" Type="http://schemas.openxmlformats.org/officeDocument/2006/relationships/hyperlink" Target="https://www.careerbuilder.com/job-details/practice-builder-electrical-renewable-energy-austin-tx--d6dd89db-7e48-4d3a-8285-046a97192aa7" TargetMode="External"/><Relationship Id="rId163" Type="http://schemas.openxmlformats.org/officeDocument/2006/relationships/hyperlink" Target="https://www.kimley-horn.com/services/energy-consulting/battery-energy-storage-systems-consulting/" TargetMode="External"/><Relationship Id="rId184" Type="http://schemas.openxmlformats.org/officeDocument/2006/relationships/hyperlink" Target="https://www.tesla.com/megapack" TargetMode="External"/><Relationship Id="rId219" Type="http://schemas.openxmlformats.org/officeDocument/2006/relationships/hyperlink" Target="https://www.vatransformer.com/" TargetMode="External"/><Relationship Id="rId230" Type="http://schemas.openxmlformats.org/officeDocument/2006/relationships/hyperlink" Target="https://www.jstpower.com/" TargetMode="External"/><Relationship Id="rId251" Type="http://schemas.openxmlformats.org/officeDocument/2006/relationships/hyperlink" Target="https://www.plantengineering.com/schneider-electric-moves-corporate-hq-to-massachusetts/" TargetMode="External"/><Relationship Id="rId25" Type="http://schemas.openxmlformats.org/officeDocument/2006/relationships/hyperlink" Target="https://westwoodps.com/contact-us" TargetMode="External"/><Relationship Id="rId46" Type="http://schemas.openxmlformats.org/officeDocument/2006/relationships/hyperlink" Target="https://bowman.com/texas/" TargetMode="External"/><Relationship Id="rId67" Type="http://schemas.openxmlformats.org/officeDocument/2006/relationships/hyperlink" Target="https://www.wsp.com/en-us/news/2024/wsp-completes-acquisition-of-power-engineers" TargetMode="External"/><Relationship Id="rId272" Type="http://schemas.openxmlformats.org/officeDocument/2006/relationships/hyperlink" Target="https://www.solarpowerworldonline.com/2026-top-solar-storage-installers/" TargetMode="External"/><Relationship Id="rId293" Type="http://schemas.openxmlformats.org/officeDocument/2006/relationships/hyperlink" Target="https://ir.fluenceenergy.com/news-releases/news-release-details/fluence-announces-agreement-acquire-ai-enabled-software-service" TargetMode="External"/><Relationship Id="rId307" Type="http://schemas.openxmlformats.org/officeDocument/2006/relationships/hyperlink" Target="https://www.powerfactors.com/about" TargetMode="External"/><Relationship Id="rId88" Type="http://schemas.openxmlformats.org/officeDocument/2006/relationships/hyperlink" Target="https://www.trccompanies.com/contact-us/" TargetMode="External"/><Relationship Id="rId111" Type="http://schemas.openxmlformats.org/officeDocument/2006/relationships/hyperlink" Target="https://www.dnv.com/services/energy-storage-development-and-engineering-154224/" TargetMode="External"/><Relationship Id="rId132" Type="http://schemas.openxmlformats.org/officeDocument/2006/relationships/hyperlink" Target="https://careers.bv.com/job/Dallas-Consulting-Manager,-Asset-Management-TX-75201/1370757733" TargetMode="External"/><Relationship Id="rId153" Type="http://schemas.openxmlformats.org/officeDocument/2006/relationships/hyperlink" Target="https://www.wsp.com/en-gl/investors/press-releases/details/WSP-Completes-Acquisition--of-POWER-Engineers/2956467/2024" TargetMode="External"/><Relationship Id="rId174" Type="http://schemas.openxmlformats.org/officeDocument/2006/relationships/hyperlink" Target="https://www.infocastinc.com/2026-solar-wind-finance-investment-sponsors/leidos" TargetMode="External"/><Relationship Id="rId195" Type="http://schemas.openxmlformats.org/officeDocument/2006/relationships/hyperlink" Target="https://battery-news.de/en/2025/12/11/samsung-sdi-receives-billion-dollar-order-for-lfp-batteries-in-usa/" TargetMode="External"/><Relationship Id="rId209" Type="http://schemas.openxmlformats.org/officeDocument/2006/relationships/hyperlink" Target="https://www.ess-news.com/2026/07/20/nextpower-completes-365-million-prevalon-energy-acquisition/" TargetMode="External"/><Relationship Id="rId220" Type="http://schemas.openxmlformats.org/officeDocument/2006/relationships/hyperlink" Target="https://www.utilitydive.com/press-release/20251120-virginia-transformer-to-expand-georgia-transformer-plant-in-rincon-ga-to/" TargetMode="External"/><Relationship Id="rId241" Type="http://schemas.openxmlformats.org/officeDocument/2006/relationships/hyperlink" Target="https://www.plantservices.com/industry-news/news/55399356/ge-vernova-invests-138-million-to-expand-power-transmission-manufacturing-facility-in-pennsylvania" TargetMode="External"/><Relationship Id="rId15" Type="http://schemas.openxmlformats.org/officeDocument/2006/relationships/hyperlink" Target="https://www.terracon.com/contact/" TargetMode="External"/><Relationship Id="rId36" Type="http://schemas.openxmlformats.org/officeDocument/2006/relationships/hyperlink" Target="https://www.westwoodps.com/" TargetMode="External"/><Relationship Id="rId57" Type="http://schemas.openxmlformats.org/officeDocument/2006/relationships/hyperlink" Target="https://www.walterpmoore.com/offices" TargetMode="External"/><Relationship Id="rId262" Type="http://schemas.openxmlformats.org/officeDocument/2006/relationships/hyperlink" Target="https://www.mortenson.com/projects/revolution-energy-storage" TargetMode="External"/><Relationship Id="rId283" Type="http://schemas.openxmlformats.org/officeDocument/2006/relationships/hyperlink" Target="https://www.renaissancecapital.com/IPO-Center/News/116914/american-securities-solar-project-builder-solv-energy-prices-ipo-at-25" TargetMode="External"/><Relationship Id="rId318" Type="http://schemas.openxmlformats.org/officeDocument/2006/relationships/hyperlink" Target="https://www.stem.com/contact/" TargetMode="External"/><Relationship Id="rId78" Type="http://schemas.openxmlformats.org/officeDocument/2006/relationships/hyperlink" Target="https://www.burnsmcd.com/about/locations" TargetMode="External"/><Relationship Id="rId99" Type="http://schemas.openxmlformats.org/officeDocument/2006/relationships/hyperlink" Target="https://energyresponsegroup.com/" TargetMode="External"/><Relationship Id="rId101" Type="http://schemas.openxmlformats.org/officeDocument/2006/relationships/hyperlink" Target="https://hillerfire.com/resources/esrg-capabilities" TargetMode="External"/><Relationship Id="rId122" Type="http://schemas.openxmlformats.org/officeDocument/2006/relationships/hyperlink" Target="https://www.dnv.com/news/2026/dnvcompletes-strategy-period-with-solid-growth/" TargetMode="External"/><Relationship Id="rId143" Type="http://schemas.openxmlformats.org/officeDocument/2006/relationships/hyperlink" Target="https://www.naturalpower.com/us/sector/energy-storage" TargetMode="External"/><Relationship Id="rId164" Type="http://schemas.openxmlformats.org/officeDocument/2006/relationships/hyperlink" Target="https://en.wikipedia.org/wiki/Kimley-Horn" TargetMode="External"/><Relationship Id="rId185" Type="http://schemas.openxmlformats.org/officeDocument/2006/relationships/hyperlink" Target="https://news.metal.com/newscontent/104046720-tesla-starts-megapack-3-production-in-texas" TargetMode="External"/><Relationship Id="rId9" Type="http://schemas.openxmlformats.org/officeDocument/2006/relationships/hyperlink" Target="https://www.stantec.com/en/offices/united-states-locations/texas-offices/houston-tx" TargetMode="External"/><Relationship Id="rId210" Type="http://schemas.openxmlformats.org/officeDocument/2006/relationships/hyperlink" Target="https://prevalonenergy.com/" TargetMode="External"/><Relationship Id="rId26" Type="http://schemas.openxmlformats.org/officeDocument/2006/relationships/hyperlink" Target="https://www.westwoodps.com/" TargetMode="External"/><Relationship Id="rId231" Type="http://schemas.openxmlformats.org/officeDocument/2006/relationships/hyperlink" Target="https://www.sunbeltsolomon.com/" TargetMode="External"/><Relationship Id="rId252" Type="http://schemas.openxmlformats.org/officeDocument/2006/relationships/hyperlink" Target="https://new.abb.com/news/detail/129047/abb-to-invest-us110-million-in-us-manufacturing" TargetMode="External"/><Relationship Id="rId273" Type="http://schemas.openxmlformats.org/officeDocument/2006/relationships/hyperlink" Target="https://www.burnsmcd.com/news/epc-contract-for-west-texas-storage-projects" TargetMode="External"/><Relationship Id="rId294" Type="http://schemas.openxmlformats.org/officeDocument/2006/relationships/hyperlink" Target="https://www.ascendanalytics.com/" TargetMode="External"/><Relationship Id="rId308" Type="http://schemas.openxmlformats.org/officeDocument/2006/relationships/hyperlink" Target="https://www.powerfactors.com/contact-us" TargetMode="External"/><Relationship Id="rId47" Type="http://schemas.openxmlformats.org/officeDocument/2006/relationships/hyperlink" Target="https://bowman.com/" TargetMode="External"/><Relationship Id="rId68" Type="http://schemas.openxmlformats.org/officeDocument/2006/relationships/hyperlink" Target="https://www.bennettjones.com/News/Client-Work/2024/10/WSP-Completes-Acquisition-of-Power-Engineers-for-US1-78-Billion" TargetMode="External"/><Relationship Id="rId89" Type="http://schemas.openxmlformats.org/officeDocument/2006/relationships/hyperlink" Target="https://www.globenewswire.com/news-release/2026/02/24/3243828/0/en/WSP-completes-acquisition-of-TRC.html" TargetMode="External"/><Relationship Id="rId112" Type="http://schemas.openxmlformats.org/officeDocument/2006/relationships/hyperlink" Target="https://www.dnv.com/Publications/quantitative-risk-analysis-for-battery-energy-storage-sites-154811/" TargetMode="External"/><Relationship Id="rId133" Type="http://schemas.openxmlformats.org/officeDocument/2006/relationships/hyperlink" Target="https://en.wikipedia.org/wiki/Black_%26_Veatch" TargetMode="External"/><Relationship Id="rId154" Type="http://schemas.openxmlformats.org/officeDocument/2006/relationships/hyperlink" Target="https://boisedev.com/news/2024/08/13/hailey-energy-consulting-firm-acquisition-planned-for-17-billion/" TargetMode="External"/><Relationship Id="rId175" Type="http://schemas.openxmlformats.org/officeDocument/2006/relationships/hyperlink" Target="https://www.sec.gov/Archives/edgar/data/1336920/000133692025000006/ldos-20250103.htm" TargetMode="External"/><Relationship Id="rId196" Type="http://schemas.openxmlformats.org/officeDocument/2006/relationships/hyperlink" Target="https://energy-storage.news/wartsila-closes-strategic-review-of-energy-storage-segment-remains-committed-to-sector" TargetMode="External"/><Relationship Id="rId200" Type="http://schemas.openxmlformats.org/officeDocument/2006/relationships/hyperlink" Target="https://www.businesswire.com/news/home/20250806799131/en/FlexGen-Expands-Global-Battery-Energy-Storage-Leadership-with-Court-Approval-of-Powin-Assets-Acquisition" TargetMode="External"/><Relationship Id="rId16" Type="http://schemas.openxmlformats.org/officeDocument/2006/relationships/hyperlink" Target="https://www.terracon.com/about/" TargetMode="External"/><Relationship Id="rId221" Type="http://schemas.openxmlformats.org/officeDocument/2006/relationships/hyperlink" Target="https://bnnbloomberg.ca/investing/2025/01/09/virginia-transformer-considers-6-billion-sale" TargetMode="External"/><Relationship Id="rId242" Type="http://schemas.openxmlformats.org/officeDocument/2006/relationships/hyperlink" Target="https://meppi.com/products/hv-gas-insulated-circuit-breakers" TargetMode="External"/><Relationship Id="rId263" Type="http://schemas.openxmlformats.org/officeDocument/2006/relationships/hyperlink" Target="https://www.mortenson.com/contact" TargetMode="External"/><Relationship Id="rId284" Type="http://schemas.openxmlformats.org/officeDocument/2006/relationships/hyperlink" Target="https://www.solarpowerworldonline.com/2026-top-solar-storage-installers/" TargetMode="External"/><Relationship Id="rId319" Type="http://schemas.openxmlformats.org/officeDocument/2006/relationships/hyperlink" Target="https://www.businesswire.com/news/home/20250909722132/en/Stem-Inc.-Letter-to-Shareholders-Reflecting-on-our-journey-of-strategic-realignment" TargetMode="External"/><Relationship Id="rId37" Type="http://schemas.openxmlformats.org/officeDocument/2006/relationships/hyperlink" Target="https://dallasinnovates.com/new-york-based-blackstone-makes-majority-investment-in-north-texas-westwood-professional-services" TargetMode="External"/><Relationship Id="rId58" Type="http://schemas.openxmlformats.org/officeDocument/2006/relationships/hyperlink" Target="https://www.walterpmoore.com/about/history" TargetMode="External"/><Relationship Id="rId79" Type="http://schemas.openxmlformats.org/officeDocument/2006/relationships/hyperlink" Target="https://www.burnsmcd.com/news/cps-energy-turnkey-grid-modernization" TargetMode="External"/><Relationship Id="rId102" Type="http://schemas.openxmlformats.org/officeDocument/2006/relationships/hyperlink" Target="https://members.renewablesassociation.ca/activememberdirectory/Details/esrg-energy-safety-response-group-3878060" TargetMode="External"/><Relationship Id="rId123" Type="http://schemas.openxmlformats.org/officeDocument/2006/relationships/hyperlink" Target="https://en.wikipedia.org/wiki/DNV" TargetMode="External"/><Relationship Id="rId144" Type="http://schemas.openxmlformats.org/officeDocument/2006/relationships/hyperlink" Target="https://www.naturalpower.com/us/contact" TargetMode="External"/><Relationship Id="rId90" Type="http://schemas.openxmlformats.org/officeDocument/2006/relationships/hyperlink" Target="https://en.wikipedia.org/wiki/WSP_Global" TargetMode="External"/><Relationship Id="rId165" Type="http://schemas.openxmlformats.org/officeDocument/2006/relationships/hyperlink" Target="https://bowman.com/services/battery-energy-storage-systems" TargetMode="External"/><Relationship Id="rId186" Type="http://schemas.openxmlformats.org/officeDocument/2006/relationships/hyperlink" Target="https://www.basenor.com/blogs/news/teslas-texas-megapack-factory-megapack-3-production-starts-2026" TargetMode="External"/><Relationship Id="rId211" Type="http://schemas.openxmlformats.org/officeDocument/2006/relationships/hyperlink" Target="https://www.publicpower.org/periodical/article/hitachi-energy-new-distribution-transformer-factory-serve-north-american-market" TargetMode="External"/><Relationship Id="rId232" Type="http://schemas.openxmlformats.org/officeDocument/2006/relationships/hyperlink" Target="https://sunbeltsolomon.com/about-us/" TargetMode="External"/><Relationship Id="rId253" Type="http://schemas.openxmlformats.org/officeDocument/2006/relationships/hyperlink" Target="https://assets.new.siemens.com/siemens/assets/api/uuid:49344958-3e1b-4282-ac76-e1c7fa185d32/ansi-mv-ovcb-sdv7-flyer-en.pdf" TargetMode="External"/><Relationship Id="rId274" Type="http://schemas.openxmlformats.org/officeDocument/2006/relationships/hyperlink" Target="https://energy-storage.news/burns-mcdonnell-providing-epc-services-for-rwes-texas-waves-ii-bess" TargetMode="External"/><Relationship Id="rId295" Type="http://schemas.openxmlformats.org/officeDocument/2006/relationships/hyperlink" Target="https://www.ascendanalytics.com/about-us/lets-connect" TargetMode="External"/><Relationship Id="rId309" Type="http://schemas.openxmlformats.org/officeDocument/2006/relationships/hyperlink" Target="https://www.williamblair.com/News/Power-Factors-and-Vista-Equity-Partners-Transaction" TargetMode="External"/><Relationship Id="rId27" Type="http://schemas.openxmlformats.org/officeDocument/2006/relationships/hyperlink" Target="https://dallasinnovates.com/new-york-based-blackstone-makes-majority-investment-in-north-texas-westwood-professional-services" TargetMode="External"/><Relationship Id="rId48" Type="http://schemas.openxmlformats.org/officeDocument/2006/relationships/hyperlink" Target="https://www.terracon.com/contact/" TargetMode="External"/><Relationship Id="rId69" Type="http://schemas.openxmlformats.org/officeDocument/2006/relationships/hyperlink" Target="https://en.wikipedia.org/wiki/WSP_Global" TargetMode="External"/><Relationship Id="rId113" Type="http://schemas.openxmlformats.org/officeDocument/2006/relationships/hyperlink" Target="https://www.ul.com/services/ess-safety-assessment-and-nfpa-compliance" TargetMode="External"/><Relationship Id="rId134" Type="http://schemas.openxmlformats.org/officeDocument/2006/relationships/hyperlink" Target="https://www.sargentlundy.com/contact-us" TargetMode="External"/><Relationship Id="rId320" Type="http://schemas.openxmlformats.org/officeDocument/2006/relationships/hyperlink" Target="https://www.tenaska.com/our-business/power-marketing/" TargetMode="External"/><Relationship Id="rId80" Type="http://schemas.openxmlformats.org/officeDocument/2006/relationships/hyperlink" Target="https://www.sargentlundy.com/contact-us" TargetMode="External"/><Relationship Id="rId155" Type="http://schemas.openxmlformats.org/officeDocument/2006/relationships/hyperlink" Target="https://www.theladders.com/job/substation-senior-project-engineer-wsp-fort-worth-tx_88141000" TargetMode="External"/><Relationship Id="rId176" Type="http://schemas.openxmlformats.org/officeDocument/2006/relationships/hyperlink" Target="https://www.leidos.com/contact" TargetMode="External"/><Relationship Id="rId197" Type="http://schemas.openxmlformats.org/officeDocument/2006/relationships/hyperlink" Target="https://www.wartsila.com/usa/about/contact-us" TargetMode="External"/><Relationship Id="rId201" Type="http://schemas.openxmlformats.org/officeDocument/2006/relationships/hyperlink" Target="https://www.flexgen.com/contact-us" TargetMode="External"/><Relationship Id="rId222" Type="http://schemas.openxmlformats.org/officeDocument/2006/relationships/hyperlink" Target="https://www.ermco-eci.com/" TargetMode="External"/><Relationship Id="rId243" Type="http://schemas.openxmlformats.org/officeDocument/2006/relationships/hyperlink" Target="https://pennbizreport.com/news/29602-new-manufacturing-factory-facility-upgrades-planned-for-western-pennsylvania-with-86m-investment/" TargetMode="External"/><Relationship Id="rId264" Type="http://schemas.openxmlformats.org/officeDocument/2006/relationships/hyperlink" Target="https://www.solarpowerworldonline.com/2026-top-solar-storage-installers/" TargetMode="External"/><Relationship Id="rId285" Type="http://schemas.openxmlformats.org/officeDocument/2006/relationships/hyperlink" Target="https://mastec.com/expertise/clean-energy-and-infrastructure/renewables.html" TargetMode="External"/><Relationship Id="rId17" Type="http://schemas.openxmlformats.org/officeDocument/2006/relationships/hyperlink" Target="https://www.terracon.com/offices/austin/" TargetMode="External"/><Relationship Id="rId38" Type="http://schemas.openxmlformats.org/officeDocument/2006/relationships/hyperlink" Target="https://www.halff.com/contact/" TargetMode="External"/><Relationship Id="rId59" Type="http://schemas.openxmlformats.org/officeDocument/2006/relationships/hyperlink" Target="https://www.sargentlundy.com/contact-us" TargetMode="External"/><Relationship Id="rId103" Type="http://schemas.openxmlformats.org/officeDocument/2006/relationships/hyperlink" Target="https://fireriskalliance.com/" TargetMode="External"/><Relationship Id="rId124" Type="http://schemas.openxmlformats.org/officeDocument/2006/relationships/hyperlink" Target="https://jobs.dnv.com/job-search/energy-systems/engineer/houston-tx-united-states-austin-tx-united-states-dallas-tx-united-states-medford-ma-united-states-oakland-ca-united-states-san-diego-ca-united-states-new-york-ny-united-states-portland-or-united-stat" TargetMode="External"/><Relationship Id="rId310" Type="http://schemas.openxmlformats.org/officeDocument/2006/relationships/hyperlink" Target="https://www.habitat.energy/contact" TargetMode="External"/><Relationship Id="rId70" Type="http://schemas.openxmlformats.org/officeDocument/2006/relationships/hyperlink" Target="http://www.powereng.com/press-releases/power-engineers-moving-its-houston-office-to-larger-space/" TargetMode="External"/><Relationship Id="rId91" Type="http://schemas.openxmlformats.org/officeDocument/2006/relationships/hyperlink" Target="https://www.leidos.com/markets/energy/texas" TargetMode="External"/><Relationship Id="rId145" Type="http://schemas.openxmlformats.org/officeDocument/2006/relationships/hyperlink" Target="https://www.naturalpower.com/us/news-post/25-years-of-natural-power" TargetMode="External"/><Relationship Id="rId166" Type="http://schemas.openxmlformats.org/officeDocument/2006/relationships/hyperlink" Target="https://bowman.com/texas/" TargetMode="External"/><Relationship Id="rId187" Type="http://schemas.openxmlformats.org/officeDocument/2006/relationships/hyperlink" Target="https://www.nasdaq.com/press-release/fluence-energy-inc-reports-2025-financial-results-and-initiates-2026-guidance-2025-11" TargetMode="External"/><Relationship Id="rId1" Type="http://schemas.openxmlformats.org/officeDocument/2006/relationships/hyperlink" Target="https://en.wikipedia.org/wiki/ERM_(consultancy)" TargetMode="External"/><Relationship Id="rId212" Type="http://schemas.openxmlformats.org/officeDocument/2006/relationships/hyperlink" Target="https://www.datacenterdynamics.com/en/news/hitachi-energy-to-invest-1bn-into-us-grid-infrastructure-manufacturing-to-address-data-center-power-demand/" TargetMode="External"/><Relationship Id="rId233" Type="http://schemas.openxmlformats.org/officeDocument/2006/relationships/hyperlink" Target="https://trilanticnorthamerica.com/portfolio/sunbelt-solomon" TargetMode="External"/><Relationship Id="rId254" Type="http://schemas.openxmlformats.org/officeDocument/2006/relationships/hyperlink" Target="https://www.keranews.org/business-economy/2025-03-07/siemens-opens-190m-plant-in-south-fort-worth-adding-800-jobs-by-2026/" TargetMode="External"/><Relationship Id="rId28" Type="http://schemas.openxmlformats.org/officeDocument/2006/relationships/hyperlink" Target="https://www.hdrinc.com/contact-us" TargetMode="External"/><Relationship Id="rId49" Type="http://schemas.openxmlformats.org/officeDocument/2006/relationships/hyperlink" Target="https://www.terracon.com/about/" TargetMode="External"/><Relationship Id="rId114" Type="http://schemas.openxmlformats.org/officeDocument/2006/relationships/hyperlink" Target="https://www.ul.com/about/locations" TargetMode="External"/><Relationship Id="rId275" Type="http://schemas.openxmlformats.org/officeDocument/2006/relationships/hyperlink" Target="https://www.burnsmcd.com/about/locations" TargetMode="External"/><Relationship Id="rId296" Type="http://schemas.openxmlformats.org/officeDocument/2006/relationships/hyperlink" Target="https://www.ascendanalytics.com/blog/ascend-analytics-announces-strategic-growth-investment" TargetMode="External"/><Relationship Id="rId300" Type="http://schemas.openxmlformats.org/officeDocument/2006/relationships/hyperlink" Target="https://www.yesenergy.com/" TargetMode="External"/><Relationship Id="rId60" Type="http://schemas.openxmlformats.org/officeDocument/2006/relationships/hyperlink" Target="https://www.sargentlundy.com/about/" TargetMode="External"/><Relationship Id="rId81" Type="http://schemas.openxmlformats.org/officeDocument/2006/relationships/hyperlink" Target="https://www.sargentlundy.com/about/" TargetMode="External"/><Relationship Id="rId135" Type="http://schemas.openxmlformats.org/officeDocument/2006/relationships/hyperlink" Target="https://www.sargentlundy.com/about-us" TargetMode="External"/><Relationship Id="rId156" Type="http://schemas.openxmlformats.org/officeDocument/2006/relationships/hyperlink" Target="https://www.westwoodps.com/" TargetMode="External"/><Relationship Id="rId177" Type="http://schemas.openxmlformats.org/officeDocument/2006/relationships/hyperlink" Target="https://sargentlundy.com/?p=12226" TargetMode="External"/><Relationship Id="rId198" Type="http://schemas.openxmlformats.org/officeDocument/2006/relationships/hyperlink" Target="https://www.wartsila.com/media/news/04-09-2024-wartsila-introduces-quantum3-a-complete-high-density-ac-block-energy-storage-system-with-industry-leading-features-and-controls-3489850" TargetMode="External"/><Relationship Id="rId321" Type="http://schemas.openxmlformats.org/officeDocument/2006/relationships/hyperlink" Target="https://www.tenaska.com/contact-us/" TargetMode="External"/><Relationship Id="rId202" Type="http://schemas.openxmlformats.org/officeDocument/2006/relationships/hyperlink" Target="https://dallasinnovates.com/hithium-opens-200m-battery-energy-storage-manufacturing-facility-in-north-texas/" TargetMode="External"/><Relationship Id="rId223" Type="http://schemas.openxmlformats.org/officeDocument/2006/relationships/hyperlink" Target="https://www.cooperative.com/news/Pages/Transformer-Builder-ERMCO-to-Expand-Production-Into-Arizona-in-2027-as-Demand-Rises.aspx" TargetMode="External"/><Relationship Id="rId244" Type="http://schemas.openxmlformats.org/officeDocument/2006/relationships/hyperlink" Target="https://www.koreatimes.co.kr/business/companies/20260918/hyosung-heavy-industries-forms-us-joint-venture-to-make-high-voltage-circuit-breakers" TargetMode="External"/><Relationship Id="rId18" Type="http://schemas.openxmlformats.org/officeDocument/2006/relationships/hyperlink" Target="https://www.terracon.com/offices/houston/" TargetMode="External"/><Relationship Id="rId39" Type="http://schemas.openxmlformats.org/officeDocument/2006/relationships/hyperlink" Target="https://dallasinnovates.com/infrastructure-consulting-firm-halff-to-relocate-its-richardson-hq-to-bigger-digs-in-the-city/" TargetMode="External"/><Relationship Id="rId265" Type="http://schemas.openxmlformats.org/officeDocument/2006/relationships/hyperlink" Target="https://www.mccarthy.com/locations/st-louis" TargetMode="External"/><Relationship Id="rId286" Type="http://schemas.openxmlformats.org/officeDocument/2006/relationships/hyperlink" Target="https://investors.mastec.com/node/17776" TargetMode="External"/><Relationship Id="rId50" Type="http://schemas.openxmlformats.org/officeDocument/2006/relationships/hyperlink" Target="https://www.terracon.com/locations/" TargetMode="External"/><Relationship Id="rId104" Type="http://schemas.openxmlformats.org/officeDocument/2006/relationships/hyperlink" Target="https://fireriskalliance.com/battery-energy-storage-systems/" TargetMode="External"/><Relationship Id="rId125" Type="http://schemas.openxmlformats.org/officeDocument/2006/relationships/hyperlink" Target="https://enertisapplus.com/" TargetMode="External"/><Relationship Id="rId146" Type="http://schemas.openxmlformats.org/officeDocument/2006/relationships/hyperlink" Target="https://www.burnsmcd.com/" TargetMode="External"/><Relationship Id="rId167" Type="http://schemas.openxmlformats.org/officeDocument/2006/relationships/hyperlink" Target="https://www.sec.gov/Archives/edgar/data/1847590/000162828026015252/bwmn-20251231.htm" TargetMode="External"/><Relationship Id="rId188" Type="http://schemas.openxmlformats.org/officeDocument/2006/relationships/hyperlink" Target="https://finviz.com/news/67918/us-senator-john-curtis-visits-utah-manufacturing-facility-producing-fluence-battery-modules-highlights-energy-jobs-and-domestic-battery-supply-chain" TargetMode="External"/><Relationship Id="rId311" Type="http://schemas.openxmlformats.org/officeDocument/2006/relationships/hyperlink" Target="https://www.businesswire.com/news/home/20240502931363/en/Habitat-Energy-to-optimize-UBS-Asset-Management&#8217;s-730MW-ERCOT-battery-storage-portfolio" TargetMode="External"/><Relationship Id="rId71" Type="http://schemas.openxmlformats.org/officeDocument/2006/relationships/hyperlink" Target="https://www.powereng.com/library/power-opens-new-tyler-location/" TargetMode="External"/><Relationship Id="rId92" Type="http://schemas.openxmlformats.org/officeDocument/2006/relationships/hyperlink" Target="https://en.wikipedia.org/wiki/Leidos" TargetMode="External"/><Relationship Id="rId213" Type="http://schemas.openxmlformats.org/officeDocument/2006/relationships/hyperlink" Target="https://hitachienergy.com/us/en/about-us/company-profile/pg-in-the-us" TargetMode="External"/><Relationship Id="rId234" Type="http://schemas.openxmlformats.org/officeDocument/2006/relationships/hyperlink" Target="https://www.hitachienergy.com/products-and-solutions/high-voltage-switchgear-and-breakers/air-insulated-switchgear/dead-tank-circuit-breaker-362-420-kv" TargetMode="External"/><Relationship Id="rId2" Type="http://schemas.openxmlformats.org/officeDocument/2006/relationships/hyperlink" Target="https://www.erm.com/locations/" TargetMode="External"/><Relationship Id="rId29" Type="http://schemas.openxmlformats.org/officeDocument/2006/relationships/hyperlink" Target="https://en.wikipedia.org/wiki/HDR,_Inc." TargetMode="External"/><Relationship Id="rId255" Type="http://schemas.openxmlformats.org/officeDocument/2006/relationships/hyperlink" Target="https://powellindustriesinc.gcs-web.com/news-releases/news-release-details/powell-industries-announces-fourth-quarter-and-full-year-0" TargetMode="External"/><Relationship Id="rId276" Type="http://schemas.openxmlformats.org/officeDocument/2006/relationships/hyperlink" Target="https://www.prim.com/contact" TargetMode="External"/><Relationship Id="rId297" Type="http://schemas.openxmlformats.org/officeDocument/2006/relationships/hyperlink" Target="https://www.pcienergysolutions.com/contact-us/" TargetMode="External"/><Relationship Id="rId40" Type="http://schemas.openxmlformats.org/officeDocument/2006/relationships/hyperlink" Target="https://www.pape-dawson.com/contact" TargetMode="External"/><Relationship Id="rId115" Type="http://schemas.openxmlformats.org/officeDocument/2006/relationships/hyperlink" Target="https://www.lw.com/en/news/2024/04/latham-watkins-represents-ul-solutions-inc-in-upsized-us1-08-billion-ipo" TargetMode="External"/><Relationship Id="rId136" Type="http://schemas.openxmlformats.org/officeDocument/2006/relationships/hyperlink" Target="https://international-sargentlundy.icims.com/jobs/12396/senior-electrical-consultant----renewable-energy/job" TargetMode="External"/><Relationship Id="rId157" Type="http://schemas.openxmlformats.org/officeDocument/2006/relationships/hyperlink" Target="https://westwoodps.com/about-us/offices" TargetMode="External"/><Relationship Id="rId178" Type="http://schemas.openxmlformats.org/officeDocument/2006/relationships/hyperlink" Target="https://www.sargentlundy.com/contact-us" TargetMode="External"/><Relationship Id="rId301" Type="http://schemas.openxmlformats.org/officeDocument/2006/relationships/hyperlink" Target="https://www.yesenergy.com/locations" TargetMode="External"/><Relationship Id="rId322" Type="http://schemas.openxmlformats.org/officeDocument/2006/relationships/hyperlink" Target="https://www.tenaska.com/" TargetMode="External"/><Relationship Id="rId61" Type="http://schemas.openxmlformats.org/officeDocument/2006/relationships/hyperlink" Target="https://www.sargentlundy.com/projects/battery-energy-storage-project/" TargetMode="External"/><Relationship Id="rId82" Type="http://schemas.openxmlformats.org/officeDocument/2006/relationships/hyperlink" Target="https://www.sargentlundy.com/services/grid/" TargetMode="External"/><Relationship Id="rId199" Type="http://schemas.openxmlformats.org/officeDocument/2006/relationships/hyperlink" Target="https://www.flexgen.com/resources/blog/flexgen-completes-acquisition-powin-assets-expanding-global-leadership-grid-scale" TargetMode="External"/><Relationship Id="rId203" Type="http://schemas.openxmlformats.org/officeDocument/2006/relationships/hyperlink" Target="https://hithium.com/newsroom/latest/details/68.html" TargetMode="External"/><Relationship Id="rId19" Type="http://schemas.openxmlformats.org/officeDocument/2006/relationships/hyperlink" Target="https://www.terracon.com/offices/san-antonio/" TargetMode="External"/><Relationship Id="rId224" Type="http://schemas.openxmlformats.org/officeDocument/2006/relationships/hyperlink" Target="https://www.howard.com/INFO/news/2025/06/26/howard-industries-invests-over-230-million-to-expand-operations-across-mississippi.cfm" TargetMode="External"/><Relationship Id="rId245" Type="http://schemas.openxmlformats.org/officeDocument/2006/relationships/hyperlink" Target="https://switchgear-magazine.com/news/business/hyosung-targets-25-us-gcb-share/" TargetMode="External"/><Relationship Id="rId266" Type="http://schemas.openxmlformats.org/officeDocument/2006/relationships/hyperlink" Target="https://www.mccarthy.com/locations" TargetMode="External"/><Relationship Id="rId287" Type="http://schemas.openxmlformats.org/officeDocument/2006/relationships/hyperlink" Target="https://www.inforum.com/business/announcements/wanzek-rebrands-as-mastec-reflecting-continued-growth-and-commitment-5c42027021e12668ac8da793-66b4eefa6dbc50000e3b385e" TargetMode="External"/><Relationship Id="rId30" Type="http://schemas.openxmlformats.org/officeDocument/2006/relationships/hyperlink" Target="https://www.hdrinc.com/locations/US/Texas/Austin" TargetMode="External"/><Relationship Id="rId105" Type="http://schemas.openxmlformats.org/officeDocument/2006/relationships/hyperlink" Target="https://fireriskalliance.com/contact-us/" TargetMode="External"/><Relationship Id="rId126" Type="http://schemas.openxmlformats.org/officeDocument/2006/relationships/hyperlink" Target="https://enertisapplus.com/contact/" TargetMode="External"/><Relationship Id="rId147" Type="http://schemas.openxmlformats.org/officeDocument/2006/relationships/hyperlink" Target="https://www.burnsmcd.com/locations/kansas-city-mo?hsLang=en" TargetMode="External"/><Relationship Id="rId168" Type="http://schemas.openxmlformats.org/officeDocument/2006/relationships/hyperlink" Target="https://www.nasdaq.com/press-release/bowman-acquires-rpt-alliance-broadens-energy-engineering-include-utility-scale-power" TargetMode="External"/><Relationship Id="rId312" Type="http://schemas.openxmlformats.org/officeDocument/2006/relationships/hyperlink" Target="https://www.tyba.ai/" TargetMode="External"/><Relationship Id="rId51" Type="http://schemas.openxmlformats.org/officeDocument/2006/relationships/hyperlink" Target="https://en.wikipedia.org/wiki/Burns_%26_McDonnell" TargetMode="External"/><Relationship Id="rId72" Type="http://schemas.openxmlformats.org/officeDocument/2006/relationships/hyperlink" Target="https://www.flpublicpower.com/associate-membership/electrical-consultants-inc" TargetMode="External"/><Relationship Id="rId93" Type="http://schemas.openxmlformats.org/officeDocument/2006/relationships/hyperlink" Target="https://careers.leidos.com/jobs/16634885-substation-engineering-supervisor" TargetMode="External"/><Relationship Id="rId189" Type="http://schemas.openxmlformats.org/officeDocument/2006/relationships/hyperlink" Target="https://www.powermag.com/sungrow-introduces-new-solar-energy-storage-products-for-north-american-market/" TargetMode="External"/><Relationship Id="rId3" Type="http://schemas.openxmlformats.org/officeDocument/2006/relationships/hyperlink" Target="https://www.erm.com/contact-us/" TargetMode="External"/><Relationship Id="rId214" Type="http://schemas.openxmlformats.org/officeDocument/2006/relationships/hyperlink" Target="https://www.businesswire.com/news/home/20250212663224/en" TargetMode="External"/><Relationship Id="rId235" Type="http://schemas.openxmlformats.org/officeDocument/2006/relationships/hyperlink" Target="https://www.hitachienergy.com/ch/it/news-and-events/press-releases/2025/04/hitachi-energy-boosts-pennsylvania-investments-to-more-than-70-million" TargetMode="External"/><Relationship Id="rId256" Type="http://schemas.openxmlformats.org/officeDocument/2006/relationships/hyperlink" Target="https://www.powellind.com/" TargetMode="External"/><Relationship Id="rId277" Type="http://schemas.openxmlformats.org/officeDocument/2006/relationships/hyperlink" Target="https://www.sec.gov/Archives/edgar/data/1361538/000136153826000007/prim-20260217xex99.htm" TargetMode="External"/><Relationship Id="rId298" Type="http://schemas.openxmlformats.org/officeDocument/2006/relationships/hyperlink" Target="https://www.pcienergysolutions.com/" TargetMode="External"/><Relationship Id="rId116" Type="http://schemas.openxmlformats.org/officeDocument/2006/relationships/hyperlink" Target="https://www.exponent.com/offices/menlo-park" TargetMode="External"/><Relationship Id="rId137" Type="http://schemas.openxmlformats.org/officeDocument/2006/relationships/hyperlink" Target="https://www.cea3.com/" TargetMode="External"/><Relationship Id="rId158" Type="http://schemas.openxmlformats.org/officeDocument/2006/relationships/hyperlink" Target="https://www.businesswire.com/news/home/20240807897752/en/Blackstone-Energy-Transition-Partners-Announces-Majority-Investment-in-Westwood-Professional-Services-Inc.-Leading-Engineering-Consulting-Firm" TargetMode="External"/><Relationship Id="rId302" Type="http://schemas.openxmlformats.org/officeDocument/2006/relationships/hyperlink" Target="https://www.accel-kkr.com/portfolio-company/yes-energy/" TargetMode="External"/><Relationship Id="rId20" Type="http://schemas.openxmlformats.org/officeDocument/2006/relationships/hyperlink" Target="https://www.terracon.com/offices/frisco/" TargetMode="External"/><Relationship Id="rId41" Type="http://schemas.openxmlformats.org/officeDocument/2006/relationships/hyperlink" Target="https://www.pape-dawson.com/locations/" TargetMode="External"/><Relationship Id="rId62" Type="http://schemas.openxmlformats.org/officeDocument/2006/relationships/hyperlink" Target="https://en.wikipedia.org/wiki/Burns_%26_McDonnell" TargetMode="External"/><Relationship Id="rId83" Type="http://schemas.openxmlformats.org/officeDocument/2006/relationships/hyperlink" Target="https://www.bv.com/contact-us" TargetMode="External"/><Relationship Id="rId179" Type="http://schemas.openxmlformats.org/officeDocument/2006/relationships/hyperlink" Target="https://www.naturalpower.com/us/news/news-post/natural-power-appoints-head-of-independent-engineering-in-north-america" TargetMode="External"/><Relationship Id="rId190" Type="http://schemas.openxmlformats.org/officeDocument/2006/relationships/hyperlink" Target="https://www.sungrowpower.com/us/en/about-us/contact-us" TargetMode="External"/><Relationship Id="rId204" Type="http://schemas.openxmlformats.org/officeDocument/2006/relationships/hyperlink" Target="https://www.ess-news.com/2025/12/01/canadian-solar-consolidates-us-manufacturing-under-parent-including-solar-and-storage/" TargetMode="External"/><Relationship Id="rId225" Type="http://schemas.openxmlformats.org/officeDocument/2006/relationships/hyperlink" Target="https://www.howard.com/INFO/news/2026/05/08/howard-industries-announces-major-expansion-of-mexico-manufacturing-operations.cfm" TargetMode="External"/><Relationship Id="rId246" Type="http://schemas.openxmlformats.org/officeDocument/2006/relationships/hyperlink" Target="https://www.actionnews5.com/2025/11/12/hyosung-hico-expands-again-bringing-240-new-jobs-memphis" TargetMode="External"/><Relationship Id="rId267" Type="http://schemas.openxmlformats.org/officeDocument/2006/relationships/hyperlink" Target="https://www.mccarthy.com/about" TargetMode="External"/><Relationship Id="rId288" Type="http://schemas.openxmlformats.org/officeDocument/2006/relationships/hyperlink" Target="https://www.sec.gov/Archives/edgar/data/15615/000001561526000020/mtz-20251231.htm" TargetMode="External"/><Relationship Id="rId106" Type="http://schemas.openxmlformats.org/officeDocument/2006/relationships/hyperlink" Target="https://www.telgian.com/contact/" TargetMode="External"/><Relationship Id="rId127" Type="http://schemas.openxmlformats.org/officeDocument/2006/relationships/hyperlink" Target="https://www.tdrcapital.com/tdr-capital-v-acquires-applus/" TargetMode="External"/><Relationship Id="rId313" Type="http://schemas.openxmlformats.org/officeDocument/2006/relationships/hyperlink" Target="https://www.tyba.ai/contact/" TargetMode="External"/><Relationship Id="rId10" Type="http://schemas.openxmlformats.org/officeDocument/2006/relationships/hyperlink" Target="https://www.stantec.com/en/offices/united-states-locations/texas-offices/san-antonio-texas-office" TargetMode="External"/><Relationship Id="rId31" Type="http://schemas.openxmlformats.org/officeDocument/2006/relationships/hyperlink" Target="https://www.hdrinc.com/locations/US/Texas/Houston" TargetMode="External"/><Relationship Id="rId52" Type="http://schemas.openxmlformats.org/officeDocument/2006/relationships/hyperlink" Target="https://www.burnsmcd.com/about/locations" TargetMode="External"/><Relationship Id="rId73" Type="http://schemas.openxmlformats.org/officeDocument/2006/relationships/hyperlink" Target="https://www.utilitydive.com/press-release/20191011-electrical-consultants-inc-relay-application-innovation-inc-are-joini" TargetMode="External"/><Relationship Id="rId94" Type="http://schemas.openxmlformats.org/officeDocument/2006/relationships/hyperlink" Target="https://www.flpublicpower.com/associate-membership/electrical-consultants-inc" TargetMode="External"/><Relationship Id="rId148" Type="http://schemas.openxmlformats.org/officeDocument/2006/relationships/hyperlink" Target="https://www.burnsmcd.com/about/locations" TargetMode="External"/><Relationship Id="rId169" Type="http://schemas.openxmlformats.org/officeDocument/2006/relationships/hyperlink" Target="https://www.dnv.com/services/independent-engineering-and-technical-due-diligence-63108/" TargetMode="External"/><Relationship Id="rId4" Type="http://schemas.openxmlformats.org/officeDocument/2006/relationships/hyperlink" Target="https://www.tetratech.com/contact/" TargetMode="External"/><Relationship Id="rId180" Type="http://schemas.openxmlformats.org/officeDocument/2006/relationships/hyperlink" Target="https://www.naturalpower.com/us/contact" TargetMode="External"/><Relationship Id="rId215" Type="http://schemas.openxmlformats.org/officeDocument/2006/relationships/hyperlink" Target="https://www.tdworld.com/utility-business/news/55355616/ge-vernova-completes-acquisition-of-prolec-ge" TargetMode="External"/><Relationship Id="rId236" Type="http://schemas.openxmlformats.org/officeDocument/2006/relationships/hyperlink" Target="https://www.datacenterdynamics.com/en/news/hitachi-energy-to-invest-1bn-into-us-grid-infrastructure-manufacturing-to-address-data-center-power-demand/" TargetMode="External"/><Relationship Id="rId257" Type="http://schemas.openxmlformats.org/officeDocument/2006/relationships/hyperlink" Target="https://www.sandc.com/en/company/" TargetMode="External"/><Relationship Id="rId278" Type="http://schemas.openxmlformats.org/officeDocument/2006/relationships/hyperlink" Target="https://www.solarpowerworldonline.com/2026-top-solar-storage-installers/" TargetMode="External"/><Relationship Id="rId303" Type="http://schemas.openxmlformats.org/officeDocument/2006/relationships/hyperlink" Target="https://www.enverus.com/contact-us/" TargetMode="External"/><Relationship Id="rId42" Type="http://schemas.openxmlformats.org/officeDocument/2006/relationships/hyperlink" Target="https://www.pape-dawson.com/services/power-energy/" TargetMode="External"/><Relationship Id="rId84" Type="http://schemas.openxmlformats.org/officeDocument/2006/relationships/hyperlink" Target="https://en.wikipedia.org/wiki/Black_%26_Veatch" TargetMode="External"/><Relationship Id="rId138" Type="http://schemas.openxmlformats.org/officeDocument/2006/relationships/hyperlink" Target="https://pv-tech.org/clean-energy-associates-acquired-by-british-quality-assurance-firm-intertek" TargetMode="External"/><Relationship Id="rId191" Type="http://schemas.openxmlformats.org/officeDocument/2006/relationships/hyperlink" Target="https://lgcorp.com/media/release/28489" TargetMode="External"/><Relationship Id="rId205" Type="http://schemas.openxmlformats.org/officeDocument/2006/relationships/hyperlink" Target="https://www.industrialinfo.com/iirenergy/industry-news/article/canadian-solar-sees-bess-as-bright-side-of-tough-quarter--361881" TargetMode="External"/><Relationship Id="rId247" Type="http://schemas.openxmlformats.org/officeDocument/2006/relationships/hyperlink" Target="https://transformer-technology.com/hd-hyundai-electric-expands-us-grid-presence-with-119-million-contract/" TargetMode="External"/><Relationship Id="rId107" Type="http://schemas.openxmlformats.org/officeDocument/2006/relationships/hyperlink" Target="https://www.telgian.com/companies-services/telgian-engineering-consulting/locations/" TargetMode="External"/><Relationship Id="rId289" Type="http://schemas.openxmlformats.org/officeDocument/2006/relationships/hyperlink" Target="https://www.tesla.com/support/energy/tesla-software/autobidder" TargetMode="External"/><Relationship Id="rId11" Type="http://schemas.openxmlformats.org/officeDocument/2006/relationships/hyperlink" Target="https://en.wikipedia.org/wiki/WSP_Global" TargetMode="External"/><Relationship Id="rId53" Type="http://schemas.openxmlformats.org/officeDocument/2006/relationships/hyperlink" Target="https://www.burnsmcd.com/locations/houston" TargetMode="External"/><Relationship Id="rId149" Type="http://schemas.openxmlformats.org/officeDocument/2006/relationships/hyperlink" Target="https://www.burnsmcd.com/news/epc-contract-for-west-texas-storage-projects" TargetMode="External"/><Relationship Id="rId314" Type="http://schemas.openxmlformats.org/officeDocument/2006/relationships/hyperlink" Target="https://batterypoweronline.com/view-press-releases/entry/5380" TargetMode="External"/><Relationship Id="rId95" Type="http://schemas.openxmlformats.org/officeDocument/2006/relationships/hyperlink" Target="https://www.utilitydive.com/press-release/20191011-electrical-consultants-inc-relay-application-innovation-inc-are-joini" TargetMode="External"/><Relationship Id="rId160" Type="http://schemas.openxmlformats.org/officeDocument/2006/relationships/hyperlink" Target="https://new.bv.com/news/black-and-veatch-appointed-as-owners-engineer-for-eccles-battery-storage-project-in-scotland" TargetMode="External"/><Relationship Id="rId216" Type="http://schemas.openxmlformats.org/officeDocument/2006/relationships/hyperlink" Target="https://www.prolec.energy/news/prolec-ge-invests-an-additional-140-million-in-the-u-s-to-support-north-american-electric-grid-goals/" TargetMode="External"/><Relationship Id="rId258" Type="http://schemas.openxmlformats.org/officeDocument/2006/relationships/hyperlink" Target="https://www.renewableenergyworld.com/power-grid/sc-electric-expanding-manufacturing-facilities-to-meet-growing-demand/" TargetMode="External"/><Relationship Id="rId22" Type="http://schemas.openxmlformats.org/officeDocument/2006/relationships/hyperlink" Target="https://www.swca.com/about" TargetMode="External"/><Relationship Id="rId64" Type="http://schemas.openxmlformats.org/officeDocument/2006/relationships/hyperlink" Target="https://www.bv.com/contact-us" TargetMode="External"/><Relationship Id="rId118" Type="http://schemas.openxmlformats.org/officeDocument/2006/relationships/hyperlink" Target="https://www.exponent.com/offices/houston" TargetMode="External"/><Relationship Id="rId171" Type="http://schemas.openxmlformats.org/officeDocument/2006/relationships/hyperlink" Target="https://informedinfrastructure.com/index.php/post/enertis-applus-delivers-independent-engineering-expertise-to-texas-bess-projects-for-excelsior-energy-capital" TargetMode="External"/><Relationship Id="rId227" Type="http://schemas.openxmlformats.org/officeDocument/2006/relationships/hyperlink" Target="https://www.maddox.com/about" TargetMode="External"/><Relationship Id="rId269" Type="http://schemas.openxmlformats.org/officeDocument/2006/relationships/hyperlink" Target="https://www.quantaservices.com/companies/blattner" TargetMode="External"/><Relationship Id="rId33" Type="http://schemas.openxmlformats.org/officeDocument/2006/relationships/hyperlink" Target="https://www.kimley-horn.com/locations/?_state=texas" TargetMode="External"/><Relationship Id="rId129" Type="http://schemas.openxmlformats.org/officeDocument/2006/relationships/hyperlink" Target="https://www.bv.com/contact-us" TargetMode="External"/><Relationship Id="rId280" Type="http://schemas.openxmlformats.org/officeDocument/2006/relationships/hyperlink" Target="https://www.rosendin.com/contact/office-locations/" TargetMode="External"/><Relationship Id="rId75" Type="http://schemas.openxmlformats.org/officeDocument/2006/relationships/hyperlink" Target="https://www.bennettjones.com/News/Client-Work/2024/10/WSP-Completes-Acquisition-of-Power-Engineers-for-US1-78-Billion" TargetMode="External"/><Relationship Id="rId140" Type="http://schemas.openxmlformats.org/officeDocument/2006/relationships/hyperlink" Target="https://www.kimley-horn.com/services/energy-consulting/battery-energy-storage-systems-consulting/" TargetMode="External"/><Relationship Id="rId182" Type="http://schemas.openxmlformats.org/officeDocument/2006/relationships/hyperlink" Target="https://www.builtinchicago.org/job/senior-project-engineer-energy-storage-advisory/9342322" TargetMode="External"/><Relationship Id="rId6" Type="http://schemas.openxmlformats.org/officeDocument/2006/relationships/hyperlink" Target="https://tetratech.com/en/united-states" TargetMode="External"/><Relationship Id="rId238" Type="http://schemas.openxmlformats.org/officeDocument/2006/relationships/hyperlink" Target="https://www.plantservices.com/industry-news/news/55355114/siemens-energy-announces-1-billion-for-mississippi-plant-us-expansions" TargetMode="External"/><Relationship Id="rId291" Type="http://schemas.openxmlformats.org/officeDocument/2006/relationships/hyperlink" Target="https://fluenceenergy.com/contact/" TargetMode="External"/><Relationship Id="rId305" Type="http://schemas.openxmlformats.org/officeDocument/2006/relationships/hyperlink" Target="https://www.businesswire.com/news/home/20250805990991/en/Blackstone-Announces-Agreement-to-Acquire-Enverus" TargetMode="External"/><Relationship Id="rId44" Type="http://schemas.openxmlformats.org/officeDocument/2006/relationships/hyperlink" Target="https://investors.bowman.com/" TargetMode="External"/><Relationship Id="rId86" Type="http://schemas.openxmlformats.org/officeDocument/2006/relationships/hyperlink" Target="https://www.epeconsulting.com/" TargetMode="External"/><Relationship Id="rId151" Type="http://schemas.openxmlformats.org/officeDocument/2006/relationships/hyperlink" Target="https://www.sargentlundy.com/contact-us" TargetMode="External"/><Relationship Id="rId193" Type="http://schemas.openxmlformats.org/officeDocument/2006/relationships/hyperlink" Target="https://www.solarpowerworldonline.com/2025/06/lg-energy-solutions-opens-lfp-battery-cell-manufacturing-plant-in-michigan/" TargetMode="External"/><Relationship Id="rId207" Type="http://schemas.openxmlformats.org/officeDocument/2006/relationships/hyperlink" Target="https://uk.finance.yahoo.com/quote/CSIQ/profile" TargetMode="External"/><Relationship Id="rId249" Type="http://schemas.openxmlformats.org/officeDocument/2006/relationships/hyperlink" Target="https://www.businesswire.com/news/home/20250212663224/en" TargetMode="External"/><Relationship Id="rId13" Type="http://schemas.openxmlformats.org/officeDocument/2006/relationships/hyperlink" Target="https://www.wsp.com/en-us/contact-us/offices" TargetMode="External"/><Relationship Id="rId109" Type="http://schemas.openxmlformats.org/officeDocument/2006/relationships/hyperlink" Target="https://en.wikipedia.org/wiki/DNV" TargetMode="External"/><Relationship Id="rId260" Type="http://schemas.openxmlformats.org/officeDocument/2006/relationships/hyperlink" Target="https://engineering.lehigh.edu/node/169459" TargetMode="External"/><Relationship Id="rId316" Type="http://schemas.openxmlformats.org/officeDocument/2006/relationships/hyperlink" Target="https://www.ess-news.com/2025/12/03/modo-energy-raises-33m-and-sets-out-ai-ambi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B47"/>
  <sheetViews>
    <sheetView showGridLines="0" zoomScaleNormal="100" workbookViewId="0"/>
  </sheetViews>
  <sheetFormatPr defaultColWidth="8.7109375" defaultRowHeight="15" x14ac:dyDescent="0.25"/>
  <cols>
    <col min="1" max="1" width="26" customWidth="1"/>
    <col min="2" max="2" width="110" customWidth="1"/>
  </cols>
  <sheetData>
    <row r="1" spans="1:2" ht="20.25" x14ac:dyDescent="0.3">
      <c r="A1" s="8" t="s">
        <v>0</v>
      </c>
    </row>
    <row r="2" spans="1:2" x14ac:dyDescent="0.25">
      <c r="A2" s="9" t="s">
        <v>1</v>
      </c>
    </row>
    <row r="4" spans="1:2" x14ac:dyDescent="0.25">
      <c r="A4" s="10" t="s">
        <v>2</v>
      </c>
      <c r="B4" s="11"/>
    </row>
    <row r="5" spans="1:2" ht="25.5" x14ac:dyDescent="0.25">
      <c r="A5" s="12" t="s">
        <v>3</v>
      </c>
      <c r="B5" s="13" t="s">
        <v>4</v>
      </c>
    </row>
    <row r="6" spans="1:2" x14ac:dyDescent="0.25">
      <c r="A6" s="12" t="s">
        <v>5</v>
      </c>
      <c r="B6" s="13" t="s">
        <v>6</v>
      </c>
    </row>
    <row r="8" spans="1:2" x14ac:dyDescent="0.25">
      <c r="A8" s="10" t="s">
        <v>7</v>
      </c>
      <c r="B8" s="11"/>
    </row>
    <row r="9" spans="1:2" x14ac:dyDescent="0.25">
      <c r="A9" s="12" t="s">
        <v>8</v>
      </c>
      <c r="B9" s="13" t="s">
        <v>9</v>
      </c>
    </row>
    <row r="10" spans="1:2" x14ac:dyDescent="0.25">
      <c r="A10" s="12" t="s">
        <v>10</v>
      </c>
      <c r="B10" s="13" t="s">
        <v>11</v>
      </c>
    </row>
    <row r="11" spans="1:2" x14ac:dyDescent="0.25">
      <c r="A11" s="12" t="s">
        <v>12</v>
      </c>
      <c r="B11" s="13" t="s">
        <v>13</v>
      </c>
    </row>
    <row r="12" spans="1:2" x14ac:dyDescent="0.25">
      <c r="A12" s="12" t="s">
        <v>14</v>
      </c>
      <c r="B12" s="13" t="s">
        <v>15</v>
      </c>
    </row>
    <row r="13" spans="1:2" x14ac:dyDescent="0.25">
      <c r="A13" s="12" t="s">
        <v>16</v>
      </c>
      <c r="B13" s="13" t="s">
        <v>17</v>
      </c>
    </row>
    <row r="15" spans="1:2" x14ac:dyDescent="0.25">
      <c r="A15" s="10" t="s">
        <v>18</v>
      </c>
      <c r="B15" s="11"/>
    </row>
    <row r="16" spans="1:2" x14ac:dyDescent="0.25">
      <c r="A16" s="12" t="s">
        <v>19</v>
      </c>
      <c r="B16" s="13" t="s">
        <v>20</v>
      </c>
    </row>
    <row r="17" spans="1:2" x14ac:dyDescent="0.25">
      <c r="A17" s="12" t="s">
        <v>21</v>
      </c>
      <c r="B17" s="13" t="s">
        <v>22</v>
      </c>
    </row>
    <row r="18" spans="1:2" x14ac:dyDescent="0.25">
      <c r="A18" s="12" t="s">
        <v>23</v>
      </c>
      <c r="B18" s="13" t="s">
        <v>24</v>
      </c>
    </row>
    <row r="19" spans="1:2" x14ac:dyDescent="0.25">
      <c r="A19" s="12" t="s">
        <v>25</v>
      </c>
      <c r="B19" s="13" t="s">
        <v>26</v>
      </c>
    </row>
    <row r="20" spans="1:2" x14ac:dyDescent="0.25">
      <c r="A20" s="12" t="s">
        <v>27</v>
      </c>
      <c r="B20" s="13" t="s">
        <v>28</v>
      </c>
    </row>
    <row r="21" spans="1:2" x14ac:dyDescent="0.25">
      <c r="A21" s="12" t="s">
        <v>29</v>
      </c>
      <c r="B21" s="13" t="s">
        <v>30</v>
      </c>
    </row>
    <row r="23" spans="1:2" x14ac:dyDescent="0.25">
      <c r="A23" s="10" t="s">
        <v>31</v>
      </c>
      <c r="B23" s="11"/>
    </row>
    <row r="24" spans="1:2" ht="25.5" x14ac:dyDescent="0.25">
      <c r="A24" s="12" t="s">
        <v>32</v>
      </c>
      <c r="B24" s="13" t="s">
        <v>33</v>
      </c>
    </row>
    <row r="25" spans="1:2" ht="25.5" x14ac:dyDescent="0.25">
      <c r="A25" s="12" t="s">
        <v>34</v>
      </c>
      <c r="B25" s="13" t="s">
        <v>35</v>
      </c>
    </row>
    <row r="27" spans="1:2" x14ac:dyDescent="0.25">
      <c r="A27" s="10" t="s">
        <v>36</v>
      </c>
      <c r="B27" s="11"/>
    </row>
    <row r="28" spans="1:2" x14ac:dyDescent="0.25">
      <c r="A28" s="12" t="s">
        <v>37</v>
      </c>
      <c r="B28" s="13" t="s">
        <v>38</v>
      </c>
    </row>
    <row r="29" spans="1:2" ht="25.5" x14ac:dyDescent="0.25">
      <c r="A29" s="12" t="s">
        <v>39</v>
      </c>
      <c r="B29" s="13" t="s">
        <v>40</v>
      </c>
    </row>
    <row r="30" spans="1:2" x14ac:dyDescent="0.25">
      <c r="A30" s="12" t="s">
        <v>41</v>
      </c>
      <c r="B30" s="13" t="s">
        <v>42</v>
      </c>
    </row>
    <row r="31" spans="1:2" ht="25.5" x14ac:dyDescent="0.25">
      <c r="A31" s="12" t="s">
        <v>43</v>
      </c>
      <c r="B31" s="13" t="s">
        <v>44</v>
      </c>
    </row>
    <row r="32" spans="1:2" ht="25.5" x14ac:dyDescent="0.25">
      <c r="A32" s="12" t="s">
        <v>45</v>
      </c>
      <c r="B32" s="13" t="s">
        <v>46</v>
      </c>
    </row>
    <row r="33" spans="1:2" ht="25.5" x14ac:dyDescent="0.25">
      <c r="A33" s="12" t="s">
        <v>47</v>
      </c>
      <c r="B33" s="13" t="s">
        <v>48</v>
      </c>
    </row>
    <row r="34" spans="1:2" x14ac:dyDescent="0.25">
      <c r="A34" s="12" t="s">
        <v>49</v>
      </c>
      <c r="B34" s="13" t="s">
        <v>50</v>
      </c>
    </row>
    <row r="35" spans="1:2" x14ac:dyDescent="0.25">
      <c r="A35" s="12" t="s">
        <v>51</v>
      </c>
      <c r="B35" s="13" t="s">
        <v>52</v>
      </c>
    </row>
    <row r="36" spans="1:2" ht="25.5" x14ac:dyDescent="0.25">
      <c r="A36" s="12" t="s">
        <v>53</v>
      </c>
      <c r="B36" s="13" t="s">
        <v>54</v>
      </c>
    </row>
    <row r="38" spans="1:2" x14ac:dyDescent="0.25">
      <c r="A38" s="14" t="s">
        <v>55</v>
      </c>
      <c r="B38" s="15"/>
    </row>
    <row r="39" spans="1:2" x14ac:dyDescent="0.25">
      <c r="A39" s="16" t="s">
        <v>56</v>
      </c>
      <c r="B39" s="15" t="s">
        <v>57</v>
      </c>
    </row>
    <row r="40" spans="1:2" x14ac:dyDescent="0.25">
      <c r="A40" s="17" t="s">
        <v>58</v>
      </c>
      <c r="B40" s="15" t="s">
        <v>59</v>
      </c>
    </row>
    <row r="41" spans="1:2" x14ac:dyDescent="0.25">
      <c r="A41" s="18" t="s">
        <v>60</v>
      </c>
      <c r="B41" s="15" t="s">
        <v>59</v>
      </c>
    </row>
    <row r="42" spans="1:2" x14ac:dyDescent="0.25">
      <c r="A42" s="19" t="s">
        <v>61</v>
      </c>
      <c r="B42" s="15" t="s">
        <v>59</v>
      </c>
    </row>
    <row r="43" spans="1:2" x14ac:dyDescent="0.25">
      <c r="A43" s="20" t="s">
        <v>62</v>
      </c>
      <c r="B43" s="15" t="s">
        <v>59</v>
      </c>
    </row>
    <row r="44" spans="1:2" x14ac:dyDescent="0.25">
      <c r="A44" s="21" t="s">
        <v>32</v>
      </c>
      <c r="B44" s="15" t="s">
        <v>59</v>
      </c>
    </row>
    <row r="45" spans="1:2" x14ac:dyDescent="0.25">
      <c r="A45" s="22" t="s">
        <v>34</v>
      </c>
      <c r="B45" s="15" t="s">
        <v>59</v>
      </c>
    </row>
    <row r="46" spans="1:2" x14ac:dyDescent="0.25">
      <c r="A46" s="23" t="s">
        <v>63</v>
      </c>
      <c r="B46" s="15" t="s">
        <v>59</v>
      </c>
    </row>
    <row r="47" spans="1:2" x14ac:dyDescent="0.25">
      <c r="A47" s="15"/>
      <c r="B47" s="15"/>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M20"/>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24" customWidth="1"/>
    <col min="2" max="13" width="12" customWidth="1"/>
  </cols>
  <sheetData>
    <row r="1" spans="1:13" ht="18" x14ac:dyDescent="0.25">
      <c r="A1" s="24" t="s">
        <v>64</v>
      </c>
    </row>
    <row r="2" spans="1:13" x14ac:dyDescent="0.25">
      <c r="A2" s="9" t="s">
        <v>65</v>
      </c>
    </row>
    <row r="4" spans="1:13" ht="30" customHeight="1" x14ac:dyDescent="0.25">
      <c r="A4" s="25" t="s">
        <v>66</v>
      </c>
      <c r="B4" s="25" t="s">
        <v>67</v>
      </c>
      <c r="C4" s="25" t="s">
        <v>19</v>
      </c>
      <c r="D4" s="25" t="s">
        <v>21</v>
      </c>
      <c r="E4" s="25" t="s">
        <v>23</v>
      </c>
      <c r="F4" s="25" t="s">
        <v>25</v>
      </c>
      <c r="G4" s="25" t="s">
        <v>27</v>
      </c>
      <c r="H4" s="25" t="s">
        <v>29</v>
      </c>
      <c r="I4" s="25" t="s">
        <v>68</v>
      </c>
      <c r="J4" s="25" t="s">
        <v>69</v>
      </c>
      <c r="K4" s="25" t="s">
        <v>70</v>
      </c>
      <c r="L4" s="25" t="s">
        <v>71</v>
      </c>
      <c r="M4" s="25" t="s">
        <v>72</v>
      </c>
    </row>
    <row r="5" spans="1:13" x14ac:dyDescent="0.25">
      <c r="A5" s="26" t="s">
        <v>73</v>
      </c>
      <c r="B5" s="27">
        <f>COUNTA('Env Eng'!$B$5:$B$300)</f>
        <v>8</v>
      </c>
      <c r="C5" s="27">
        <f>COUNTIF('Env Eng'!$P$5:$P$300,"Discovery")</f>
        <v>8</v>
      </c>
      <c r="D5" s="27">
        <f>COUNTIF('Env Eng'!$P$5:$P$300,"Prequalified")</f>
        <v>0</v>
      </c>
      <c r="E5" s="27">
        <f>COUNTIF('Env Eng'!$P$5:$P$300,"Qualified")</f>
        <v>0</v>
      </c>
      <c r="F5" s="27">
        <f>COUNTIF('Env Eng'!$P$5:$P$300,"AVL")</f>
        <v>0</v>
      </c>
      <c r="G5" s="27">
        <f>COUNTIF('Env Eng'!$P$5:$P$300,"On Hold")</f>
        <v>0</v>
      </c>
      <c r="H5" s="27">
        <f>COUNTIF('Env Eng'!$P$5:$P$300,"Disqualified")</f>
        <v>0</v>
      </c>
      <c r="I5" s="27">
        <f>COUNTIF('Env Eng'!$W$5:$W$300,"FEOC Review")</f>
        <v>0</v>
      </c>
      <c r="J5" s="27">
        <f>COUNTIF('Env Eng'!$W$5:$W$300,"High")</f>
        <v>0</v>
      </c>
      <c r="K5" s="27">
        <f>COUNTIF('Env Eng'!$T$5:$T$300,"Not Assessed")</f>
        <v>8</v>
      </c>
      <c r="L5" s="27">
        <f ca="1">COUNTIFS('Env Eng'!$Z$5:$Z$300,"&lt;"&amp;TODAY(),'Env Eng'!$Z$5:$Z$300,"&lt;&gt;")</f>
        <v>0</v>
      </c>
      <c r="M5" s="27">
        <f>COUNTIF('Env Eng'!$AB$5:$AB$300,"No - AI seeded")</f>
        <v>8</v>
      </c>
    </row>
    <row r="6" spans="1:13" x14ac:dyDescent="0.25">
      <c r="A6" s="26" t="s">
        <v>74</v>
      </c>
      <c r="B6" s="27">
        <f>COUNTA('Civil Eng'!$B$5:$B$300)</f>
        <v>7</v>
      </c>
      <c r="C6" s="27">
        <f>COUNTIF('Civil Eng'!$P$5:$P$300,"Discovery")</f>
        <v>7</v>
      </c>
      <c r="D6" s="27">
        <f>COUNTIF('Civil Eng'!$P$5:$P$300,"Prequalified")</f>
        <v>0</v>
      </c>
      <c r="E6" s="27">
        <f>COUNTIF('Civil Eng'!$P$5:$P$300,"Qualified")</f>
        <v>0</v>
      </c>
      <c r="F6" s="27">
        <f>COUNTIF('Civil Eng'!$P$5:$P$300,"AVL")</f>
        <v>0</v>
      </c>
      <c r="G6" s="27">
        <f>COUNTIF('Civil Eng'!$P$5:$P$300,"On Hold")</f>
        <v>0</v>
      </c>
      <c r="H6" s="27">
        <f>COUNTIF('Civil Eng'!$P$5:$P$300,"Disqualified")</f>
        <v>0</v>
      </c>
      <c r="I6" s="27">
        <f>COUNTIF('Civil Eng'!$W$5:$W$300,"FEOC Review")</f>
        <v>0</v>
      </c>
      <c r="J6" s="27">
        <f>COUNTIF('Civil Eng'!$W$5:$W$300,"High")</f>
        <v>0</v>
      </c>
      <c r="K6" s="27">
        <f>COUNTIF('Civil Eng'!$T$5:$T$300,"Not Assessed")</f>
        <v>7</v>
      </c>
      <c r="L6" s="27">
        <f ca="1">COUNTIFS('Civil Eng'!$Z$5:$Z$300,"&lt;"&amp;TODAY(),'Civil Eng'!$Z$5:$Z$300,"&lt;&gt;")</f>
        <v>0</v>
      </c>
      <c r="M6" s="27">
        <f>COUNTIF('Civil Eng'!$AB$5:$AB$300,"No - AI seeded")</f>
        <v>7</v>
      </c>
    </row>
    <row r="7" spans="1:13" x14ac:dyDescent="0.25">
      <c r="A7" s="26" t="s">
        <v>75</v>
      </c>
      <c r="B7" s="27">
        <f>COUNTA('Structural Eng'!$B$5:$B$300)</f>
        <v>6</v>
      </c>
      <c r="C7" s="27">
        <f>COUNTIF('Structural Eng'!$P$5:$P$300,"Discovery")</f>
        <v>6</v>
      </c>
      <c r="D7" s="27">
        <f>COUNTIF('Structural Eng'!$P$5:$P$300,"Prequalified")</f>
        <v>0</v>
      </c>
      <c r="E7" s="27">
        <f>COUNTIF('Structural Eng'!$P$5:$P$300,"Qualified")</f>
        <v>0</v>
      </c>
      <c r="F7" s="27">
        <f>COUNTIF('Structural Eng'!$P$5:$P$300,"AVL")</f>
        <v>0</v>
      </c>
      <c r="G7" s="27">
        <f>COUNTIF('Structural Eng'!$P$5:$P$300,"On Hold")</f>
        <v>0</v>
      </c>
      <c r="H7" s="27">
        <f>COUNTIF('Structural Eng'!$P$5:$P$300,"Disqualified")</f>
        <v>0</v>
      </c>
      <c r="I7" s="27">
        <f>COUNTIF('Structural Eng'!$W$5:$W$300,"FEOC Review")</f>
        <v>0</v>
      </c>
      <c r="J7" s="27">
        <f>COUNTIF('Structural Eng'!$W$5:$W$300,"High")</f>
        <v>0</v>
      </c>
      <c r="K7" s="27">
        <f>COUNTIF('Structural Eng'!$T$5:$T$300,"Not Assessed")</f>
        <v>6</v>
      </c>
      <c r="L7" s="27">
        <f ca="1">COUNTIFS('Structural Eng'!$Z$5:$Z$300,"&lt;"&amp;TODAY(),'Structural Eng'!$Z$5:$Z$300,"&lt;&gt;")</f>
        <v>0</v>
      </c>
      <c r="M7" s="27">
        <f>COUNTIF('Structural Eng'!$AB$5:$AB$300,"No - AI seeded")</f>
        <v>6</v>
      </c>
    </row>
    <row r="8" spans="1:13" x14ac:dyDescent="0.25">
      <c r="A8" s="26" t="s">
        <v>76</v>
      </c>
      <c r="B8" s="27">
        <f>COUNTA('Electrical Eng'!$B$5:$B$300)</f>
        <v>8</v>
      </c>
      <c r="C8" s="27">
        <f>COUNTIF('Electrical Eng'!$P$5:$P$300,"Discovery")</f>
        <v>8</v>
      </c>
      <c r="D8" s="27">
        <f>COUNTIF('Electrical Eng'!$P$5:$P$300,"Prequalified")</f>
        <v>0</v>
      </c>
      <c r="E8" s="27">
        <f>COUNTIF('Electrical Eng'!$P$5:$P$300,"Qualified")</f>
        <v>0</v>
      </c>
      <c r="F8" s="27">
        <f>COUNTIF('Electrical Eng'!$P$5:$P$300,"AVL")</f>
        <v>0</v>
      </c>
      <c r="G8" s="27">
        <f>COUNTIF('Electrical Eng'!$P$5:$P$300,"On Hold")</f>
        <v>0</v>
      </c>
      <c r="H8" s="27">
        <f>COUNTIF('Electrical Eng'!$P$5:$P$300,"Disqualified")</f>
        <v>0</v>
      </c>
      <c r="I8" s="27">
        <f>COUNTIF('Electrical Eng'!$W$5:$W$300,"FEOC Review")</f>
        <v>0</v>
      </c>
      <c r="J8" s="27">
        <f>COUNTIF('Electrical Eng'!$W$5:$W$300,"High")</f>
        <v>0</v>
      </c>
      <c r="K8" s="27">
        <f>COUNTIF('Electrical Eng'!$T$5:$T$300,"Not Assessed")</f>
        <v>8</v>
      </c>
      <c r="L8" s="27">
        <f ca="1">COUNTIFS('Electrical Eng'!$Z$5:$Z$300,"&lt;"&amp;TODAY(),'Electrical Eng'!$Z$5:$Z$300,"&lt;&gt;")</f>
        <v>0</v>
      </c>
      <c r="M8" s="27">
        <f>COUNTIF('Electrical Eng'!$AB$5:$AB$300,"No - AI seeded")</f>
        <v>8</v>
      </c>
    </row>
    <row r="9" spans="1:13" x14ac:dyDescent="0.25">
      <c r="A9" s="26" t="s">
        <v>77</v>
      </c>
      <c r="B9" s="27">
        <f>COUNTA('Fire Eng'!$B$5:$B$300)</f>
        <v>7</v>
      </c>
      <c r="C9" s="27">
        <f>COUNTIF('Fire Eng'!$P$5:$P$300,"Discovery")</f>
        <v>7</v>
      </c>
      <c r="D9" s="27">
        <f>COUNTIF('Fire Eng'!$P$5:$P$300,"Prequalified")</f>
        <v>0</v>
      </c>
      <c r="E9" s="27">
        <f>COUNTIF('Fire Eng'!$P$5:$P$300,"Qualified")</f>
        <v>0</v>
      </c>
      <c r="F9" s="27">
        <f>COUNTIF('Fire Eng'!$P$5:$P$300,"AVL")</f>
        <v>0</v>
      </c>
      <c r="G9" s="27">
        <f>COUNTIF('Fire Eng'!$P$5:$P$300,"On Hold")</f>
        <v>0</v>
      </c>
      <c r="H9" s="27">
        <f>COUNTIF('Fire Eng'!$P$5:$P$300,"Disqualified")</f>
        <v>0</v>
      </c>
      <c r="I9" s="27">
        <f>COUNTIF('Fire Eng'!$W$5:$W$300,"FEOC Review")</f>
        <v>0</v>
      </c>
      <c r="J9" s="27">
        <f>COUNTIF('Fire Eng'!$W$5:$W$300,"High")</f>
        <v>0</v>
      </c>
      <c r="K9" s="27">
        <f>COUNTIF('Fire Eng'!$T$5:$T$300,"Not Assessed")</f>
        <v>7</v>
      </c>
      <c r="L9" s="27">
        <f ca="1">COUNTIFS('Fire Eng'!$Z$5:$Z$300,"&lt;"&amp;TODAY(),'Fire Eng'!$Z$5:$Z$300,"&lt;&gt;")</f>
        <v>0</v>
      </c>
      <c r="M9" s="27">
        <f>COUNTIF('Fire Eng'!$AB$5:$AB$300,"No - AI seeded")</f>
        <v>7</v>
      </c>
    </row>
    <row r="10" spans="1:13" x14ac:dyDescent="0.25">
      <c r="A10" s="26" t="s">
        <v>78</v>
      </c>
      <c r="B10" s="27">
        <f>COUNTA('Owners Eng'!$B$5:$B$300)</f>
        <v>7</v>
      </c>
      <c r="C10" s="27">
        <f>COUNTIF('Owners Eng'!$P$5:$P$300,"Discovery")</f>
        <v>7</v>
      </c>
      <c r="D10" s="27">
        <f>COUNTIF('Owners Eng'!$P$5:$P$300,"Prequalified")</f>
        <v>0</v>
      </c>
      <c r="E10" s="27">
        <f>COUNTIF('Owners Eng'!$P$5:$P$300,"Qualified")</f>
        <v>0</v>
      </c>
      <c r="F10" s="27">
        <f>COUNTIF('Owners Eng'!$P$5:$P$300,"AVL")</f>
        <v>0</v>
      </c>
      <c r="G10" s="27">
        <f>COUNTIF('Owners Eng'!$P$5:$P$300,"On Hold")</f>
        <v>0</v>
      </c>
      <c r="H10" s="27">
        <f>COUNTIF('Owners Eng'!$P$5:$P$300,"Disqualified")</f>
        <v>0</v>
      </c>
      <c r="I10" s="27">
        <f>COUNTIF('Owners Eng'!$W$5:$W$300,"FEOC Review")</f>
        <v>0</v>
      </c>
      <c r="J10" s="27">
        <f>COUNTIF('Owners Eng'!$W$5:$W$300,"High")</f>
        <v>0</v>
      </c>
      <c r="K10" s="27">
        <f>COUNTIF('Owners Eng'!$T$5:$T$300,"Not Assessed")</f>
        <v>7</v>
      </c>
      <c r="L10" s="27">
        <f ca="1">COUNTIFS('Owners Eng'!$Z$5:$Z$300,"&lt;"&amp;TODAY(),'Owners Eng'!$Z$5:$Z$300,"&lt;&gt;")</f>
        <v>0</v>
      </c>
      <c r="M10" s="27">
        <f>COUNTIF('Owners Eng'!$AB$5:$AB$300,"No - AI seeded")</f>
        <v>7</v>
      </c>
    </row>
    <row r="11" spans="1:13" x14ac:dyDescent="0.25">
      <c r="A11" s="26" t="s">
        <v>79</v>
      </c>
      <c r="B11" s="27">
        <f>COUNTA('Eng of Record'!$B$5:$B$300)</f>
        <v>7</v>
      </c>
      <c r="C11" s="27">
        <f>COUNTIF('Eng of Record'!$P$5:$P$300,"Discovery")</f>
        <v>7</v>
      </c>
      <c r="D11" s="27">
        <f>COUNTIF('Eng of Record'!$P$5:$P$300,"Prequalified")</f>
        <v>0</v>
      </c>
      <c r="E11" s="27">
        <f>COUNTIF('Eng of Record'!$P$5:$P$300,"Qualified")</f>
        <v>0</v>
      </c>
      <c r="F11" s="27">
        <f>COUNTIF('Eng of Record'!$P$5:$P$300,"AVL")</f>
        <v>0</v>
      </c>
      <c r="G11" s="27">
        <f>COUNTIF('Eng of Record'!$P$5:$P$300,"On Hold")</f>
        <v>0</v>
      </c>
      <c r="H11" s="27">
        <f>COUNTIF('Eng of Record'!$P$5:$P$300,"Disqualified")</f>
        <v>0</v>
      </c>
      <c r="I11" s="27">
        <f>COUNTIF('Eng of Record'!$W$5:$W$300,"FEOC Review")</f>
        <v>0</v>
      </c>
      <c r="J11" s="27">
        <f>COUNTIF('Eng of Record'!$W$5:$W$300,"High")</f>
        <v>0</v>
      </c>
      <c r="K11" s="27">
        <f>COUNTIF('Eng of Record'!$T$5:$T$300,"Not Assessed")</f>
        <v>7</v>
      </c>
      <c r="L11" s="27">
        <f ca="1">COUNTIFS('Eng of Record'!$Z$5:$Z$300,"&lt;"&amp;TODAY(),'Eng of Record'!$Z$5:$Z$300,"&lt;&gt;")</f>
        <v>0</v>
      </c>
      <c r="M11" s="27">
        <f>COUNTIF('Eng of Record'!$AB$5:$AB$300,"No - AI seeded")</f>
        <v>7</v>
      </c>
    </row>
    <row r="12" spans="1:13" x14ac:dyDescent="0.25">
      <c r="A12" s="26" t="s">
        <v>80</v>
      </c>
      <c r="B12" s="27">
        <f>COUNTA('Independent Eng'!$B$5:$B$300)</f>
        <v>6</v>
      </c>
      <c r="C12" s="27">
        <f>COUNTIF('Independent Eng'!$P$5:$P$300,"Discovery")</f>
        <v>6</v>
      </c>
      <c r="D12" s="27">
        <f>COUNTIF('Independent Eng'!$P$5:$P$300,"Prequalified")</f>
        <v>0</v>
      </c>
      <c r="E12" s="27">
        <f>COUNTIF('Independent Eng'!$P$5:$P$300,"Qualified")</f>
        <v>0</v>
      </c>
      <c r="F12" s="27">
        <f>COUNTIF('Independent Eng'!$P$5:$P$300,"AVL")</f>
        <v>0</v>
      </c>
      <c r="G12" s="27">
        <f>COUNTIF('Independent Eng'!$P$5:$P$300,"On Hold")</f>
        <v>0</v>
      </c>
      <c r="H12" s="27">
        <f>COUNTIF('Independent Eng'!$P$5:$P$300,"Disqualified")</f>
        <v>0</v>
      </c>
      <c r="I12" s="27">
        <f>COUNTIF('Independent Eng'!$W$5:$W$300,"FEOC Review")</f>
        <v>0</v>
      </c>
      <c r="J12" s="27">
        <f>COUNTIF('Independent Eng'!$W$5:$W$300,"High")</f>
        <v>0</v>
      </c>
      <c r="K12" s="27">
        <f>COUNTIF('Independent Eng'!$T$5:$T$300,"Not Assessed")</f>
        <v>6</v>
      </c>
      <c r="L12" s="27">
        <f ca="1">COUNTIFS('Independent Eng'!$Z$5:$Z$300,"&lt;"&amp;TODAY(),'Independent Eng'!$Z$5:$Z$300,"&lt;&gt;")</f>
        <v>0</v>
      </c>
      <c r="M12" s="27">
        <f>COUNTIF('Independent Eng'!$AB$5:$AB$300,"No - AI seeded")</f>
        <v>6</v>
      </c>
    </row>
    <row r="13" spans="1:13" x14ac:dyDescent="0.25">
      <c r="A13" s="26" t="s">
        <v>81</v>
      </c>
      <c r="B13" s="27">
        <f>COUNTA('BESS Equipment'!$B$5:$B$300)</f>
        <v>10</v>
      </c>
      <c r="C13" s="27">
        <f>COUNTIF('BESS Equipment'!$P$5:$P$300,"Discovery")</f>
        <v>10</v>
      </c>
      <c r="D13" s="27">
        <f>COUNTIF('BESS Equipment'!$P$5:$P$300,"Prequalified")</f>
        <v>0</v>
      </c>
      <c r="E13" s="27">
        <f>COUNTIF('BESS Equipment'!$P$5:$P$300,"Qualified")</f>
        <v>0</v>
      </c>
      <c r="F13" s="27">
        <f>COUNTIF('BESS Equipment'!$P$5:$P$300,"AVL")</f>
        <v>0</v>
      </c>
      <c r="G13" s="27">
        <f>COUNTIF('BESS Equipment'!$P$5:$P$300,"On Hold")</f>
        <v>0</v>
      </c>
      <c r="H13" s="27">
        <f>COUNTIF('BESS Equipment'!$P$5:$P$300,"Disqualified")</f>
        <v>0</v>
      </c>
      <c r="I13" s="27">
        <f>COUNTIF('BESS Equipment'!$W$5:$W$300,"FEOC Review")</f>
        <v>9</v>
      </c>
      <c r="J13" s="27">
        <f>COUNTIF('BESS Equipment'!$W$5:$W$300,"High")</f>
        <v>0</v>
      </c>
      <c r="K13" s="27">
        <f>COUNTIF('BESS Equipment'!$T$5:$T$300,"Not Assessed")</f>
        <v>10</v>
      </c>
      <c r="L13" s="27">
        <f ca="1">COUNTIFS('BESS Equipment'!$Z$5:$Z$300,"&lt;"&amp;TODAY(),'BESS Equipment'!$Z$5:$Z$300,"&lt;&gt;")</f>
        <v>0</v>
      </c>
      <c r="M13" s="27">
        <f>COUNTIF('BESS Equipment'!$AB$5:$AB$300,"No - AI seeded")</f>
        <v>10</v>
      </c>
    </row>
    <row r="14" spans="1:13" x14ac:dyDescent="0.25">
      <c r="A14" s="26" t="s">
        <v>82</v>
      </c>
      <c r="B14" s="27">
        <f>COUNTA('MV Transformers'!$B$5:$B$300)</f>
        <v>10</v>
      </c>
      <c r="C14" s="27">
        <f>COUNTIF('MV Transformers'!$P$5:$P$300,"Discovery")</f>
        <v>10</v>
      </c>
      <c r="D14" s="27">
        <f>COUNTIF('MV Transformers'!$P$5:$P$300,"Prequalified")</f>
        <v>0</v>
      </c>
      <c r="E14" s="27">
        <f>COUNTIF('MV Transformers'!$P$5:$P$300,"Qualified")</f>
        <v>0</v>
      </c>
      <c r="F14" s="27">
        <f>COUNTIF('MV Transformers'!$P$5:$P$300,"AVL")</f>
        <v>0</v>
      </c>
      <c r="G14" s="27">
        <f>COUNTIF('MV Transformers'!$P$5:$P$300,"On Hold")</f>
        <v>0</v>
      </c>
      <c r="H14" s="27">
        <f>COUNTIF('MV Transformers'!$P$5:$P$300,"Disqualified")</f>
        <v>0</v>
      </c>
      <c r="I14" s="27">
        <f>COUNTIF('MV Transformers'!$W$5:$W$300,"FEOC Review")</f>
        <v>0</v>
      </c>
      <c r="J14" s="27">
        <f>COUNTIF('MV Transformers'!$W$5:$W$300,"High")</f>
        <v>0</v>
      </c>
      <c r="K14" s="27">
        <f>COUNTIF('MV Transformers'!$T$5:$T$300,"Not Assessed")</f>
        <v>10</v>
      </c>
      <c r="L14" s="27">
        <f ca="1">COUNTIFS('MV Transformers'!$Z$5:$Z$300,"&lt;"&amp;TODAY(),'MV Transformers'!$Z$5:$Z$300,"&lt;&gt;")</f>
        <v>0</v>
      </c>
      <c r="M14" s="27">
        <f>COUNTIF('MV Transformers'!$AB$5:$AB$300,"No - AI seeded")</f>
        <v>10</v>
      </c>
    </row>
    <row r="15" spans="1:13" x14ac:dyDescent="0.25">
      <c r="A15" s="26" t="s">
        <v>83</v>
      </c>
      <c r="B15" s="27">
        <f>COUNTA('HV Breakers'!$B$5:$B$300)</f>
        <v>6</v>
      </c>
      <c r="C15" s="27">
        <f>COUNTIF('HV Breakers'!$P$5:$P$300,"Discovery")</f>
        <v>6</v>
      </c>
      <c r="D15" s="27">
        <f>COUNTIF('HV Breakers'!$P$5:$P$300,"Prequalified")</f>
        <v>0</v>
      </c>
      <c r="E15" s="27">
        <f>COUNTIF('HV Breakers'!$P$5:$P$300,"Qualified")</f>
        <v>0</v>
      </c>
      <c r="F15" s="27">
        <f>COUNTIF('HV Breakers'!$P$5:$P$300,"AVL")</f>
        <v>0</v>
      </c>
      <c r="G15" s="27">
        <f>COUNTIF('HV Breakers'!$P$5:$P$300,"On Hold")</f>
        <v>0</v>
      </c>
      <c r="H15" s="27">
        <f>COUNTIF('HV Breakers'!$P$5:$P$300,"Disqualified")</f>
        <v>0</v>
      </c>
      <c r="I15" s="27">
        <f>COUNTIF('HV Breakers'!$W$5:$W$300,"FEOC Review")</f>
        <v>0</v>
      </c>
      <c r="J15" s="27">
        <f>COUNTIF('HV Breakers'!$W$5:$W$300,"High")</f>
        <v>0</v>
      </c>
      <c r="K15" s="27">
        <f>COUNTIF('HV Breakers'!$T$5:$T$300,"Not Assessed")</f>
        <v>6</v>
      </c>
      <c r="L15" s="27">
        <f ca="1">COUNTIFS('HV Breakers'!$Z$5:$Z$300,"&lt;"&amp;TODAY(),'HV Breakers'!$Z$5:$Z$300,"&lt;&gt;")</f>
        <v>0</v>
      </c>
      <c r="M15" s="27">
        <f>COUNTIF('HV Breakers'!$AB$5:$AB$300,"No - AI seeded")</f>
        <v>6</v>
      </c>
    </row>
    <row r="16" spans="1:13" x14ac:dyDescent="0.25">
      <c r="A16" s="26" t="s">
        <v>84</v>
      </c>
      <c r="B16" s="27">
        <f>COUNTA('MV Breakers'!$B$5:$B$300)</f>
        <v>7</v>
      </c>
      <c r="C16" s="27">
        <f>COUNTIF('MV Breakers'!$P$5:$P$300,"Discovery")</f>
        <v>7</v>
      </c>
      <c r="D16" s="27">
        <f>COUNTIF('MV Breakers'!$P$5:$P$300,"Prequalified")</f>
        <v>0</v>
      </c>
      <c r="E16" s="27">
        <f>COUNTIF('MV Breakers'!$P$5:$P$300,"Qualified")</f>
        <v>0</v>
      </c>
      <c r="F16" s="27">
        <f>COUNTIF('MV Breakers'!$P$5:$P$300,"AVL")</f>
        <v>0</v>
      </c>
      <c r="G16" s="27">
        <f>COUNTIF('MV Breakers'!$P$5:$P$300,"On Hold")</f>
        <v>0</v>
      </c>
      <c r="H16" s="27">
        <f>COUNTIF('MV Breakers'!$P$5:$P$300,"Disqualified")</f>
        <v>0</v>
      </c>
      <c r="I16" s="27">
        <f>COUNTIF('MV Breakers'!$W$5:$W$300,"FEOC Review")</f>
        <v>0</v>
      </c>
      <c r="J16" s="27">
        <f>COUNTIF('MV Breakers'!$W$5:$W$300,"High")</f>
        <v>0</v>
      </c>
      <c r="K16" s="27">
        <f>COUNTIF('MV Breakers'!$T$5:$T$300,"Not Assessed")</f>
        <v>7</v>
      </c>
      <c r="L16" s="27">
        <f ca="1">COUNTIFS('MV Breakers'!$Z$5:$Z$300,"&lt;"&amp;TODAY(),'MV Breakers'!$Z$5:$Z$300,"&lt;&gt;")</f>
        <v>0</v>
      </c>
      <c r="M16" s="27">
        <f>COUNTIF('MV Breakers'!$AB$5:$AB$300,"No - AI seeded")</f>
        <v>7</v>
      </c>
    </row>
    <row r="17" spans="1:13" x14ac:dyDescent="0.25">
      <c r="A17" s="26" t="s">
        <v>85</v>
      </c>
      <c r="B17" s="27">
        <f>COUNTA(EPC!$B$5:$B$300)</f>
        <v>8</v>
      </c>
      <c r="C17" s="27">
        <f>COUNTIF(EPC!$P$5:$P$300,"Discovery")</f>
        <v>8</v>
      </c>
      <c r="D17" s="27">
        <f>COUNTIF(EPC!$P$5:$P$300,"Prequalified")</f>
        <v>0</v>
      </c>
      <c r="E17" s="27">
        <f>COUNTIF(EPC!$P$5:$P$300,"Qualified")</f>
        <v>0</v>
      </c>
      <c r="F17" s="27">
        <f>COUNTIF(EPC!$P$5:$P$300,"AVL")</f>
        <v>0</v>
      </c>
      <c r="G17" s="27">
        <f>COUNTIF(EPC!$P$5:$P$300,"On Hold")</f>
        <v>0</v>
      </c>
      <c r="H17" s="27">
        <f>COUNTIF(EPC!$P$5:$P$300,"Disqualified")</f>
        <v>0</v>
      </c>
      <c r="I17" s="27">
        <f>COUNTIF(EPC!$W$5:$W$300,"FEOC Review")</f>
        <v>0</v>
      </c>
      <c r="J17" s="27">
        <f>COUNTIF(EPC!$W$5:$W$300,"High")</f>
        <v>0</v>
      </c>
      <c r="K17" s="27">
        <f>COUNTIF(EPC!$T$5:$T$300,"Not Assessed")</f>
        <v>8</v>
      </c>
      <c r="L17" s="27">
        <f ca="1">COUNTIFS(EPC!$Z$5:$Z$300,"&lt;"&amp;TODAY(),EPC!$Z$5:$Z$300,"&lt;&gt;")</f>
        <v>0</v>
      </c>
      <c r="M17" s="27">
        <f>COUNTIF(EPC!$AB$5:$AB$300,"No - AI seeded")</f>
        <v>8</v>
      </c>
    </row>
    <row r="18" spans="1:13" x14ac:dyDescent="0.25">
      <c r="A18" s="26" t="s">
        <v>86</v>
      </c>
      <c r="B18" s="27">
        <f>COUNTA(Software!$B$5:$B$300)</f>
        <v>12</v>
      </c>
      <c r="C18" s="27">
        <f>COUNTIF(Software!$P$5:$P$300,"Discovery")</f>
        <v>12</v>
      </c>
      <c r="D18" s="27">
        <f>COUNTIF(Software!$P$5:$P$300,"Prequalified")</f>
        <v>0</v>
      </c>
      <c r="E18" s="27">
        <f>COUNTIF(Software!$P$5:$P$300,"Qualified")</f>
        <v>0</v>
      </c>
      <c r="F18" s="27">
        <f>COUNTIF(Software!$P$5:$P$300,"AVL")</f>
        <v>0</v>
      </c>
      <c r="G18" s="27">
        <f>COUNTIF(Software!$P$5:$P$300,"On Hold")</f>
        <v>0</v>
      </c>
      <c r="H18" s="27">
        <f>COUNTIF(Software!$P$5:$P$300,"Disqualified")</f>
        <v>0</v>
      </c>
      <c r="I18" s="27">
        <f>COUNTIF(Software!$W$5:$W$300,"FEOC Review")</f>
        <v>0</v>
      </c>
      <c r="J18" s="27">
        <f>COUNTIF(Software!$W$5:$W$300,"High")</f>
        <v>0</v>
      </c>
      <c r="K18" s="27">
        <f>COUNTIF(Software!$T$5:$T$300,"Not Assessed")</f>
        <v>12</v>
      </c>
      <c r="L18" s="27">
        <f ca="1">COUNTIFS(Software!$Z$5:$Z$300,"&lt;"&amp;TODAY(),Software!$Z$5:$Z$300,"&lt;&gt;")</f>
        <v>0</v>
      </c>
      <c r="M18" s="27">
        <f>COUNTIF(Software!$AB$5:$AB$300,"No - AI seeded")</f>
        <v>12</v>
      </c>
    </row>
    <row r="19" spans="1:13" x14ac:dyDescent="0.25">
      <c r="A19" s="28" t="s">
        <v>87</v>
      </c>
      <c r="B19" s="29">
        <f t="shared" ref="B19:M19" si="0">SUM(B5:B18)</f>
        <v>109</v>
      </c>
      <c r="C19" s="29">
        <f t="shared" si="0"/>
        <v>109</v>
      </c>
      <c r="D19" s="29">
        <f t="shared" si="0"/>
        <v>0</v>
      </c>
      <c r="E19" s="29">
        <f t="shared" si="0"/>
        <v>0</v>
      </c>
      <c r="F19" s="29">
        <f t="shared" si="0"/>
        <v>0</v>
      </c>
      <c r="G19" s="29">
        <f t="shared" si="0"/>
        <v>0</v>
      </c>
      <c r="H19" s="29">
        <f t="shared" si="0"/>
        <v>0</v>
      </c>
      <c r="I19" s="29">
        <f t="shared" si="0"/>
        <v>9</v>
      </c>
      <c r="J19" s="29">
        <f t="shared" si="0"/>
        <v>0</v>
      </c>
      <c r="K19" s="29">
        <f t="shared" si="0"/>
        <v>109</v>
      </c>
      <c r="L19" s="29">
        <f t="shared" ca="1" si="0"/>
        <v>0</v>
      </c>
      <c r="M19" s="29">
        <f t="shared" si="0"/>
        <v>109</v>
      </c>
    </row>
    <row r="20" spans="1:13" x14ac:dyDescent="0.25">
      <c r="A20" s="9" t="s">
        <v>88</v>
      </c>
    </row>
  </sheetData>
  <hyperlinks>
    <hyperlink ref="A5" r:id="rId1" location="'Env%20Eng'!A1" xr:uid="{00000000-0004-0000-0100-000000000000}"/>
    <hyperlink ref="A6" r:id="rId2" location="'Civil%20Eng'!A1" xr:uid="{00000000-0004-0000-0100-000001000000}"/>
    <hyperlink ref="A7" r:id="rId3" location="'Structural%20Eng'!A1" xr:uid="{00000000-0004-0000-0100-000002000000}"/>
    <hyperlink ref="A8" r:id="rId4" location="'Electrical%20Eng'!A1" xr:uid="{00000000-0004-0000-0100-000003000000}"/>
    <hyperlink ref="A9" r:id="rId5" location="'Fire%20Eng'!A1" xr:uid="{00000000-0004-0000-0100-000004000000}"/>
    <hyperlink ref="A10" r:id="rId6" location="'Owners%20Eng'!A1" xr:uid="{00000000-0004-0000-0100-000005000000}"/>
    <hyperlink ref="A11" r:id="rId7" location="'Eng%20of%20Record'!A1" xr:uid="{00000000-0004-0000-0100-000006000000}"/>
    <hyperlink ref="A12" r:id="rId8" location="'Independent%20Eng'!A1" xr:uid="{00000000-0004-0000-0100-000007000000}"/>
    <hyperlink ref="A13" r:id="rId9" location="'BESS%20Equipment'!A1" xr:uid="{00000000-0004-0000-0100-000008000000}"/>
    <hyperlink ref="A14" r:id="rId10" location="'MV%20Transformers'!A1" xr:uid="{00000000-0004-0000-0100-000009000000}"/>
    <hyperlink ref="A15" r:id="rId11" location="'HV%20Breakers'!A1" xr:uid="{00000000-0004-0000-0100-00000A000000}"/>
    <hyperlink ref="A16" r:id="rId12" location="'MV%20Breakers'!A1" xr:uid="{00000000-0004-0000-0100-00000B000000}"/>
    <hyperlink ref="A17" r:id="rId13" location="'EPC'!A1" xr:uid="{00000000-0004-0000-0100-00000C000000}"/>
    <hyperlink ref="A18" r:id="rId14" location="'Software'!A1" xr:uid="{00000000-0004-0000-0100-00000D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89</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93</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48" x14ac:dyDescent="0.25">
      <c r="A5" s="31" t="s">
        <v>119</v>
      </c>
      <c r="B5" s="31" t="s">
        <v>120</v>
      </c>
      <c r="C5" s="31" t="s">
        <v>121</v>
      </c>
      <c r="D5" s="31" t="s">
        <v>122</v>
      </c>
      <c r="E5" s="31"/>
      <c r="F5" s="31" t="s">
        <v>123</v>
      </c>
      <c r="G5" s="31"/>
      <c r="H5" s="31"/>
      <c r="I5" s="32" t="s">
        <v>124</v>
      </c>
      <c r="J5" s="31"/>
      <c r="K5" s="32" t="s">
        <v>125</v>
      </c>
      <c r="L5" s="33"/>
      <c r="M5" s="33"/>
      <c r="N5" s="33"/>
      <c r="O5" s="33"/>
      <c r="P5" s="31" t="s">
        <v>19</v>
      </c>
      <c r="Q5" s="34">
        <v>46300</v>
      </c>
      <c r="R5" s="31" t="s">
        <v>126</v>
      </c>
      <c r="S5" s="31" t="s">
        <v>127</v>
      </c>
      <c r="T5" s="31" t="s">
        <v>128</v>
      </c>
      <c r="U5" s="31" t="s">
        <v>129</v>
      </c>
      <c r="V5" s="31" t="s">
        <v>130</v>
      </c>
      <c r="W5" s="31" t="s">
        <v>128</v>
      </c>
      <c r="X5" s="35"/>
      <c r="Y5" s="33"/>
      <c r="Z5" s="35"/>
      <c r="AA5" s="31"/>
      <c r="AB5" s="31" t="s">
        <v>131</v>
      </c>
      <c r="AC5" s="32" t="s">
        <v>132</v>
      </c>
    </row>
    <row r="6" spans="1:29" ht="36" x14ac:dyDescent="0.25">
      <c r="A6" s="31" t="s">
        <v>133</v>
      </c>
      <c r="B6" s="31" t="s">
        <v>134</v>
      </c>
      <c r="C6" s="31" t="s">
        <v>135</v>
      </c>
      <c r="D6" s="31" t="s">
        <v>136</v>
      </c>
      <c r="E6" s="31" t="s">
        <v>137</v>
      </c>
      <c r="F6" s="31" t="s">
        <v>138</v>
      </c>
      <c r="G6" s="31"/>
      <c r="H6" s="31"/>
      <c r="I6" s="32" t="s">
        <v>139</v>
      </c>
      <c r="J6" s="31" t="s">
        <v>140</v>
      </c>
      <c r="K6" s="32" t="s">
        <v>141</v>
      </c>
      <c r="L6" s="33"/>
      <c r="M6" s="33"/>
      <c r="N6" s="33"/>
      <c r="O6" s="33"/>
      <c r="P6" s="31" t="s">
        <v>19</v>
      </c>
      <c r="Q6" s="34">
        <v>46300</v>
      </c>
      <c r="R6" s="31" t="s">
        <v>126</v>
      </c>
      <c r="S6" s="31" t="s">
        <v>142</v>
      </c>
      <c r="T6" s="31" t="s">
        <v>128</v>
      </c>
      <c r="U6" s="31" t="s">
        <v>143</v>
      </c>
      <c r="V6" s="31" t="s">
        <v>144</v>
      </c>
      <c r="W6" s="31" t="s">
        <v>128</v>
      </c>
      <c r="X6" s="35"/>
      <c r="Y6" s="33"/>
      <c r="Z6" s="35"/>
      <c r="AA6" s="31"/>
      <c r="AB6" s="31" t="s">
        <v>131</v>
      </c>
      <c r="AC6" s="32" t="s">
        <v>141</v>
      </c>
    </row>
    <row r="7" spans="1:29" ht="36" x14ac:dyDescent="0.25">
      <c r="A7" s="31" t="s">
        <v>145</v>
      </c>
      <c r="B7" s="31" t="s">
        <v>146</v>
      </c>
      <c r="C7" s="31" t="s">
        <v>147</v>
      </c>
      <c r="D7" s="31" t="s">
        <v>148</v>
      </c>
      <c r="E7" s="31" t="s">
        <v>149</v>
      </c>
      <c r="F7" s="31" t="s">
        <v>150</v>
      </c>
      <c r="G7" s="31"/>
      <c r="H7" s="31" t="s">
        <v>151</v>
      </c>
      <c r="I7" s="32" t="s">
        <v>152</v>
      </c>
      <c r="J7" s="31"/>
      <c r="K7" s="31"/>
      <c r="L7" s="33"/>
      <c r="M7" s="33"/>
      <c r="N7" s="33"/>
      <c r="O7" s="33"/>
      <c r="P7" s="31" t="s">
        <v>19</v>
      </c>
      <c r="Q7" s="34">
        <v>46300</v>
      </c>
      <c r="R7" s="31" t="s">
        <v>126</v>
      </c>
      <c r="S7" s="31" t="s">
        <v>153</v>
      </c>
      <c r="T7" s="31" t="s">
        <v>128</v>
      </c>
      <c r="U7" s="31" t="s">
        <v>154</v>
      </c>
      <c r="V7" s="31" t="s">
        <v>155</v>
      </c>
      <c r="W7" s="31" t="s">
        <v>128</v>
      </c>
      <c r="X7" s="35"/>
      <c r="Y7" s="33"/>
      <c r="Z7" s="35"/>
      <c r="AA7" s="31"/>
      <c r="AB7" s="31" t="s">
        <v>131</v>
      </c>
      <c r="AC7" s="32" t="s">
        <v>156</v>
      </c>
    </row>
    <row r="8" spans="1:29" ht="60" x14ac:dyDescent="0.25">
      <c r="A8" s="31" t="s">
        <v>157</v>
      </c>
      <c r="B8" s="31" t="s">
        <v>158</v>
      </c>
      <c r="C8" s="31" t="s">
        <v>159</v>
      </c>
      <c r="D8" s="31" t="s">
        <v>160</v>
      </c>
      <c r="E8" s="31" t="s">
        <v>161</v>
      </c>
      <c r="F8" s="31" t="s">
        <v>150</v>
      </c>
      <c r="G8" s="31"/>
      <c r="H8" s="31" t="s">
        <v>162</v>
      </c>
      <c r="I8" s="32" t="s">
        <v>163</v>
      </c>
      <c r="J8" s="31"/>
      <c r="K8" s="32" t="s">
        <v>164</v>
      </c>
      <c r="L8" s="33"/>
      <c r="M8" s="33"/>
      <c r="N8" s="33"/>
      <c r="O8" s="33"/>
      <c r="P8" s="31" t="s">
        <v>19</v>
      </c>
      <c r="Q8" s="34">
        <v>46300</v>
      </c>
      <c r="R8" s="31" t="s">
        <v>126</v>
      </c>
      <c r="S8" s="31" t="s">
        <v>165</v>
      </c>
      <c r="T8" s="31" t="s">
        <v>128</v>
      </c>
      <c r="U8" s="31" t="s">
        <v>166</v>
      </c>
      <c r="V8" s="31" t="s">
        <v>167</v>
      </c>
      <c r="W8" s="31" t="s">
        <v>128</v>
      </c>
      <c r="X8" s="35"/>
      <c r="Y8" s="33"/>
      <c r="Z8" s="35"/>
      <c r="AA8" s="31"/>
      <c r="AB8" s="31" t="s">
        <v>131</v>
      </c>
      <c r="AC8" s="32" t="s">
        <v>168</v>
      </c>
    </row>
    <row r="9" spans="1:29" ht="36" x14ac:dyDescent="0.25">
      <c r="A9" s="31" t="s">
        <v>169</v>
      </c>
      <c r="B9" s="31" t="s">
        <v>170</v>
      </c>
      <c r="C9" s="31" t="s">
        <v>171</v>
      </c>
      <c r="D9" s="31" t="s">
        <v>172</v>
      </c>
      <c r="E9" s="31" t="s">
        <v>173</v>
      </c>
      <c r="F9" s="31" t="s">
        <v>138</v>
      </c>
      <c r="G9" s="31"/>
      <c r="H9" s="31" t="s">
        <v>174</v>
      </c>
      <c r="I9" s="32" t="s">
        <v>175</v>
      </c>
      <c r="J9" s="31" t="s">
        <v>176</v>
      </c>
      <c r="K9" s="32" t="s">
        <v>177</v>
      </c>
      <c r="L9" s="33"/>
      <c r="M9" s="33"/>
      <c r="N9" s="33"/>
      <c r="O9" s="33"/>
      <c r="P9" s="31" t="s">
        <v>19</v>
      </c>
      <c r="Q9" s="34">
        <v>46300</v>
      </c>
      <c r="R9" s="31" t="s">
        <v>126</v>
      </c>
      <c r="S9" s="31" t="s">
        <v>178</v>
      </c>
      <c r="T9" s="31" t="s">
        <v>128</v>
      </c>
      <c r="U9" s="31" t="s">
        <v>179</v>
      </c>
      <c r="V9" s="31" t="s">
        <v>180</v>
      </c>
      <c r="W9" s="31" t="s">
        <v>128</v>
      </c>
      <c r="X9" s="35"/>
      <c r="Y9" s="33"/>
      <c r="Z9" s="35"/>
      <c r="AA9" s="31"/>
      <c r="AB9" s="31" t="s">
        <v>131</v>
      </c>
      <c r="AC9" s="32" t="s">
        <v>177</v>
      </c>
    </row>
    <row r="10" spans="1:29" ht="36" x14ac:dyDescent="0.25">
      <c r="A10" s="31" t="s">
        <v>181</v>
      </c>
      <c r="B10" s="31" t="s">
        <v>182</v>
      </c>
      <c r="C10" s="31" t="s">
        <v>183</v>
      </c>
      <c r="D10" s="31" t="s">
        <v>184</v>
      </c>
      <c r="E10" s="31" t="s">
        <v>185</v>
      </c>
      <c r="F10" s="31" t="s">
        <v>138</v>
      </c>
      <c r="G10" s="31"/>
      <c r="H10" s="31" t="s">
        <v>186</v>
      </c>
      <c r="I10" s="32" t="s">
        <v>187</v>
      </c>
      <c r="J10" s="31" t="s">
        <v>188</v>
      </c>
      <c r="K10" s="32" t="s">
        <v>189</v>
      </c>
      <c r="L10" s="33"/>
      <c r="M10" s="33"/>
      <c r="N10" s="33"/>
      <c r="O10" s="33"/>
      <c r="P10" s="31" t="s">
        <v>19</v>
      </c>
      <c r="Q10" s="34">
        <v>46300</v>
      </c>
      <c r="R10" s="31" t="s">
        <v>126</v>
      </c>
      <c r="S10" s="31" t="s">
        <v>190</v>
      </c>
      <c r="T10" s="31" t="s">
        <v>128</v>
      </c>
      <c r="U10" s="31" t="s">
        <v>191</v>
      </c>
      <c r="V10" s="31" t="s">
        <v>192</v>
      </c>
      <c r="W10" s="31" t="s">
        <v>128</v>
      </c>
      <c r="X10" s="35"/>
      <c r="Y10" s="33"/>
      <c r="Z10" s="35"/>
      <c r="AA10" s="31"/>
      <c r="AB10" s="31" t="s">
        <v>131</v>
      </c>
      <c r="AC10" s="32" t="s">
        <v>193</v>
      </c>
    </row>
    <row r="11" spans="1:29" ht="72" x14ac:dyDescent="0.25">
      <c r="A11" s="31" t="s">
        <v>194</v>
      </c>
      <c r="B11" s="31" t="s">
        <v>195</v>
      </c>
      <c r="C11" s="31" t="s">
        <v>196</v>
      </c>
      <c r="D11" s="31" t="s">
        <v>197</v>
      </c>
      <c r="E11" s="31" t="s">
        <v>198</v>
      </c>
      <c r="F11" s="31" t="s">
        <v>138</v>
      </c>
      <c r="G11" s="31"/>
      <c r="H11" s="31" t="s">
        <v>199</v>
      </c>
      <c r="I11" s="32" t="s">
        <v>200</v>
      </c>
      <c r="J11" s="31" t="s">
        <v>201</v>
      </c>
      <c r="K11" s="32" t="s">
        <v>202</v>
      </c>
      <c r="L11" s="33"/>
      <c r="M11" s="33"/>
      <c r="N11" s="33"/>
      <c r="O11" s="33"/>
      <c r="P11" s="31" t="s">
        <v>19</v>
      </c>
      <c r="Q11" s="34">
        <v>46300</v>
      </c>
      <c r="R11" s="31" t="s">
        <v>126</v>
      </c>
      <c r="S11" s="31" t="s">
        <v>203</v>
      </c>
      <c r="T11" s="31" t="s">
        <v>128</v>
      </c>
      <c r="U11" s="31" t="s">
        <v>204</v>
      </c>
      <c r="V11" s="31" t="s">
        <v>205</v>
      </c>
      <c r="W11" s="31" t="s">
        <v>128</v>
      </c>
      <c r="X11" s="35"/>
      <c r="Y11" s="33"/>
      <c r="Z11" s="35"/>
      <c r="AA11" s="31"/>
      <c r="AB11" s="31" t="s">
        <v>131</v>
      </c>
      <c r="AC11" s="32" t="s">
        <v>206</v>
      </c>
    </row>
    <row r="12" spans="1:29" ht="36" x14ac:dyDescent="0.25">
      <c r="A12" s="31" t="s">
        <v>207</v>
      </c>
      <c r="B12" s="31" t="s">
        <v>208</v>
      </c>
      <c r="C12" s="31" t="s">
        <v>209</v>
      </c>
      <c r="D12" s="31" t="s">
        <v>210</v>
      </c>
      <c r="E12" s="31" t="s">
        <v>211</v>
      </c>
      <c r="F12" s="31" t="s">
        <v>138</v>
      </c>
      <c r="G12" s="31"/>
      <c r="H12" s="31" t="s">
        <v>212</v>
      </c>
      <c r="I12" s="32" t="s">
        <v>213</v>
      </c>
      <c r="J12" s="31" t="s">
        <v>214</v>
      </c>
      <c r="K12" s="32" t="s">
        <v>215</v>
      </c>
      <c r="L12" s="33"/>
      <c r="M12" s="33"/>
      <c r="N12" s="33"/>
      <c r="O12" s="33"/>
      <c r="P12" s="31" t="s">
        <v>19</v>
      </c>
      <c r="Q12" s="34">
        <v>46300</v>
      </c>
      <c r="R12" s="31" t="s">
        <v>126</v>
      </c>
      <c r="S12" s="31" t="s">
        <v>216</v>
      </c>
      <c r="T12" s="31" t="s">
        <v>128</v>
      </c>
      <c r="U12" s="31" t="s">
        <v>217</v>
      </c>
      <c r="V12" s="31" t="s">
        <v>218</v>
      </c>
      <c r="W12" s="31" t="s">
        <v>128</v>
      </c>
      <c r="X12" s="35"/>
      <c r="Y12" s="33"/>
      <c r="Z12" s="35"/>
      <c r="AA12" s="31"/>
      <c r="AB12" s="31" t="s">
        <v>131</v>
      </c>
      <c r="AC12" s="32" t="s">
        <v>215</v>
      </c>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2" xr:uid="{00000000-0009-0000-0000-000002000000}"/>
  <mergeCells count="7">
    <mergeCell ref="V3:W3"/>
    <mergeCell ref="X3:AC3"/>
    <mergeCell ref="A3:C3"/>
    <mergeCell ref="D3:H3"/>
    <mergeCell ref="I3:O3"/>
    <mergeCell ref="P3:R3"/>
    <mergeCell ref="S3:U3"/>
  </mergeCells>
  <conditionalFormatting sqref="P5:P300">
    <cfRule type="expression" dxfId="139" priority="2">
      <formula>$P5="AVL"</formula>
    </cfRule>
    <cfRule type="expression" dxfId="138" priority="3">
      <formula>$P5="Qualified"</formula>
    </cfRule>
    <cfRule type="expression" dxfId="137" priority="4">
      <formula>$P5="Prequalified"</formula>
    </cfRule>
    <cfRule type="expression" dxfId="136" priority="5">
      <formula>$P5="On Hold"</formula>
    </cfRule>
    <cfRule type="expression" dxfId="135" priority="6">
      <formula>$P5="Disqualified"</formula>
    </cfRule>
  </conditionalFormatting>
  <conditionalFormatting sqref="W5:W300">
    <cfRule type="expression" dxfId="134" priority="7">
      <formula>$W5="High"</formula>
    </cfRule>
    <cfRule type="expression" dxfId="133" priority="8">
      <formula>$W5="FEOC Review"</formula>
    </cfRule>
    <cfRule type="expression" dxfId="132" priority="9">
      <formula>$W5="Medium"</formula>
    </cfRule>
    <cfRule type="expression" dxfId="131" priority="10">
      <formula>$W5="Low"</formula>
    </cfRule>
  </conditionalFormatting>
  <conditionalFormatting sqref="Z5:Z300">
    <cfRule type="expression" dxfId="130" priority="11">
      <formula>AND($Z5&lt;&gt;"",$Z5&lt;TODAY())</formula>
    </cfRule>
  </conditionalFormatting>
  <dataValidations count="6">
    <dataValidation type="list" allowBlank="1" showErrorMessage="1" errorTitle="Invalid entry" error="Pick a value from the list (edit the Lists tab to change options)." sqref="P5:P300" xr:uid="{00000000-0002-0000-0200-000000000000}">
      <formula1>lst_status</formula1>
      <formula2>0</formula2>
    </dataValidation>
    <dataValidation type="list" allowBlank="1" showErrorMessage="1" errorTitle="Invalid entry" error="Pick a value from the list (edit the Lists tab to change options)." sqref="R5:R300" xr:uid="{00000000-0002-0000-0200-000001000000}">
      <formula1>lst_rfx</formula1>
      <formula2>0</formula2>
    </dataValidation>
    <dataValidation type="list" allowBlank="1" showErrorMessage="1" errorTitle="Invalid entry" error="Pick a value from the list (edit the Lists tab to change options)." sqref="T5:T300" xr:uid="{00000000-0002-0000-0200-000002000000}">
      <formula1>lst_fin</formula1>
      <formula2>0</formula2>
    </dataValidation>
    <dataValidation type="list" allowBlank="1" showErrorMessage="1" errorTitle="Invalid entry" error="Pick a value from the list (edit the Lists tab to change options)." sqref="W5:W300" xr:uid="{00000000-0002-0000-0200-000003000000}">
      <formula1>lst_scr</formula1>
      <formula2>0</formula2>
    </dataValidation>
    <dataValidation type="list" allowBlank="1" showErrorMessage="1" errorTitle="Invalid entry" error="Pick a value from the list (edit the Lists tab to change options)." sqref="AB5:AB300" xr:uid="{00000000-0002-0000-0200-000004000000}">
      <formula1>lst_ver</formula1>
      <formula2>0</formula2>
    </dataValidation>
    <dataValidation type="date" operator="greaterThan" allowBlank="1" showErrorMessage="1" error="Enter a date (yyyy-mm-dd)." sqref="Q5:Q300 X5:X300 Z5:Z300" xr:uid="{00000000-0002-0000-0200-000005000000}">
      <formula1>DATE(2020,1,1)</formula1>
      <formula2>0</formula2>
    </dataValidation>
  </dataValidations>
  <hyperlinks>
    <hyperlink ref="I5" r:id="rId1" xr:uid="{00000000-0004-0000-0200-000000000000}"/>
    <hyperlink ref="K5" r:id="rId2" xr:uid="{00000000-0004-0000-0200-000001000000}"/>
    <hyperlink ref="AC5" r:id="rId3" xr:uid="{00000000-0004-0000-0200-000002000000}"/>
    <hyperlink ref="I6" r:id="rId4" xr:uid="{00000000-0004-0000-0200-000003000000}"/>
    <hyperlink ref="K6" r:id="rId5" xr:uid="{00000000-0004-0000-0200-000004000000}"/>
    <hyperlink ref="AC6" r:id="rId6" xr:uid="{00000000-0004-0000-0200-000005000000}"/>
    <hyperlink ref="I7" r:id="rId7" xr:uid="{00000000-0004-0000-0200-000006000000}"/>
    <hyperlink ref="AC7" r:id="rId8" xr:uid="{00000000-0004-0000-0200-000007000000}"/>
    <hyperlink ref="I8" r:id="rId9" xr:uid="{00000000-0004-0000-0200-000008000000}"/>
    <hyperlink ref="K8" r:id="rId10" xr:uid="{00000000-0004-0000-0200-000009000000}"/>
    <hyperlink ref="AC8" r:id="rId11" xr:uid="{00000000-0004-0000-0200-00000A000000}"/>
    <hyperlink ref="I9" r:id="rId12" xr:uid="{00000000-0004-0000-0200-00000B000000}"/>
    <hyperlink ref="K9" r:id="rId13" xr:uid="{00000000-0004-0000-0200-00000C000000}"/>
    <hyperlink ref="AC9" r:id="rId14" xr:uid="{00000000-0004-0000-0200-00000D000000}"/>
    <hyperlink ref="I10" r:id="rId15" xr:uid="{00000000-0004-0000-0200-00000E000000}"/>
    <hyperlink ref="K10" r:id="rId16" xr:uid="{00000000-0004-0000-0200-00000F000000}"/>
    <hyperlink ref="AC10" r:id="rId17" xr:uid="{00000000-0004-0000-0200-000010000000}"/>
    <hyperlink ref="I11" r:id="rId18" xr:uid="{00000000-0004-0000-0200-000011000000}"/>
    <hyperlink ref="K11" r:id="rId19" xr:uid="{00000000-0004-0000-0200-000012000000}"/>
    <hyperlink ref="AC11" r:id="rId20" xr:uid="{00000000-0004-0000-0200-000013000000}"/>
    <hyperlink ref="I12" r:id="rId21" xr:uid="{00000000-0004-0000-0200-000014000000}"/>
    <hyperlink ref="K12" r:id="rId22" xr:uid="{00000000-0004-0000-0200-000015000000}"/>
    <hyperlink ref="AC12" r:id="rId23" xr:uid="{00000000-0004-0000-0200-000016000000}"/>
  </hyperlinks>
  <pageMargins left="0.75" right="0.75" top="1" bottom="1" header="0.511811023622047" footer="0.511811023622047"/>
  <pageSetup paperSize="9" orientation="portrait" horizontalDpi="300" verticalDpi="300"/>
  <legacyDrawing r:id="rId2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219</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220</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96" x14ac:dyDescent="0.25">
      <c r="A5" s="31" t="s">
        <v>221</v>
      </c>
      <c r="B5" s="31" t="s">
        <v>222</v>
      </c>
      <c r="C5" s="31" t="s">
        <v>223</v>
      </c>
      <c r="D5" s="31" t="s">
        <v>224</v>
      </c>
      <c r="E5" s="31" t="s">
        <v>225</v>
      </c>
      <c r="F5" s="31" t="s">
        <v>138</v>
      </c>
      <c r="G5" s="31"/>
      <c r="H5" s="31" t="s">
        <v>226</v>
      </c>
      <c r="I5" s="32" t="s">
        <v>227</v>
      </c>
      <c r="J5" s="31"/>
      <c r="K5" s="32" t="s">
        <v>228</v>
      </c>
      <c r="L5" s="33"/>
      <c r="M5" s="33"/>
      <c r="N5" s="33"/>
      <c r="O5" s="33"/>
      <c r="P5" s="31" t="s">
        <v>19</v>
      </c>
      <c r="Q5" s="34">
        <v>46300</v>
      </c>
      <c r="R5" s="31" t="s">
        <v>126</v>
      </c>
      <c r="S5" s="31" t="s">
        <v>229</v>
      </c>
      <c r="T5" s="31" t="s">
        <v>128</v>
      </c>
      <c r="U5" s="31" t="s">
        <v>230</v>
      </c>
      <c r="V5" s="31" t="s">
        <v>231</v>
      </c>
      <c r="W5" s="31" t="s">
        <v>128</v>
      </c>
      <c r="X5" s="35"/>
      <c r="Y5" s="33"/>
      <c r="Z5" s="35"/>
      <c r="AA5" s="31"/>
      <c r="AB5" s="31" t="s">
        <v>131</v>
      </c>
      <c r="AC5" s="32" t="s">
        <v>232</v>
      </c>
    </row>
    <row r="6" spans="1:29" ht="48" x14ac:dyDescent="0.25">
      <c r="A6" s="31" t="s">
        <v>233</v>
      </c>
      <c r="B6" s="31" t="s">
        <v>195</v>
      </c>
      <c r="C6" s="31" t="s">
        <v>234</v>
      </c>
      <c r="D6" s="31" t="s">
        <v>197</v>
      </c>
      <c r="E6" s="31" t="s">
        <v>198</v>
      </c>
      <c r="F6" s="31" t="s">
        <v>138</v>
      </c>
      <c r="G6" s="31"/>
      <c r="H6" s="31" t="s">
        <v>199</v>
      </c>
      <c r="I6" s="32" t="s">
        <v>200</v>
      </c>
      <c r="J6" s="31" t="s">
        <v>201</v>
      </c>
      <c r="K6" s="32" t="s">
        <v>202</v>
      </c>
      <c r="L6" s="33"/>
      <c r="M6" s="33"/>
      <c r="N6" s="33"/>
      <c r="O6" s="33"/>
      <c r="P6" s="31" t="s">
        <v>19</v>
      </c>
      <c r="Q6" s="34">
        <v>46300</v>
      </c>
      <c r="R6" s="31" t="s">
        <v>126</v>
      </c>
      <c r="S6" s="31" t="s">
        <v>235</v>
      </c>
      <c r="T6" s="31" t="s">
        <v>128</v>
      </c>
      <c r="U6" s="31" t="s">
        <v>236</v>
      </c>
      <c r="V6" s="31" t="s">
        <v>218</v>
      </c>
      <c r="W6" s="31" t="s">
        <v>128</v>
      </c>
      <c r="X6" s="35"/>
      <c r="Y6" s="33"/>
      <c r="Z6" s="35"/>
      <c r="AA6" s="31"/>
      <c r="AB6" s="31" t="s">
        <v>131</v>
      </c>
      <c r="AC6" s="32" t="s">
        <v>206</v>
      </c>
    </row>
    <row r="7" spans="1:29" ht="72" x14ac:dyDescent="0.25">
      <c r="A7" s="31" t="s">
        <v>237</v>
      </c>
      <c r="B7" s="31" t="s">
        <v>238</v>
      </c>
      <c r="C7" s="31" t="s">
        <v>239</v>
      </c>
      <c r="D7" s="31" t="s">
        <v>240</v>
      </c>
      <c r="E7" s="31" t="s">
        <v>198</v>
      </c>
      <c r="F7" s="31" t="s">
        <v>138</v>
      </c>
      <c r="G7" s="31"/>
      <c r="H7" s="31" t="s">
        <v>241</v>
      </c>
      <c r="I7" s="32" t="s">
        <v>242</v>
      </c>
      <c r="J7" s="31"/>
      <c r="K7" s="32" t="s">
        <v>243</v>
      </c>
      <c r="L7" s="33"/>
      <c r="M7" s="33"/>
      <c r="N7" s="33"/>
      <c r="O7" s="33"/>
      <c r="P7" s="31" t="s">
        <v>19</v>
      </c>
      <c r="Q7" s="34">
        <v>46300</v>
      </c>
      <c r="R7" s="31" t="s">
        <v>126</v>
      </c>
      <c r="S7" s="31" t="s">
        <v>216</v>
      </c>
      <c r="T7" s="31" t="s">
        <v>128</v>
      </c>
      <c r="U7" s="31" t="s">
        <v>244</v>
      </c>
      <c r="V7" s="31" t="s">
        <v>245</v>
      </c>
      <c r="W7" s="31" t="s">
        <v>128</v>
      </c>
      <c r="X7" s="35"/>
      <c r="Y7" s="33"/>
      <c r="Z7" s="35"/>
      <c r="AA7" s="31"/>
      <c r="AB7" s="31" t="s">
        <v>131</v>
      </c>
      <c r="AC7" s="32" t="s">
        <v>243</v>
      </c>
    </row>
    <row r="8" spans="1:29" ht="72" x14ac:dyDescent="0.25">
      <c r="A8" s="31" t="s">
        <v>246</v>
      </c>
      <c r="B8" s="31" t="s">
        <v>247</v>
      </c>
      <c r="C8" s="31" t="s">
        <v>248</v>
      </c>
      <c r="D8" s="31" t="s">
        <v>249</v>
      </c>
      <c r="E8" s="31" t="s">
        <v>198</v>
      </c>
      <c r="F8" s="31" t="s">
        <v>138</v>
      </c>
      <c r="G8" s="31"/>
      <c r="H8" s="31" t="s">
        <v>250</v>
      </c>
      <c r="I8" s="32" t="s">
        <v>251</v>
      </c>
      <c r="J8" s="31" t="s">
        <v>252</v>
      </c>
      <c r="K8" s="32" t="s">
        <v>253</v>
      </c>
      <c r="L8" s="33"/>
      <c r="M8" s="33"/>
      <c r="N8" s="33"/>
      <c r="O8" s="33"/>
      <c r="P8" s="31" t="s">
        <v>19</v>
      </c>
      <c r="Q8" s="34">
        <v>46300</v>
      </c>
      <c r="R8" s="31" t="s">
        <v>126</v>
      </c>
      <c r="S8" s="31" t="s">
        <v>254</v>
      </c>
      <c r="T8" s="31" t="s">
        <v>128</v>
      </c>
      <c r="U8" s="31" t="s">
        <v>255</v>
      </c>
      <c r="V8" s="31" t="s">
        <v>245</v>
      </c>
      <c r="W8" s="31" t="s">
        <v>128</v>
      </c>
      <c r="X8" s="35"/>
      <c r="Y8" s="33"/>
      <c r="Z8" s="35"/>
      <c r="AA8" s="31"/>
      <c r="AB8" s="31" t="s">
        <v>131</v>
      </c>
      <c r="AC8" s="32" t="s">
        <v>253</v>
      </c>
    </row>
    <row r="9" spans="1:29" ht="48" x14ac:dyDescent="0.25">
      <c r="A9" s="31" t="s">
        <v>256</v>
      </c>
      <c r="B9" s="31" t="s">
        <v>257</v>
      </c>
      <c r="C9" s="31" t="s">
        <v>258</v>
      </c>
      <c r="D9" s="31" t="s">
        <v>259</v>
      </c>
      <c r="E9" s="31" t="s">
        <v>260</v>
      </c>
      <c r="F9" s="31" t="s">
        <v>138</v>
      </c>
      <c r="G9" s="31"/>
      <c r="H9" s="31" t="s">
        <v>261</v>
      </c>
      <c r="I9" s="32" t="s">
        <v>262</v>
      </c>
      <c r="J9" s="31" t="s">
        <v>263</v>
      </c>
      <c r="K9" s="32" t="s">
        <v>264</v>
      </c>
      <c r="L9" s="33"/>
      <c r="M9" s="33"/>
      <c r="N9" s="33"/>
      <c r="O9" s="33"/>
      <c r="P9" s="31" t="s">
        <v>19</v>
      </c>
      <c r="Q9" s="34">
        <v>46300</v>
      </c>
      <c r="R9" s="31" t="s">
        <v>126</v>
      </c>
      <c r="S9" s="31" t="s">
        <v>265</v>
      </c>
      <c r="T9" s="31" t="s">
        <v>128</v>
      </c>
      <c r="U9" s="31" t="s">
        <v>266</v>
      </c>
      <c r="V9" s="31" t="s">
        <v>267</v>
      </c>
      <c r="W9" s="31" t="s">
        <v>128</v>
      </c>
      <c r="X9" s="35"/>
      <c r="Y9" s="33"/>
      <c r="Z9" s="35"/>
      <c r="AA9" s="31"/>
      <c r="AB9" s="31" t="s">
        <v>131</v>
      </c>
      <c r="AC9" s="32" t="s">
        <v>268</v>
      </c>
    </row>
    <row r="10" spans="1:29" ht="24" x14ac:dyDescent="0.25">
      <c r="A10" s="31" t="s">
        <v>269</v>
      </c>
      <c r="B10" s="31" t="s">
        <v>170</v>
      </c>
      <c r="C10" s="31" t="s">
        <v>270</v>
      </c>
      <c r="D10" s="31" t="s">
        <v>172</v>
      </c>
      <c r="E10" s="31" t="s">
        <v>173</v>
      </c>
      <c r="F10" s="31" t="s">
        <v>138</v>
      </c>
      <c r="G10" s="31"/>
      <c r="H10" s="31" t="s">
        <v>174</v>
      </c>
      <c r="I10" s="32" t="s">
        <v>175</v>
      </c>
      <c r="J10" s="31" t="s">
        <v>176</v>
      </c>
      <c r="K10" s="32" t="s">
        <v>177</v>
      </c>
      <c r="L10" s="33"/>
      <c r="M10" s="33"/>
      <c r="N10" s="33"/>
      <c r="O10" s="33"/>
      <c r="P10" s="31" t="s">
        <v>19</v>
      </c>
      <c r="Q10" s="34">
        <v>46300</v>
      </c>
      <c r="R10" s="31" t="s">
        <v>126</v>
      </c>
      <c r="S10" s="31" t="s">
        <v>178</v>
      </c>
      <c r="T10" s="31" t="s">
        <v>128</v>
      </c>
      <c r="U10" s="31" t="s">
        <v>271</v>
      </c>
      <c r="V10" s="31" t="s">
        <v>218</v>
      </c>
      <c r="W10" s="31" t="s">
        <v>128</v>
      </c>
      <c r="X10" s="35"/>
      <c r="Y10" s="33"/>
      <c r="Z10" s="35"/>
      <c r="AA10" s="31"/>
      <c r="AB10" s="31" t="s">
        <v>131</v>
      </c>
      <c r="AC10" s="32" t="s">
        <v>177</v>
      </c>
    </row>
    <row r="11" spans="1:29" ht="36" x14ac:dyDescent="0.25">
      <c r="A11" s="31" t="s">
        <v>272</v>
      </c>
      <c r="B11" s="31" t="s">
        <v>273</v>
      </c>
      <c r="C11" s="31" t="s">
        <v>274</v>
      </c>
      <c r="D11" s="31" t="s">
        <v>275</v>
      </c>
      <c r="E11" s="31" t="s">
        <v>276</v>
      </c>
      <c r="F11" s="31" t="s">
        <v>138</v>
      </c>
      <c r="G11" s="31"/>
      <c r="H11" s="31" t="s">
        <v>277</v>
      </c>
      <c r="I11" s="32" t="s">
        <v>278</v>
      </c>
      <c r="J11" s="31"/>
      <c r="K11" s="32" t="s">
        <v>279</v>
      </c>
      <c r="L11" s="33"/>
      <c r="M11" s="33"/>
      <c r="N11" s="33"/>
      <c r="O11" s="33"/>
      <c r="P11" s="31" t="s">
        <v>19</v>
      </c>
      <c r="Q11" s="34">
        <v>46300</v>
      </c>
      <c r="R11" s="31" t="s">
        <v>126</v>
      </c>
      <c r="S11" s="31" t="s">
        <v>280</v>
      </c>
      <c r="T11" s="31" t="s">
        <v>128</v>
      </c>
      <c r="U11" s="31" t="s">
        <v>281</v>
      </c>
      <c r="V11" s="31" t="s">
        <v>282</v>
      </c>
      <c r="W11" s="31" t="s">
        <v>128</v>
      </c>
      <c r="X11" s="35"/>
      <c r="Y11" s="33"/>
      <c r="Z11" s="35"/>
      <c r="AA11" s="31"/>
      <c r="AB11" s="31" t="s">
        <v>131</v>
      </c>
      <c r="AC11" s="32" t="s">
        <v>283</v>
      </c>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1" xr:uid="{00000000-0009-0000-0000-000003000000}"/>
  <mergeCells count="7">
    <mergeCell ref="V3:W3"/>
    <mergeCell ref="X3:AC3"/>
    <mergeCell ref="A3:C3"/>
    <mergeCell ref="D3:H3"/>
    <mergeCell ref="I3:O3"/>
    <mergeCell ref="P3:R3"/>
    <mergeCell ref="S3:U3"/>
  </mergeCells>
  <conditionalFormatting sqref="P5:P300">
    <cfRule type="expression" dxfId="129" priority="2">
      <formula>$P5="AVL"</formula>
    </cfRule>
    <cfRule type="expression" dxfId="128" priority="3">
      <formula>$P5="Qualified"</formula>
    </cfRule>
    <cfRule type="expression" dxfId="127" priority="4">
      <formula>$P5="Prequalified"</formula>
    </cfRule>
    <cfRule type="expression" dxfId="126" priority="5">
      <formula>$P5="On Hold"</formula>
    </cfRule>
    <cfRule type="expression" dxfId="125" priority="6">
      <formula>$P5="Disqualified"</formula>
    </cfRule>
  </conditionalFormatting>
  <conditionalFormatting sqref="W5:W300">
    <cfRule type="expression" dxfId="124" priority="7">
      <formula>$W5="High"</formula>
    </cfRule>
    <cfRule type="expression" dxfId="123" priority="8">
      <formula>$W5="FEOC Review"</formula>
    </cfRule>
    <cfRule type="expression" dxfId="122" priority="9">
      <formula>$W5="Medium"</formula>
    </cfRule>
    <cfRule type="expression" dxfId="121" priority="10">
      <formula>$W5="Low"</formula>
    </cfRule>
  </conditionalFormatting>
  <conditionalFormatting sqref="Z5:Z300">
    <cfRule type="expression" dxfId="120" priority="11">
      <formula>AND($Z5&lt;&gt;"",$Z5&lt;TODAY())</formula>
    </cfRule>
  </conditionalFormatting>
  <dataValidations count="6">
    <dataValidation type="list" allowBlank="1" showErrorMessage="1" errorTitle="Invalid entry" error="Pick a value from the list (edit the Lists tab to change options)." sqref="P5:P300" xr:uid="{00000000-0002-0000-0300-000000000000}">
      <formula1>lst_status</formula1>
      <formula2>0</formula2>
    </dataValidation>
    <dataValidation type="list" allowBlank="1" showErrorMessage="1" errorTitle="Invalid entry" error="Pick a value from the list (edit the Lists tab to change options)." sqref="R5:R300" xr:uid="{00000000-0002-0000-0300-000001000000}">
      <formula1>lst_rfx</formula1>
      <formula2>0</formula2>
    </dataValidation>
    <dataValidation type="list" allowBlank="1" showErrorMessage="1" errorTitle="Invalid entry" error="Pick a value from the list (edit the Lists tab to change options)." sqref="T5:T300" xr:uid="{00000000-0002-0000-0300-000002000000}">
      <formula1>lst_fin</formula1>
      <formula2>0</formula2>
    </dataValidation>
    <dataValidation type="list" allowBlank="1" showErrorMessage="1" errorTitle="Invalid entry" error="Pick a value from the list (edit the Lists tab to change options)." sqref="W5:W300" xr:uid="{00000000-0002-0000-0300-000003000000}">
      <formula1>lst_scr</formula1>
      <formula2>0</formula2>
    </dataValidation>
    <dataValidation type="list" allowBlank="1" showErrorMessage="1" errorTitle="Invalid entry" error="Pick a value from the list (edit the Lists tab to change options)." sqref="AB5:AB300" xr:uid="{00000000-0002-0000-0300-000004000000}">
      <formula1>lst_ver</formula1>
      <formula2>0</formula2>
    </dataValidation>
    <dataValidation type="date" operator="greaterThan" allowBlank="1" showErrorMessage="1" error="Enter a date (yyyy-mm-dd)." sqref="Q5:Q300 X5:X300 Z5:Z300" xr:uid="{00000000-0002-0000-0300-000005000000}">
      <formula1>DATE(2020,1,1)</formula1>
      <formula2>0</formula2>
    </dataValidation>
  </dataValidations>
  <hyperlinks>
    <hyperlink ref="I5" r:id="rId1" xr:uid="{00000000-0004-0000-0300-000000000000}"/>
    <hyperlink ref="K5" r:id="rId2" xr:uid="{00000000-0004-0000-0300-000001000000}"/>
    <hyperlink ref="AC5" r:id="rId3" xr:uid="{00000000-0004-0000-0300-000002000000}"/>
    <hyperlink ref="I6" r:id="rId4" xr:uid="{00000000-0004-0000-0300-000003000000}"/>
    <hyperlink ref="K6" r:id="rId5" xr:uid="{00000000-0004-0000-0300-000004000000}"/>
    <hyperlink ref="AC6" r:id="rId6" xr:uid="{00000000-0004-0000-0300-000005000000}"/>
    <hyperlink ref="I7" r:id="rId7" xr:uid="{00000000-0004-0000-0300-000006000000}"/>
    <hyperlink ref="K7" r:id="rId8" xr:uid="{00000000-0004-0000-0300-000007000000}"/>
    <hyperlink ref="AC7" r:id="rId9" xr:uid="{00000000-0004-0000-0300-000008000000}"/>
    <hyperlink ref="I8" r:id="rId10" xr:uid="{00000000-0004-0000-0300-000009000000}"/>
    <hyperlink ref="K8" r:id="rId11" xr:uid="{00000000-0004-0000-0300-00000A000000}"/>
    <hyperlink ref="AC8" r:id="rId12" xr:uid="{00000000-0004-0000-0300-00000B000000}"/>
    <hyperlink ref="I9" r:id="rId13" xr:uid="{00000000-0004-0000-0300-00000C000000}"/>
    <hyperlink ref="K9" r:id="rId14" xr:uid="{00000000-0004-0000-0300-00000D000000}"/>
    <hyperlink ref="AC9" r:id="rId15" xr:uid="{00000000-0004-0000-0300-00000E000000}"/>
    <hyperlink ref="I10" r:id="rId16" xr:uid="{00000000-0004-0000-0300-00000F000000}"/>
    <hyperlink ref="K10" r:id="rId17" xr:uid="{00000000-0004-0000-0300-000010000000}"/>
    <hyperlink ref="AC10" r:id="rId18" xr:uid="{00000000-0004-0000-0300-000011000000}"/>
    <hyperlink ref="I11" r:id="rId19" xr:uid="{00000000-0004-0000-0300-000012000000}"/>
    <hyperlink ref="K11" r:id="rId20" xr:uid="{00000000-0004-0000-0300-000013000000}"/>
    <hyperlink ref="AC11" r:id="rId21" xr:uid="{00000000-0004-0000-0300-000014000000}"/>
  </hyperlinks>
  <pageMargins left="0.75" right="0.75" top="1" bottom="1" header="0.511811023622047" footer="0.511811023622047"/>
  <pageSetup paperSize="9" orientation="portrait" horizontalDpi="300" verticalDpi="300"/>
  <legacyDrawing r:id="rId2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284</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285</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36" x14ac:dyDescent="0.25">
      <c r="A5" s="31" t="s">
        <v>286</v>
      </c>
      <c r="B5" s="31" t="s">
        <v>287</v>
      </c>
      <c r="C5" s="31" t="s">
        <v>288</v>
      </c>
      <c r="D5" s="31" t="s">
        <v>289</v>
      </c>
      <c r="E5" s="31" t="s">
        <v>198</v>
      </c>
      <c r="F5" s="31" t="s">
        <v>138</v>
      </c>
      <c r="G5" s="31"/>
      <c r="H5" s="31" t="s">
        <v>290</v>
      </c>
      <c r="I5" s="32" t="s">
        <v>291</v>
      </c>
      <c r="J5" s="31" t="s">
        <v>292</v>
      </c>
      <c r="K5" s="32" t="s">
        <v>293</v>
      </c>
      <c r="L5" s="33"/>
      <c r="M5" s="33"/>
      <c r="N5" s="33"/>
      <c r="O5" s="33"/>
      <c r="P5" s="31" t="s">
        <v>19</v>
      </c>
      <c r="Q5" s="34">
        <v>46300</v>
      </c>
      <c r="R5" s="31" t="s">
        <v>126</v>
      </c>
      <c r="S5" s="31" t="s">
        <v>229</v>
      </c>
      <c r="T5" s="31" t="s">
        <v>128</v>
      </c>
      <c r="U5" s="31" t="s">
        <v>294</v>
      </c>
      <c r="V5" s="31" t="s">
        <v>295</v>
      </c>
      <c r="W5" s="31" t="s">
        <v>128</v>
      </c>
      <c r="X5" s="35"/>
      <c r="Y5" s="33"/>
      <c r="Z5" s="35"/>
      <c r="AA5" s="31"/>
      <c r="AB5" s="31" t="s">
        <v>131</v>
      </c>
      <c r="AC5" s="32" t="s">
        <v>296</v>
      </c>
    </row>
    <row r="6" spans="1:29" ht="36" x14ac:dyDescent="0.25">
      <c r="A6" s="31" t="s">
        <v>297</v>
      </c>
      <c r="B6" s="31" t="s">
        <v>298</v>
      </c>
      <c r="C6" s="31" t="s">
        <v>299</v>
      </c>
      <c r="D6" s="31" t="s">
        <v>300</v>
      </c>
      <c r="E6" s="31" t="s">
        <v>301</v>
      </c>
      <c r="F6" s="31" t="s">
        <v>138</v>
      </c>
      <c r="G6" s="31"/>
      <c r="H6" s="31" t="s">
        <v>289</v>
      </c>
      <c r="I6" s="32" t="s">
        <v>302</v>
      </c>
      <c r="J6" s="31" t="s">
        <v>303</v>
      </c>
      <c r="K6" s="32" t="s">
        <v>304</v>
      </c>
      <c r="L6" s="33"/>
      <c r="M6" s="33"/>
      <c r="N6" s="33"/>
      <c r="O6" s="33"/>
      <c r="P6" s="31" t="s">
        <v>19</v>
      </c>
      <c r="Q6" s="34">
        <v>46300</v>
      </c>
      <c r="R6" s="31" t="s">
        <v>126</v>
      </c>
      <c r="S6" s="31" t="s">
        <v>305</v>
      </c>
      <c r="T6" s="31" t="s">
        <v>128</v>
      </c>
      <c r="U6" s="31" t="s">
        <v>306</v>
      </c>
      <c r="V6" s="31" t="s">
        <v>307</v>
      </c>
      <c r="W6" s="31" t="s">
        <v>128</v>
      </c>
      <c r="X6" s="35"/>
      <c r="Y6" s="33"/>
      <c r="Z6" s="35"/>
      <c r="AA6" s="31"/>
      <c r="AB6" s="31" t="s">
        <v>131</v>
      </c>
      <c r="AC6" s="32" t="s">
        <v>304</v>
      </c>
    </row>
    <row r="7" spans="1:29" ht="36" x14ac:dyDescent="0.25">
      <c r="A7" s="31" t="s">
        <v>308</v>
      </c>
      <c r="B7" s="31" t="s">
        <v>273</v>
      </c>
      <c r="C7" s="31" t="s">
        <v>309</v>
      </c>
      <c r="D7" s="31" t="s">
        <v>275</v>
      </c>
      <c r="E7" s="31" t="s">
        <v>276</v>
      </c>
      <c r="F7" s="31" t="s">
        <v>138</v>
      </c>
      <c r="G7" s="31"/>
      <c r="H7" s="31" t="s">
        <v>277</v>
      </c>
      <c r="I7" s="32" t="s">
        <v>278</v>
      </c>
      <c r="J7" s="31"/>
      <c r="K7" s="32" t="s">
        <v>279</v>
      </c>
      <c r="L7" s="33"/>
      <c r="M7" s="33"/>
      <c r="N7" s="33"/>
      <c r="O7" s="33"/>
      <c r="P7" s="31" t="s">
        <v>19</v>
      </c>
      <c r="Q7" s="34">
        <v>46300</v>
      </c>
      <c r="R7" s="31" t="s">
        <v>126</v>
      </c>
      <c r="S7" s="31" t="s">
        <v>280</v>
      </c>
      <c r="T7" s="31" t="s">
        <v>128</v>
      </c>
      <c r="U7" s="31" t="s">
        <v>310</v>
      </c>
      <c r="V7" s="31" t="s">
        <v>218</v>
      </c>
      <c r="W7" s="31" t="s">
        <v>128</v>
      </c>
      <c r="X7" s="35"/>
      <c r="Y7" s="33"/>
      <c r="Z7" s="35"/>
      <c r="AA7" s="31"/>
      <c r="AB7" s="31" t="s">
        <v>131</v>
      </c>
      <c r="AC7" s="32" t="s">
        <v>283</v>
      </c>
    </row>
    <row r="8" spans="1:29" ht="24" x14ac:dyDescent="0.25">
      <c r="A8" s="31" t="s">
        <v>311</v>
      </c>
      <c r="B8" s="31" t="s">
        <v>312</v>
      </c>
      <c r="C8" s="31" t="s">
        <v>313</v>
      </c>
      <c r="D8" s="31" t="s">
        <v>314</v>
      </c>
      <c r="E8" s="31" t="s">
        <v>173</v>
      </c>
      <c r="F8" s="31" t="s">
        <v>138</v>
      </c>
      <c r="G8" s="31"/>
      <c r="H8" s="31" t="s">
        <v>289</v>
      </c>
      <c r="I8" s="32" t="s">
        <v>315</v>
      </c>
      <c r="J8" s="31" t="s">
        <v>316</v>
      </c>
      <c r="K8" s="32" t="s">
        <v>317</v>
      </c>
      <c r="L8" s="33"/>
      <c r="M8" s="33"/>
      <c r="N8" s="33"/>
      <c r="O8" s="33"/>
      <c r="P8" s="31" t="s">
        <v>19</v>
      </c>
      <c r="Q8" s="34">
        <v>46300</v>
      </c>
      <c r="R8" s="31" t="s">
        <v>126</v>
      </c>
      <c r="S8" s="31" t="s">
        <v>216</v>
      </c>
      <c r="T8" s="31" t="s">
        <v>128</v>
      </c>
      <c r="U8" s="31" t="s">
        <v>318</v>
      </c>
      <c r="V8" s="31" t="s">
        <v>319</v>
      </c>
      <c r="W8" s="31" t="s">
        <v>128</v>
      </c>
      <c r="X8" s="35"/>
      <c r="Y8" s="33"/>
      <c r="Z8" s="35"/>
      <c r="AA8" s="31"/>
      <c r="AB8" s="31" t="s">
        <v>131</v>
      </c>
      <c r="AC8" s="32" t="s">
        <v>317</v>
      </c>
    </row>
    <row r="9" spans="1:29" ht="60" x14ac:dyDescent="0.25">
      <c r="A9" s="31" t="s">
        <v>320</v>
      </c>
      <c r="B9" s="31" t="s">
        <v>321</v>
      </c>
      <c r="C9" s="31" t="s">
        <v>322</v>
      </c>
      <c r="D9" s="31" t="s">
        <v>323</v>
      </c>
      <c r="E9" s="31" t="s">
        <v>324</v>
      </c>
      <c r="F9" s="31" t="s">
        <v>138</v>
      </c>
      <c r="G9" s="31"/>
      <c r="H9" s="31" t="s">
        <v>325</v>
      </c>
      <c r="I9" s="32" t="s">
        <v>326</v>
      </c>
      <c r="J9" s="31"/>
      <c r="K9" s="31"/>
      <c r="L9" s="33"/>
      <c r="M9" s="33"/>
      <c r="N9" s="33"/>
      <c r="O9" s="33"/>
      <c r="P9" s="31" t="s">
        <v>19</v>
      </c>
      <c r="Q9" s="34">
        <v>46300</v>
      </c>
      <c r="R9" s="31" t="s">
        <v>126</v>
      </c>
      <c r="S9" s="31" t="s">
        <v>327</v>
      </c>
      <c r="T9" s="31" t="s">
        <v>128</v>
      </c>
      <c r="U9" s="31" t="s">
        <v>328</v>
      </c>
      <c r="V9" s="31" t="s">
        <v>329</v>
      </c>
      <c r="W9" s="31" t="s">
        <v>128</v>
      </c>
      <c r="X9" s="35"/>
      <c r="Y9" s="33"/>
      <c r="Z9" s="35"/>
      <c r="AA9" s="31"/>
      <c r="AB9" s="31" t="s">
        <v>131</v>
      </c>
      <c r="AC9" s="32" t="s">
        <v>330</v>
      </c>
    </row>
    <row r="10" spans="1:29" ht="48" x14ac:dyDescent="0.25">
      <c r="A10" s="31" t="s">
        <v>331</v>
      </c>
      <c r="B10" s="31" t="s">
        <v>332</v>
      </c>
      <c r="C10" s="31" t="s">
        <v>333</v>
      </c>
      <c r="D10" s="31" t="s">
        <v>334</v>
      </c>
      <c r="E10" s="31" t="s">
        <v>335</v>
      </c>
      <c r="F10" s="31" t="s">
        <v>138</v>
      </c>
      <c r="G10" s="31"/>
      <c r="H10" s="31"/>
      <c r="I10" s="32" t="s">
        <v>336</v>
      </c>
      <c r="J10" s="31"/>
      <c r="K10" s="31"/>
      <c r="L10" s="33"/>
      <c r="M10" s="33"/>
      <c r="N10" s="33"/>
      <c r="O10" s="33"/>
      <c r="P10" s="31" t="s">
        <v>19</v>
      </c>
      <c r="Q10" s="34">
        <v>46300</v>
      </c>
      <c r="R10" s="31" t="s">
        <v>126</v>
      </c>
      <c r="S10" s="31"/>
      <c r="T10" s="31" t="s">
        <v>128</v>
      </c>
      <c r="U10" s="31" t="s">
        <v>337</v>
      </c>
      <c r="V10" s="31" t="s">
        <v>338</v>
      </c>
      <c r="W10" s="31" t="s">
        <v>128</v>
      </c>
      <c r="X10" s="35"/>
      <c r="Y10" s="33"/>
      <c r="Z10" s="35"/>
      <c r="AA10" s="31"/>
      <c r="AB10" s="31" t="s">
        <v>131</v>
      </c>
      <c r="AC10" s="32" t="s">
        <v>339</v>
      </c>
    </row>
    <row r="11" spans="1:29" x14ac:dyDescent="0.25">
      <c r="A11" s="31"/>
      <c r="B11" s="31"/>
      <c r="C11" s="31"/>
      <c r="D11" s="31"/>
      <c r="E11" s="31"/>
      <c r="F11" s="31"/>
      <c r="G11" s="31"/>
      <c r="H11" s="31"/>
      <c r="I11" s="31"/>
      <c r="J11" s="31"/>
      <c r="K11" s="31"/>
      <c r="L11" s="33"/>
      <c r="M11" s="33"/>
      <c r="N11" s="33"/>
      <c r="O11" s="33"/>
      <c r="P11" s="31"/>
      <c r="Q11" s="34"/>
      <c r="R11" s="31"/>
      <c r="S11" s="31"/>
      <c r="T11" s="31"/>
      <c r="U11" s="31"/>
      <c r="V11" s="31"/>
      <c r="W11" s="31"/>
      <c r="X11" s="35"/>
      <c r="Y11" s="33"/>
      <c r="Z11" s="35"/>
      <c r="AA11" s="31"/>
      <c r="AB11" s="31"/>
      <c r="AC11" s="31"/>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6"/>
      <c r="B26" s="36"/>
      <c r="C26" s="36"/>
      <c r="D26" s="36"/>
      <c r="E26" s="36"/>
      <c r="F26" s="36"/>
      <c r="G26" s="36"/>
      <c r="H26" s="36"/>
      <c r="I26" s="36"/>
      <c r="J26" s="36"/>
      <c r="K26" s="36"/>
      <c r="L26" s="37"/>
      <c r="M26" s="37"/>
      <c r="N26" s="37"/>
      <c r="O26" s="37"/>
      <c r="P26" s="36"/>
      <c r="Q26" s="38"/>
      <c r="R26" s="36"/>
      <c r="S26" s="36"/>
      <c r="T26" s="36"/>
      <c r="U26" s="36"/>
      <c r="V26" s="36"/>
      <c r="W26" s="36"/>
      <c r="X26" s="39"/>
      <c r="Y26" s="37"/>
      <c r="Z26" s="39"/>
      <c r="AA26" s="36"/>
      <c r="AB26" s="36"/>
      <c r="AC26" s="36"/>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0" xr:uid="{00000000-0009-0000-0000-000004000000}"/>
  <mergeCells count="7">
    <mergeCell ref="V3:W3"/>
    <mergeCell ref="X3:AC3"/>
    <mergeCell ref="A3:C3"/>
    <mergeCell ref="D3:H3"/>
    <mergeCell ref="I3:O3"/>
    <mergeCell ref="P3:R3"/>
    <mergeCell ref="S3:U3"/>
  </mergeCells>
  <conditionalFormatting sqref="P5:P300">
    <cfRule type="expression" dxfId="119" priority="2">
      <formula>$P5="AVL"</formula>
    </cfRule>
    <cfRule type="expression" dxfId="118" priority="3">
      <formula>$P5="Qualified"</formula>
    </cfRule>
    <cfRule type="expression" dxfId="117" priority="4">
      <formula>$P5="Prequalified"</formula>
    </cfRule>
    <cfRule type="expression" dxfId="116" priority="5">
      <formula>$P5="On Hold"</formula>
    </cfRule>
    <cfRule type="expression" dxfId="115" priority="6">
      <formula>$P5="Disqualified"</formula>
    </cfRule>
  </conditionalFormatting>
  <conditionalFormatting sqref="W5:W300">
    <cfRule type="expression" dxfId="114" priority="7">
      <formula>$W5="High"</formula>
    </cfRule>
    <cfRule type="expression" dxfId="113" priority="8">
      <formula>$W5="FEOC Review"</formula>
    </cfRule>
    <cfRule type="expression" dxfId="112" priority="9">
      <formula>$W5="Medium"</formula>
    </cfRule>
    <cfRule type="expression" dxfId="111" priority="10">
      <formula>$W5="Low"</formula>
    </cfRule>
  </conditionalFormatting>
  <conditionalFormatting sqref="Z5:Z300">
    <cfRule type="expression" dxfId="110" priority="11">
      <formula>AND($Z5&lt;&gt;"",$Z5&lt;TODAY())</formula>
    </cfRule>
  </conditionalFormatting>
  <dataValidations count="6">
    <dataValidation type="list" allowBlank="1" showErrorMessage="1" errorTitle="Invalid entry" error="Pick a value from the list (edit the Lists tab to change options)." sqref="P5:P300" xr:uid="{00000000-0002-0000-0400-000000000000}">
      <formula1>lst_status</formula1>
      <formula2>0</formula2>
    </dataValidation>
    <dataValidation type="list" allowBlank="1" showErrorMessage="1" errorTitle="Invalid entry" error="Pick a value from the list (edit the Lists tab to change options)." sqref="R5:R300" xr:uid="{00000000-0002-0000-0400-000001000000}">
      <formula1>lst_rfx</formula1>
      <formula2>0</formula2>
    </dataValidation>
    <dataValidation type="list" allowBlank="1" showErrorMessage="1" errorTitle="Invalid entry" error="Pick a value from the list (edit the Lists tab to change options)." sqref="T5:T300" xr:uid="{00000000-0002-0000-0400-000002000000}">
      <formula1>lst_fin</formula1>
      <formula2>0</formula2>
    </dataValidation>
    <dataValidation type="list" allowBlank="1" showErrorMessage="1" errorTitle="Invalid entry" error="Pick a value from the list (edit the Lists tab to change options)." sqref="W5:W300" xr:uid="{00000000-0002-0000-0400-000003000000}">
      <formula1>lst_scr</formula1>
      <formula2>0</formula2>
    </dataValidation>
    <dataValidation type="list" allowBlank="1" showErrorMessage="1" errorTitle="Invalid entry" error="Pick a value from the list (edit the Lists tab to change options)." sqref="AB5:AB300" xr:uid="{00000000-0002-0000-0400-000004000000}">
      <formula1>lst_ver</formula1>
      <formula2>0</formula2>
    </dataValidation>
    <dataValidation type="date" operator="greaterThan" allowBlank="1" showErrorMessage="1" error="Enter a date (yyyy-mm-dd)." sqref="Q5:Q300 X5:X300 Z5:Z300" xr:uid="{00000000-0002-0000-0400-000005000000}">
      <formula1>DATE(2020,1,1)</formula1>
      <formula2>0</formula2>
    </dataValidation>
  </dataValidations>
  <hyperlinks>
    <hyperlink ref="I5" r:id="rId1" xr:uid="{00000000-0004-0000-0400-000000000000}"/>
    <hyperlink ref="K5" r:id="rId2" xr:uid="{00000000-0004-0000-0400-000001000000}"/>
    <hyperlink ref="AC5" r:id="rId3" xr:uid="{00000000-0004-0000-0400-000002000000}"/>
    <hyperlink ref="I6" r:id="rId4" xr:uid="{00000000-0004-0000-0400-000003000000}"/>
    <hyperlink ref="K6" r:id="rId5" xr:uid="{00000000-0004-0000-0400-000004000000}"/>
    <hyperlink ref="AC6" r:id="rId6" xr:uid="{00000000-0004-0000-0400-000005000000}"/>
    <hyperlink ref="I7" r:id="rId7" xr:uid="{00000000-0004-0000-0400-000006000000}"/>
    <hyperlink ref="K7" r:id="rId8" xr:uid="{00000000-0004-0000-0400-000007000000}"/>
    <hyperlink ref="AC7" r:id="rId9" xr:uid="{00000000-0004-0000-0400-000008000000}"/>
    <hyperlink ref="I8" r:id="rId10" xr:uid="{00000000-0004-0000-0400-000009000000}"/>
    <hyperlink ref="K8" r:id="rId11" xr:uid="{00000000-0004-0000-0400-00000A000000}"/>
    <hyperlink ref="AC8" r:id="rId12" xr:uid="{00000000-0004-0000-0400-00000B000000}"/>
    <hyperlink ref="I9" r:id="rId13" xr:uid="{00000000-0004-0000-0400-00000C000000}"/>
    <hyperlink ref="AC9" r:id="rId14" xr:uid="{00000000-0004-0000-0400-00000D000000}"/>
    <hyperlink ref="I10" r:id="rId15" xr:uid="{00000000-0004-0000-0400-00000E000000}"/>
    <hyperlink ref="AC10" r:id="rId16" xr:uid="{00000000-0004-0000-0400-00000F000000}"/>
  </hyperlinks>
  <pageMargins left="0.75" right="0.75" top="1" bottom="1" header="0.511811023622047" footer="0.511811023622047"/>
  <pageSetup paperSize="9" orientation="portrait" horizontalDpi="300" verticalDpi="300"/>
  <legacyDrawing r:id="rId1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340</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341</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36" x14ac:dyDescent="0.25">
      <c r="A5" s="31" t="s">
        <v>342</v>
      </c>
      <c r="B5" s="31" t="s">
        <v>321</v>
      </c>
      <c r="C5" s="31" t="s">
        <v>343</v>
      </c>
      <c r="D5" s="31" t="s">
        <v>323</v>
      </c>
      <c r="E5" s="31" t="s">
        <v>324</v>
      </c>
      <c r="F5" s="31" t="s">
        <v>138</v>
      </c>
      <c r="G5" s="31"/>
      <c r="H5" s="31" t="s">
        <v>325</v>
      </c>
      <c r="I5" s="32" t="s">
        <v>326</v>
      </c>
      <c r="J5" s="31"/>
      <c r="K5" s="31"/>
      <c r="L5" s="33"/>
      <c r="M5" s="33"/>
      <c r="N5" s="33"/>
      <c r="O5" s="33"/>
      <c r="P5" s="31" t="s">
        <v>19</v>
      </c>
      <c r="Q5" s="34">
        <v>46300</v>
      </c>
      <c r="R5" s="31" t="s">
        <v>126</v>
      </c>
      <c r="S5" s="31" t="s">
        <v>344</v>
      </c>
      <c r="T5" s="31" t="s">
        <v>128</v>
      </c>
      <c r="U5" s="31" t="s">
        <v>345</v>
      </c>
      <c r="V5" s="31" t="s">
        <v>218</v>
      </c>
      <c r="W5" s="31" t="s">
        <v>128</v>
      </c>
      <c r="X5" s="35"/>
      <c r="Y5" s="33"/>
      <c r="Z5" s="35"/>
      <c r="AA5" s="31"/>
      <c r="AB5" s="31" t="s">
        <v>131</v>
      </c>
      <c r="AC5" s="32" t="s">
        <v>330</v>
      </c>
    </row>
    <row r="6" spans="1:29" ht="36" x14ac:dyDescent="0.25">
      <c r="A6" s="31" t="s">
        <v>346</v>
      </c>
      <c r="B6" s="31" t="s">
        <v>273</v>
      </c>
      <c r="C6" s="31" t="s">
        <v>347</v>
      </c>
      <c r="D6" s="31" t="s">
        <v>275</v>
      </c>
      <c r="E6" s="31" t="s">
        <v>276</v>
      </c>
      <c r="F6" s="31" t="s">
        <v>138</v>
      </c>
      <c r="G6" s="31"/>
      <c r="H6" s="31" t="s">
        <v>277</v>
      </c>
      <c r="I6" s="32" t="s">
        <v>278</v>
      </c>
      <c r="J6" s="31"/>
      <c r="K6" s="32" t="s">
        <v>279</v>
      </c>
      <c r="L6" s="33"/>
      <c r="M6" s="33"/>
      <c r="N6" s="33"/>
      <c r="O6" s="33"/>
      <c r="P6" s="31" t="s">
        <v>19</v>
      </c>
      <c r="Q6" s="34">
        <v>46300</v>
      </c>
      <c r="R6" s="31" t="s">
        <v>126</v>
      </c>
      <c r="S6" s="31" t="s">
        <v>280</v>
      </c>
      <c r="T6" s="31" t="s">
        <v>128</v>
      </c>
      <c r="U6" s="31" t="s">
        <v>348</v>
      </c>
      <c r="V6" s="31" t="s">
        <v>218</v>
      </c>
      <c r="W6" s="31" t="s">
        <v>128</v>
      </c>
      <c r="X6" s="35"/>
      <c r="Y6" s="33"/>
      <c r="Z6" s="35"/>
      <c r="AA6" s="31"/>
      <c r="AB6" s="31" t="s">
        <v>131</v>
      </c>
      <c r="AC6" s="32" t="s">
        <v>283</v>
      </c>
    </row>
    <row r="7" spans="1:29" ht="36" x14ac:dyDescent="0.25">
      <c r="A7" s="31" t="s">
        <v>349</v>
      </c>
      <c r="B7" s="31" t="s">
        <v>298</v>
      </c>
      <c r="C7" s="31" t="s">
        <v>350</v>
      </c>
      <c r="D7" s="31" t="s">
        <v>300</v>
      </c>
      <c r="E7" s="31" t="s">
        <v>301</v>
      </c>
      <c r="F7" s="31" t="s">
        <v>138</v>
      </c>
      <c r="G7" s="31"/>
      <c r="H7" s="31" t="s">
        <v>289</v>
      </c>
      <c r="I7" s="32" t="s">
        <v>302</v>
      </c>
      <c r="J7" s="31" t="s">
        <v>303</v>
      </c>
      <c r="K7" s="32" t="s">
        <v>304</v>
      </c>
      <c r="L7" s="33"/>
      <c r="M7" s="33"/>
      <c r="N7" s="33"/>
      <c r="O7" s="33"/>
      <c r="P7" s="31" t="s">
        <v>19</v>
      </c>
      <c r="Q7" s="34">
        <v>46300</v>
      </c>
      <c r="R7" s="31" t="s">
        <v>126</v>
      </c>
      <c r="S7" s="31" t="s">
        <v>305</v>
      </c>
      <c r="T7" s="31" t="s">
        <v>128</v>
      </c>
      <c r="U7" s="31" t="s">
        <v>351</v>
      </c>
      <c r="V7" s="31" t="s">
        <v>352</v>
      </c>
      <c r="W7" s="31" t="s">
        <v>128</v>
      </c>
      <c r="X7" s="35"/>
      <c r="Y7" s="33"/>
      <c r="Z7" s="35"/>
      <c r="AA7" s="31"/>
      <c r="AB7" s="31" t="s">
        <v>131</v>
      </c>
      <c r="AC7" s="32" t="s">
        <v>304</v>
      </c>
    </row>
    <row r="8" spans="1:29" ht="24" x14ac:dyDescent="0.25">
      <c r="A8" s="31" t="s">
        <v>353</v>
      </c>
      <c r="B8" s="31" t="s">
        <v>312</v>
      </c>
      <c r="C8" s="31" t="s">
        <v>354</v>
      </c>
      <c r="D8" s="31" t="s">
        <v>314</v>
      </c>
      <c r="E8" s="31" t="s">
        <v>173</v>
      </c>
      <c r="F8" s="31" t="s">
        <v>138</v>
      </c>
      <c r="G8" s="31"/>
      <c r="H8" s="31" t="s">
        <v>289</v>
      </c>
      <c r="I8" s="32" t="s">
        <v>315</v>
      </c>
      <c r="J8" s="31" t="s">
        <v>316</v>
      </c>
      <c r="K8" s="32" t="s">
        <v>317</v>
      </c>
      <c r="L8" s="33"/>
      <c r="M8" s="33"/>
      <c r="N8" s="33"/>
      <c r="O8" s="33"/>
      <c r="P8" s="31" t="s">
        <v>19</v>
      </c>
      <c r="Q8" s="34">
        <v>46300</v>
      </c>
      <c r="R8" s="31" t="s">
        <v>126</v>
      </c>
      <c r="S8" s="31" t="s">
        <v>216</v>
      </c>
      <c r="T8" s="31" t="s">
        <v>128</v>
      </c>
      <c r="U8" s="31" t="s">
        <v>355</v>
      </c>
      <c r="V8" s="31" t="s">
        <v>319</v>
      </c>
      <c r="W8" s="31" t="s">
        <v>128</v>
      </c>
      <c r="X8" s="35"/>
      <c r="Y8" s="33"/>
      <c r="Z8" s="35"/>
      <c r="AA8" s="31"/>
      <c r="AB8" s="31" t="s">
        <v>131</v>
      </c>
      <c r="AC8" s="32" t="s">
        <v>317</v>
      </c>
    </row>
    <row r="9" spans="1:29" ht="72" x14ac:dyDescent="0.25">
      <c r="A9" s="31" t="s">
        <v>356</v>
      </c>
      <c r="B9" s="31" t="s">
        <v>357</v>
      </c>
      <c r="C9" s="31" t="s">
        <v>358</v>
      </c>
      <c r="D9" s="31" t="s">
        <v>359</v>
      </c>
      <c r="E9" s="31" t="s">
        <v>198</v>
      </c>
      <c r="F9" s="31" t="s">
        <v>138</v>
      </c>
      <c r="G9" s="31"/>
      <c r="H9" s="31" t="s">
        <v>360</v>
      </c>
      <c r="I9" s="32" t="s">
        <v>361</v>
      </c>
      <c r="J9" s="31" t="s">
        <v>362</v>
      </c>
      <c r="K9" s="32" t="s">
        <v>363</v>
      </c>
      <c r="L9" s="33"/>
      <c r="M9" s="33"/>
      <c r="N9" s="33"/>
      <c r="O9" s="33"/>
      <c r="P9" s="31" t="s">
        <v>19</v>
      </c>
      <c r="Q9" s="34">
        <v>46300</v>
      </c>
      <c r="R9" s="31" t="s">
        <v>126</v>
      </c>
      <c r="S9" s="31" t="s">
        <v>364</v>
      </c>
      <c r="T9" s="31" t="s">
        <v>128</v>
      </c>
      <c r="U9" s="31" t="s">
        <v>365</v>
      </c>
      <c r="V9" s="31" t="s">
        <v>366</v>
      </c>
      <c r="W9" s="31" t="s">
        <v>128</v>
      </c>
      <c r="X9" s="35"/>
      <c r="Y9" s="33"/>
      <c r="Z9" s="35"/>
      <c r="AA9" s="31"/>
      <c r="AB9" s="31" t="s">
        <v>131</v>
      </c>
      <c r="AC9" s="32" t="s">
        <v>363</v>
      </c>
    </row>
    <row r="10" spans="1:29" ht="36" x14ac:dyDescent="0.25">
      <c r="A10" s="31" t="s">
        <v>367</v>
      </c>
      <c r="B10" s="31" t="s">
        <v>368</v>
      </c>
      <c r="C10" s="31" t="s">
        <v>369</v>
      </c>
      <c r="D10" s="31" t="s">
        <v>370</v>
      </c>
      <c r="E10" s="31" t="s">
        <v>371</v>
      </c>
      <c r="F10" s="31" t="s">
        <v>138</v>
      </c>
      <c r="G10" s="31"/>
      <c r="H10" s="31" t="s">
        <v>289</v>
      </c>
      <c r="I10" s="32" t="s">
        <v>372</v>
      </c>
      <c r="J10" s="31" t="s">
        <v>373</v>
      </c>
      <c r="K10" s="32" t="s">
        <v>374</v>
      </c>
      <c r="L10" s="33"/>
      <c r="M10" s="33"/>
      <c r="N10" s="33"/>
      <c r="O10" s="33"/>
      <c r="P10" s="31" t="s">
        <v>19</v>
      </c>
      <c r="Q10" s="34">
        <v>46300</v>
      </c>
      <c r="R10" s="31" t="s">
        <v>126</v>
      </c>
      <c r="S10" s="31" t="s">
        <v>375</v>
      </c>
      <c r="T10" s="31" t="s">
        <v>128</v>
      </c>
      <c r="U10" s="31" t="s">
        <v>376</v>
      </c>
      <c r="V10" s="31" t="s">
        <v>218</v>
      </c>
      <c r="W10" s="31" t="s">
        <v>128</v>
      </c>
      <c r="X10" s="35"/>
      <c r="Y10" s="33"/>
      <c r="Z10" s="35"/>
      <c r="AA10" s="31"/>
      <c r="AB10" s="31" t="s">
        <v>131</v>
      </c>
      <c r="AC10" s="32" t="s">
        <v>374</v>
      </c>
    </row>
    <row r="11" spans="1:29" ht="48" x14ac:dyDescent="0.25">
      <c r="A11" s="31" t="s">
        <v>377</v>
      </c>
      <c r="B11" s="31" t="s">
        <v>378</v>
      </c>
      <c r="C11" s="31" t="s">
        <v>379</v>
      </c>
      <c r="D11" s="31" t="s">
        <v>259</v>
      </c>
      <c r="E11" s="31" t="s">
        <v>260</v>
      </c>
      <c r="F11" s="31" t="s">
        <v>138</v>
      </c>
      <c r="G11" s="31"/>
      <c r="H11" s="31" t="s">
        <v>380</v>
      </c>
      <c r="I11" s="32" t="s">
        <v>381</v>
      </c>
      <c r="J11" s="31"/>
      <c r="K11" s="32" t="s">
        <v>382</v>
      </c>
      <c r="L11" s="33"/>
      <c r="M11" s="33"/>
      <c r="N11" s="33"/>
      <c r="O11" s="33"/>
      <c r="P11" s="31" t="s">
        <v>19</v>
      </c>
      <c r="Q11" s="34">
        <v>46300</v>
      </c>
      <c r="R11" s="31" t="s">
        <v>126</v>
      </c>
      <c r="S11" s="31" t="s">
        <v>383</v>
      </c>
      <c r="T11" s="31" t="s">
        <v>128</v>
      </c>
      <c r="U11" s="31" t="s">
        <v>384</v>
      </c>
      <c r="V11" s="31" t="s">
        <v>218</v>
      </c>
      <c r="W11" s="31" t="s">
        <v>128</v>
      </c>
      <c r="X11" s="35"/>
      <c r="Y11" s="33"/>
      <c r="Z11" s="35"/>
      <c r="AA11" s="31"/>
      <c r="AB11" s="31" t="s">
        <v>131</v>
      </c>
      <c r="AC11" s="32" t="s">
        <v>385</v>
      </c>
    </row>
    <row r="12" spans="1:29" ht="36" x14ac:dyDescent="0.25">
      <c r="A12" s="31" t="s">
        <v>386</v>
      </c>
      <c r="B12" s="31" t="s">
        <v>332</v>
      </c>
      <c r="C12" s="31" t="s">
        <v>387</v>
      </c>
      <c r="D12" s="31" t="s">
        <v>334</v>
      </c>
      <c r="E12" s="31" t="s">
        <v>335</v>
      </c>
      <c r="F12" s="31" t="s">
        <v>138</v>
      </c>
      <c r="G12" s="31"/>
      <c r="H12" s="31"/>
      <c r="I12" s="32" t="s">
        <v>336</v>
      </c>
      <c r="J12" s="31"/>
      <c r="K12" s="31"/>
      <c r="L12" s="33"/>
      <c r="M12" s="33"/>
      <c r="N12" s="33"/>
      <c r="O12" s="33"/>
      <c r="P12" s="31" t="s">
        <v>19</v>
      </c>
      <c r="Q12" s="34">
        <v>46300</v>
      </c>
      <c r="R12" s="31" t="s">
        <v>126</v>
      </c>
      <c r="S12" s="31"/>
      <c r="T12" s="31" t="s">
        <v>128</v>
      </c>
      <c r="U12" s="31" t="s">
        <v>388</v>
      </c>
      <c r="V12" s="31" t="s">
        <v>389</v>
      </c>
      <c r="W12" s="31" t="s">
        <v>128</v>
      </c>
      <c r="X12" s="35"/>
      <c r="Y12" s="33"/>
      <c r="Z12" s="35"/>
      <c r="AA12" s="31"/>
      <c r="AB12" s="31" t="s">
        <v>131</v>
      </c>
      <c r="AC12" s="32" t="s">
        <v>339</v>
      </c>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2" xr:uid="{00000000-0009-0000-0000-000005000000}"/>
  <mergeCells count="7">
    <mergeCell ref="V3:W3"/>
    <mergeCell ref="X3:AC3"/>
    <mergeCell ref="A3:C3"/>
    <mergeCell ref="D3:H3"/>
    <mergeCell ref="I3:O3"/>
    <mergeCell ref="P3:R3"/>
    <mergeCell ref="S3:U3"/>
  </mergeCells>
  <conditionalFormatting sqref="P5:P300">
    <cfRule type="expression" dxfId="109" priority="2">
      <formula>$P5="AVL"</formula>
    </cfRule>
    <cfRule type="expression" dxfId="108" priority="3">
      <formula>$P5="Qualified"</formula>
    </cfRule>
    <cfRule type="expression" dxfId="107" priority="4">
      <formula>$P5="Prequalified"</formula>
    </cfRule>
    <cfRule type="expression" dxfId="106" priority="5">
      <formula>$P5="On Hold"</formula>
    </cfRule>
    <cfRule type="expression" dxfId="105" priority="6">
      <formula>$P5="Disqualified"</formula>
    </cfRule>
  </conditionalFormatting>
  <conditionalFormatting sqref="W5:W300">
    <cfRule type="expression" dxfId="104" priority="7">
      <formula>$W5="High"</formula>
    </cfRule>
    <cfRule type="expression" dxfId="103" priority="8">
      <formula>$W5="FEOC Review"</formula>
    </cfRule>
    <cfRule type="expression" dxfId="102" priority="9">
      <formula>$W5="Medium"</formula>
    </cfRule>
    <cfRule type="expression" dxfId="101" priority="10">
      <formula>$W5="Low"</formula>
    </cfRule>
  </conditionalFormatting>
  <conditionalFormatting sqref="Z5:Z300">
    <cfRule type="expression" dxfId="100" priority="11">
      <formula>AND($Z5&lt;&gt;"",$Z5&lt;TODAY())</formula>
    </cfRule>
  </conditionalFormatting>
  <dataValidations count="6">
    <dataValidation type="list" allowBlank="1" showErrorMessage="1" errorTitle="Invalid entry" error="Pick a value from the list (edit the Lists tab to change options)." sqref="P5:P300" xr:uid="{00000000-0002-0000-0500-000000000000}">
      <formula1>lst_status</formula1>
      <formula2>0</formula2>
    </dataValidation>
    <dataValidation type="list" allowBlank="1" showErrorMessage="1" errorTitle="Invalid entry" error="Pick a value from the list (edit the Lists tab to change options)." sqref="R5:R300" xr:uid="{00000000-0002-0000-0500-000001000000}">
      <formula1>lst_rfx</formula1>
      <formula2>0</formula2>
    </dataValidation>
    <dataValidation type="list" allowBlank="1" showErrorMessage="1" errorTitle="Invalid entry" error="Pick a value from the list (edit the Lists tab to change options)." sqref="T5:T300" xr:uid="{00000000-0002-0000-0500-000002000000}">
      <formula1>lst_fin</formula1>
      <formula2>0</formula2>
    </dataValidation>
    <dataValidation type="list" allowBlank="1" showErrorMessage="1" errorTitle="Invalid entry" error="Pick a value from the list (edit the Lists tab to change options)." sqref="W5:W300" xr:uid="{00000000-0002-0000-0500-000003000000}">
      <formula1>lst_scr</formula1>
      <formula2>0</formula2>
    </dataValidation>
    <dataValidation type="list" allowBlank="1" showErrorMessage="1" errorTitle="Invalid entry" error="Pick a value from the list (edit the Lists tab to change options)." sqref="AB5:AB300" xr:uid="{00000000-0002-0000-0500-000004000000}">
      <formula1>lst_ver</formula1>
      <formula2>0</formula2>
    </dataValidation>
    <dataValidation type="date" operator="greaterThan" allowBlank="1" showErrorMessage="1" error="Enter a date (yyyy-mm-dd)." sqref="Q5:Q300 X5:X300 Z5:Z300" xr:uid="{00000000-0002-0000-0500-000005000000}">
      <formula1>DATE(2020,1,1)</formula1>
      <formula2>0</formula2>
    </dataValidation>
  </dataValidations>
  <hyperlinks>
    <hyperlink ref="I5" r:id="rId1" xr:uid="{00000000-0004-0000-0500-000000000000}"/>
    <hyperlink ref="AC5" r:id="rId2" xr:uid="{00000000-0004-0000-0500-000001000000}"/>
    <hyperlink ref="I6" r:id="rId3" xr:uid="{00000000-0004-0000-0500-000002000000}"/>
    <hyperlink ref="K6" r:id="rId4" xr:uid="{00000000-0004-0000-0500-000003000000}"/>
    <hyperlink ref="AC6" r:id="rId5" xr:uid="{00000000-0004-0000-0500-000004000000}"/>
    <hyperlink ref="I7" r:id="rId6" xr:uid="{00000000-0004-0000-0500-000005000000}"/>
    <hyperlink ref="K7" r:id="rId7" xr:uid="{00000000-0004-0000-0500-000006000000}"/>
    <hyperlink ref="AC7" r:id="rId8" xr:uid="{00000000-0004-0000-0500-000007000000}"/>
    <hyperlink ref="I8" r:id="rId9" xr:uid="{00000000-0004-0000-0500-000008000000}"/>
    <hyperlink ref="K8" r:id="rId10" xr:uid="{00000000-0004-0000-0500-000009000000}"/>
    <hyperlink ref="AC8" r:id="rId11" xr:uid="{00000000-0004-0000-0500-00000A000000}"/>
    <hyperlink ref="I9" r:id="rId12" xr:uid="{00000000-0004-0000-0500-00000B000000}"/>
    <hyperlink ref="K9" r:id="rId13" xr:uid="{00000000-0004-0000-0500-00000C000000}"/>
    <hyperlink ref="AC9" r:id="rId14" xr:uid="{00000000-0004-0000-0500-00000D000000}"/>
    <hyperlink ref="I10" r:id="rId15" xr:uid="{00000000-0004-0000-0500-00000E000000}"/>
    <hyperlink ref="K10" r:id="rId16" xr:uid="{00000000-0004-0000-0500-00000F000000}"/>
    <hyperlink ref="AC10" r:id="rId17" xr:uid="{00000000-0004-0000-0500-000010000000}"/>
    <hyperlink ref="I11" r:id="rId18" xr:uid="{00000000-0004-0000-0500-000011000000}"/>
    <hyperlink ref="K11" r:id="rId19" xr:uid="{00000000-0004-0000-0500-000012000000}"/>
    <hyperlink ref="AC11" r:id="rId20" xr:uid="{00000000-0004-0000-0500-000013000000}"/>
    <hyperlink ref="I12" r:id="rId21" xr:uid="{00000000-0004-0000-0500-000014000000}"/>
    <hyperlink ref="AC12" r:id="rId22" xr:uid="{00000000-0004-0000-0500-000015000000}"/>
  </hyperlinks>
  <pageMargins left="0.75" right="0.75" top="1" bottom="1" header="0.511811023622047" footer="0.511811023622047"/>
  <pageSetup paperSize="9" orientation="portrait" horizontalDpi="300" verticalDpi="300"/>
  <legacyDrawing r:id="rId2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390</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391</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60" x14ac:dyDescent="0.25">
      <c r="A5" s="31" t="s">
        <v>392</v>
      </c>
      <c r="B5" s="31" t="s">
        <v>393</v>
      </c>
      <c r="C5" s="31" t="s">
        <v>394</v>
      </c>
      <c r="D5" s="31" t="s">
        <v>395</v>
      </c>
      <c r="E5" s="31" t="s">
        <v>396</v>
      </c>
      <c r="F5" s="31" t="s">
        <v>138</v>
      </c>
      <c r="G5" s="31"/>
      <c r="H5" s="31"/>
      <c r="I5" s="32" t="s">
        <v>397</v>
      </c>
      <c r="J5" s="31"/>
      <c r="K5" s="32" t="s">
        <v>398</v>
      </c>
      <c r="L5" s="33"/>
      <c r="M5" s="33"/>
      <c r="N5" s="33"/>
      <c r="O5" s="33"/>
      <c r="P5" s="31" t="s">
        <v>19</v>
      </c>
      <c r="Q5" s="34">
        <v>46300</v>
      </c>
      <c r="R5" s="31" t="s">
        <v>126</v>
      </c>
      <c r="S5" s="31" t="s">
        <v>399</v>
      </c>
      <c r="T5" s="31" t="s">
        <v>128</v>
      </c>
      <c r="U5" s="31" t="s">
        <v>400</v>
      </c>
      <c r="V5" s="31" t="s">
        <v>401</v>
      </c>
      <c r="W5" s="31" t="s">
        <v>128</v>
      </c>
      <c r="X5" s="35"/>
      <c r="Y5" s="33"/>
      <c r="Z5" s="35"/>
      <c r="AA5" s="31"/>
      <c r="AB5" s="31" t="s">
        <v>131</v>
      </c>
      <c r="AC5" s="32" t="s">
        <v>398</v>
      </c>
    </row>
    <row r="6" spans="1:29" ht="48" x14ac:dyDescent="0.25">
      <c r="A6" s="31" t="s">
        <v>402</v>
      </c>
      <c r="B6" s="31" t="s">
        <v>403</v>
      </c>
      <c r="C6" s="31" t="s">
        <v>404</v>
      </c>
      <c r="D6" s="31"/>
      <c r="E6" s="31"/>
      <c r="F6" s="31"/>
      <c r="G6" s="31"/>
      <c r="H6" s="31"/>
      <c r="I6" s="32" t="s">
        <v>405</v>
      </c>
      <c r="J6" s="31" t="s">
        <v>406</v>
      </c>
      <c r="K6" s="32" t="s">
        <v>407</v>
      </c>
      <c r="L6" s="33"/>
      <c r="M6" s="33"/>
      <c r="N6" s="33"/>
      <c r="O6" s="33"/>
      <c r="P6" s="31" t="s">
        <v>19</v>
      </c>
      <c r="Q6" s="34">
        <v>46300</v>
      </c>
      <c r="R6" s="31" t="s">
        <v>126</v>
      </c>
      <c r="S6" s="31"/>
      <c r="T6" s="31" t="s">
        <v>128</v>
      </c>
      <c r="U6" s="31"/>
      <c r="V6" s="31" t="s">
        <v>408</v>
      </c>
      <c r="W6" s="31" t="s">
        <v>128</v>
      </c>
      <c r="X6" s="35"/>
      <c r="Y6" s="33"/>
      <c r="Z6" s="35"/>
      <c r="AA6" s="31"/>
      <c r="AB6" s="31" t="s">
        <v>131</v>
      </c>
      <c r="AC6" s="32" t="s">
        <v>409</v>
      </c>
    </row>
    <row r="7" spans="1:29" ht="48" x14ac:dyDescent="0.25">
      <c r="A7" s="31" t="s">
        <v>410</v>
      </c>
      <c r="B7" s="31" t="s">
        <v>411</v>
      </c>
      <c r="C7" s="31" t="s">
        <v>412</v>
      </c>
      <c r="D7" s="31" t="s">
        <v>413</v>
      </c>
      <c r="E7" s="31" t="s">
        <v>396</v>
      </c>
      <c r="F7" s="31" t="s">
        <v>138</v>
      </c>
      <c r="G7" s="31"/>
      <c r="H7" s="31"/>
      <c r="I7" s="32" t="s">
        <v>414</v>
      </c>
      <c r="J7" s="31" t="s">
        <v>415</v>
      </c>
      <c r="K7" s="32" t="s">
        <v>416</v>
      </c>
      <c r="L7" s="33"/>
      <c r="M7" s="33"/>
      <c r="N7" s="33"/>
      <c r="O7" s="33"/>
      <c r="P7" s="31" t="s">
        <v>19</v>
      </c>
      <c r="Q7" s="34">
        <v>46300</v>
      </c>
      <c r="R7" s="31" t="s">
        <v>126</v>
      </c>
      <c r="S7" s="31"/>
      <c r="T7" s="31" t="s">
        <v>128</v>
      </c>
      <c r="U7" s="31"/>
      <c r="V7" s="31" t="s">
        <v>417</v>
      </c>
      <c r="W7" s="31" t="s">
        <v>128</v>
      </c>
      <c r="X7" s="35"/>
      <c r="Y7" s="33"/>
      <c r="Z7" s="35"/>
      <c r="AA7" s="31"/>
      <c r="AB7" s="31" t="s">
        <v>131</v>
      </c>
      <c r="AC7" s="32" t="s">
        <v>414</v>
      </c>
    </row>
    <row r="8" spans="1:29" ht="36" x14ac:dyDescent="0.25">
      <c r="A8" s="31" t="s">
        <v>418</v>
      </c>
      <c r="B8" s="31" t="s">
        <v>419</v>
      </c>
      <c r="C8" s="31" t="s">
        <v>420</v>
      </c>
      <c r="D8" s="31" t="s">
        <v>184</v>
      </c>
      <c r="E8" s="31" t="s">
        <v>185</v>
      </c>
      <c r="F8" s="31" t="s">
        <v>138</v>
      </c>
      <c r="G8" s="31"/>
      <c r="H8" s="31" t="s">
        <v>421</v>
      </c>
      <c r="I8" s="32" t="s">
        <v>422</v>
      </c>
      <c r="J8" s="31" t="s">
        <v>423</v>
      </c>
      <c r="K8" s="32" t="s">
        <v>424</v>
      </c>
      <c r="L8" s="33"/>
      <c r="M8" s="33"/>
      <c r="N8" s="33"/>
      <c r="O8" s="33"/>
      <c r="P8" s="31" t="s">
        <v>19</v>
      </c>
      <c r="Q8" s="34">
        <v>46300</v>
      </c>
      <c r="R8" s="31" t="s">
        <v>126</v>
      </c>
      <c r="S8" s="31" t="s">
        <v>425</v>
      </c>
      <c r="T8" s="31" t="s">
        <v>128</v>
      </c>
      <c r="U8" s="31"/>
      <c r="V8" s="31" t="s">
        <v>426</v>
      </c>
      <c r="W8" s="31" t="s">
        <v>128</v>
      </c>
      <c r="X8" s="35"/>
      <c r="Y8" s="33"/>
      <c r="Z8" s="35"/>
      <c r="AA8" s="31"/>
      <c r="AB8" s="31" t="s">
        <v>131</v>
      </c>
      <c r="AC8" s="32" t="s">
        <v>424</v>
      </c>
    </row>
    <row r="9" spans="1:29" ht="36" x14ac:dyDescent="0.25">
      <c r="A9" s="31" t="s">
        <v>427</v>
      </c>
      <c r="B9" s="31" t="s">
        <v>428</v>
      </c>
      <c r="C9" s="31" t="s">
        <v>429</v>
      </c>
      <c r="D9" s="31" t="s">
        <v>430</v>
      </c>
      <c r="E9" s="31"/>
      <c r="F9" s="31" t="s">
        <v>431</v>
      </c>
      <c r="G9" s="31"/>
      <c r="H9" s="31" t="s">
        <v>432</v>
      </c>
      <c r="I9" s="32" t="s">
        <v>433</v>
      </c>
      <c r="J9" s="31"/>
      <c r="K9" s="32" t="s">
        <v>434</v>
      </c>
      <c r="L9" s="33"/>
      <c r="M9" s="33"/>
      <c r="N9" s="33"/>
      <c r="O9" s="33"/>
      <c r="P9" s="31" t="s">
        <v>19</v>
      </c>
      <c r="Q9" s="34">
        <v>46300</v>
      </c>
      <c r="R9" s="31" t="s">
        <v>126</v>
      </c>
      <c r="S9" s="31" t="s">
        <v>435</v>
      </c>
      <c r="T9" s="31" t="s">
        <v>128</v>
      </c>
      <c r="U9" s="31" t="s">
        <v>436</v>
      </c>
      <c r="V9" s="31" t="s">
        <v>437</v>
      </c>
      <c r="W9" s="31" t="s">
        <v>128</v>
      </c>
      <c r="X9" s="35"/>
      <c r="Y9" s="33"/>
      <c r="Z9" s="35"/>
      <c r="AA9" s="31"/>
      <c r="AB9" s="31" t="s">
        <v>131</v>
      </c>
      <c r="AC9" s="32" t="s">
        <v>438</v>
      </c>
    </row>
    <row r="10" spans="1:29" ht="36" x14ac:dyDescent="0.25">
      <c r="A10" s="31" t="s">
        <v>439</v>
      </c>
      <c r="B10" s="31" t="s">
        <v>440</v>
      </c>
      <c r="C10" s="31" t="s">
        <v>441</v>
      </c>
      <c r="D10" s="31" t="s">
        <v>442</v>
      </c>
      <c r="E10" s="31" t="s">
        <v>301</v>
      </c>
      <c r="F10" s="31" t="s">
        <v>138</v>
      </c>
      <c r="G10" s="31"/>
      <c r="H10" s="31" t="s">
        <v>443</v>
      </c>
      <c r="I10" s="32" t="s">
        <v>444</v>
      </c>
      <c r="J10" s="31" t="s">
        <v>445</v>
      </c>
      <c r="K10" s="32" t="s">
        <v>446</v>
      </c>
      <c r="L10" s="33"/>
      <c r="M10" s="33"/>
      <c r="N10" s="33"/>
      <c r="O10" s="33"/>
      <c r="P10" s="31" t="s">
        <v>19</v>
      </c>
      <c r="Q10" s="34">
        <v>46300</v>
      </c>
      <c r="R10" s="31" t="s">
        <v>126</v>
      </c>
      <c r="S10" s="31" t="s">
        <v>447</v>
      </c>
      <c r="T10" s="31" t="s">
        <v>128</v>
      </c>
      <c r="U10" s="31" t="s">
        <v>448</v>
      </c>
      <c r="V10" s="31" t="s">
        <v>449</v>
      </c>
      <c r="W10" s="31" t="s">
        <v>128</v>
      </c>
      <c r="X10" s="35"/>
      <c r="Y10" s="33"/>
      <c r="Z10" s="35"/>
      <c r="AA10" s="31"/>
      <c r="AB10" s="31" t="s">
        <v>131</v>
      </c>
      <c r="AC10" s="32" t="s">
        <v>450</v>
      </c>
    </row>
    <row r="11" spans="1:29" ht="36" x14ac:dyDescent="0.25">
      <c r="A11" s="31" t="s">
        <v>451</v>
      </c>
      <c r="B11" s="31" t="s">
        <v>452</v>
      </c>
      <c r="C11" s="31" t="s">
        <v>453</v>
      </c>
      <c r="D11" s="31" t="s">
        <v>454</v>
      </c>
      <c r="E11" s="31" t="s">
        <v>137</v>
      </c>
      <c r="F11" s="31" t="s">
        <v>138</v>
      </c>
      <c r="G11" s="31"/>
      <c r="H11" s="31" t="s">
        <v>289</v>
      </c>
      <c r="I11" s="32" t="s">
        <v>455</v>
      </c>
      <c r="J11" s="31" t="s">
        <v>456</v>
      </c>
      <c r="K11" s="31"/>
      <c r="L11" s="33"/>
      <c r="M11" s="33"/>
      <c r="N11" s="33"/>
      <c r="O11" s="33"/>
      <c r="P11" s="31" t="s">
        <v>19</v>
      </c>
      <c r="Q11" s="34">
        <v>46300</v>
      </c>
      <c r="R11" s="31" t="s">
        <v>126</v>
      </c>
      <c r="S11" s="31" t="s">
        <v>457</v>
      </c>
      <c r="T11" s="31" t="s">
        <v>128</v>
      </c>
      <c r="U11" s="31" t="s">
        <v>458</v>
      </c>
      <c r="V11" s="31" t="s">
        <v>459</v>
      </c>
      <c r="W11" s="31" t="s">
        <v>128</v>
      </c>
      <c r="X11" s="35"/>
      <c r="Y11" s="33"/>
      <c r="Z11" s="35"/>
      <c r="AA11" s="31"/>
      <c r="AB11" s="31" t="s">
        <v>131</v>
      </c>
      <c r="AC11" s="32" t="s">
        <v>460</v>
      </c>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1" xr:uid="{00000000-0009-0000-0000-000006000000}"/>
  <mergeCells count="7">
    <mergeCell ref="V3:W3"/>
    <mergeCell ref="X3:AC3"/>
    <mergeCell ref="A3:C3"/>
    <mergeCell ref="D3:H3"/>
    <mergeCell ref="I3:O3"/>
    <mergeCell ref="P3:R3"/>
    <mergeCell ref="S3:U3"/>
  </mergeCells>
  <conditionalFormatting sqref="P5:P300">
    <cfRule type="expression" dxfId="99" priority="2">
      <formula>$P5="AVL"</formula>
    </cfRule>
    <cfRule type="expression" dxfId="98" priority="3">
      <formula>$P5="Qualified"</formula>
    </cfRule>
    <cfRule type="expression" dxfId="97" priority="4">
      <formula>$P5="Prequalified"</formula>
    </cfRule>
    <cfRule type="expression" dxfId="96" priority="5">
      <formula>$P5="On Hold"</formula>
    </cfRule>
    <cfRule type="expression" dxfId="95" priority="6">
      <formula>$P5="Disqualified"</formula>
    </cfRule>
  </conditionalFormatting>
  <conditionalFormatting sqref="W5:W300">
    <cfRule type="expression" dxfId="94" priority="7">
      <formula>$W5="High"</formula>
    </cfRule>
    <cfRule type="expression" dxfId="93" priority="8">
      <formula>$W5="FEOC Review"</formula>
    </cfRule>
    <cfRule type="expression" dxfId="92" priority="9">
      <formula>$W5="Medium"</formula>
    </cfRule>
    <cfRule type="expression" dxfId="91" priority="10">
      <formula>$W5="Low"</formula>
    </cfRule>
  </conditionalFormatting>
  <conditionalFormatting sqref="Z5:Z300">
    <cfRule type="expression" dxfId="90" priority="11">
      <formula>AND($Z5&lt;&gt;"",$Z5&lt;TODAY())</formula>
    </cfRule>
  </conditionalFormatting>
  <dataValidations count="6">
    <dataValidation type="list" allowBlank="1" showErrorMessage="1" errorTitle="Invalid entry" error="Pick a value from the list (edit the Lists tab to change options)." sqref="P5:P300" xr:uid="{00000000-0002-0000-0600-000000000000}">
      <formula1>lst_status</formula1>
      <formula2>0</formula2>
    </dataValidation>
    <dataValidation type="list" allowBlank="1" showErrorMessage="1" errorTitle="Invalid entry" error="Pick a value from the list (edit the Lists tab to change options)." sqref="R5:R300" xr:uid="{00000000-0002-0000-0600-000001000000}">
      <formula1>lst_rfx</formula1>
      <formula2>0</formula2>
    </dataValidation>
    <dataValidation type="list" allowBlank="1" showErrorMessage="1" errorTitle="Invalid entry" error="Pick a value from the list (edit the Lists tab to change options)." sqref="T5:T300" xr:uid="{00000000-0002-0000-0600-000002000000}">
      <formula1>lst_fin</formula1>
      <formula2>0</formula2>
    </dataValidation>
    <dataValidation type="list" allowBlank="1" showErrorMessage="1" errorTitle="Invalid entry" error="Pick a value from the list (edit the Lists tab to change options)." sqref="W5:W300" xr:uid="{00000000-0002-0000-0600-000003000000}">
      <formula1>lst_scr</formula1>
      <formula2>0</formula2>
    </dataValidation>
    <dataValidation type="list" allowBlank="1" showErrorMessage="1" errorTitle="Invalid entry" error="Pick a value from the list (edit the Lists tab to change options)." sqref="AB5:AB300" xr:uid="{00000000-0002-0000-0600-000004000000}">
      <formula1>lst_ver</formula1>
      <formula2>0</formula2>
    </dataValidation>
    <dataValidation type="date" operator="greaterThan" allowBlank="1" showErrorMessage="1" error="Enter a date (yyyy-mm-dd)." sqref="Q5:Q300 X5:X300 Z5:Z300" xr:uid="{00000000-0002-0000-0600-000005000000}">
      <formula1>DATE(2020,1,1)</formula1>
      <formula2>0</formula2>
    </dataValidation>
  </dataValidations>
  <hyperlinks>
    <hyperlink ref="I5" r:id="rId1" xr:uid="{00000000-0004-0000-0600-000000000000}"/>
    <hyperlink ref="K5" r:id="rId2" xr:uid="{00000000-0004-0000-0600-000001000000}"/>
    <hyperlink ref="AC5" r:id="rId3" xr:uid="{00000000-0004-0000-0600-000002000000}"/>
    <hyperlink ref="I6" r:id="rId4" xr:uid="{00000000-0004-0000-0600-000003000000}"/>
    <hyperlink ref="K6" r:id="rId5" xr:uid="{00000000-0004-0000-0600-000004000000}"/>
    <hyperlink ref="AC6" r:id="rId6" xr:uid="{00000000-0004-0000-0600-000005000000}"/>
    <hyperlink ref="I7" r:id="rId7" xr:uid="{00000000-0004-0000-0600-000006000000}"/>
    <hyperlink ref="K7" r:id="rId8" xr:uid="{00000000-0004-0000-0600-000007000000}"/>
    <hyperlink ref="AC7" r:id="rId9" xr:uid="{00000000-0004-0000-0600-000008000000}"/>
    <hyperlink ref="I8" r:id="rId10" xr:uid="{00000000-0004-0000-0600-000009000000}"/>
    <hyperlink ref="K8" r:id="rId11" xr:uid="{00000000-0004-0000-0600-00000A000000}"/>
    <hyperlink ref="AC8" r:id="rId12" xr:uid="{00000000-0004-0000-0600-00000B000000}"/>
    <hyperlink ref="I9" r:id="rId13" xr:uid="{00000000-0004-0000-0600-00000C000000}"/>
    <hyperlink ref="K9" r:id="rId14" xr:uid="{00000000-0004-0000-0600-00000D000000}"/>
    <hyperlink ref="AC9" r:id="rId15" xr:uid="{00000000-0004-0000-0600-00000E000000}"/>
    <hyperlink ref="I10" r:id="rId16" xr:uid="{00000000-0004-0000-0600-00000F000000}"/>
    <hyperlink ref="K10" r:id="rId17" xr:uid="{00000000-0004-0000-0600-000010000000}"/>
    <hyperlink ref="AC10" r:id="rId18" xr:uid="{00000000-0004-0000-0600-000011000000}"/>
    <hyperlink ref="I11" r:id="rId19" xr:uid="{00000000-0004-0000-0600-000012000000}"/>
    <hyperlink ref="AC11" r:id="rId20" xr:uid="{00000000-0004-0000-0600-000013000000}"/>
  </hyperlinks>
  <pageMargins left="0.75" right="0.75" top="1" bottom="1" header="0.511811023622047" footer="0.511811023622047"/>
  <pageSetup paperSize="9" orientation="portrait" horizontalDpi="300" verticalDpi="300"/>
  <legacyDrawing r:id="rId2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461</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462</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60" x14ac:dyDescent="0.25">
      <c r="A5" s="31" t="s">
        <v>463</v>
      </c>
      <c r="B5" s="31" t="s">
        <v>428</v>
      </c>
      <c r="C5" s="31" t="s">
        <v>464</v>
      </c>
      <c r="D5" s="31" t="s">
        <v>465</v>
      </c>
      <c r="E5" s="31"/>
      <c r="F5" s="31" t="s">
        <v>431</v>
      </c>
      <c r="G5" s="31"/>
      <c r="H5" s="31" t="s">
        <v>466</v>
      </c>
      <c r="I5" s="32" t="s">
        <v>467</v>
      </c>
      <c r="J5" s="31" t="s">
        <v>468</v>
      </c>
      <c r="K5" s="32" t="s">
        <v>434</v>
      </c>
      <c r="L5" s="33"/>
      <c r="M5" s="33"/>
      <c r="N5" s="33"/>
      <c r="O5" s="33"/>
      <c r="P5" s="31" t="s">
        <v>19</v>
      </c>
      <c r="Q5" s="34">
        <v>46300</v>
      </c>
      <c r="R5" s="31" t="s">
        <v>126</v>
      </c>
      <c r="S5" s="31" t="s">
        <v>469</v>
      </c>
      <c r="T5" s="31" t="s">
        <v>128</v>
      </c>
      <c r="U5" s="31" t="s">
        <v>470</v>
      </c>
      <c r="V5" s="31" t="s">
        <v>471</v>
      </c>
      <c r="W5" s="31" t="s">
        <v>128</v>
      </c>
      <c r="X5" s="35"/>
      <c r="Y5" s="33"/>
      <c r="Z5" s="35"/>
      <c r="AA5" s="31"/>
      <c r="AB5" s="31" t="s">
        <v>131</v>
      </c>
      <c r="AC5" s="32" t="s">
        <v>472</v>
      </c>
    </row>
    <row r="6" spans="1:29" ht="60" x14ac:dyDescent="0.25">
      <c r="A6" s="31" t="s">
        <v>473</v>
      </c>
      <c r="B6" s="31" t="s">
        <v>474</v>
      </c>
      <c r="C6" s="31" t="s">
        <v>475</v>
      </c>
      <c r="D6" s="31" t="s">
        <v>476</v>
      </c>
      <c r="E6" s="31"/>
      <c r="F6" s="31" t="s">
        <v>477</v>
      </c>
      <c r="G6" s="31"/>
      <c r="H6" s="31"/>
      <c r="I6" s="32" t="s">
        <v>478</v>
      </c>
      <c r="J6" s="31" t="s">
        <v>479</v>
      </c>
      <c r="K6" s="32" t="s">
        <v>480</v>
      </c>
      <c r="L6" s="33"/>
      <c r="M6" s="33"/>
      <c r="N6" s="33"/>
      <c r="O6" s="33"/>
      <c r="P6" s="31" t="s">
        <v>19</v>
      </c>
      <c r="Q6" s="34">
        <v>46300</v>
      </c>
      <c r="R6" s="31" t="s">
        <v>126</v>
      </c>
      <c r="S6" s="31" t="s">
        <v>481</v>
      </c>
      <c r="T6" s="31" t="s">
        <v>128</v>
      </c>
      <c r="U6" s="31" t="s">
        <v>482</v>
      </c>
      <c r="V6" s="31" t="s">
        <v>483</v>
      </c>
      <c r="W6" s="31" t="s">
        <v>128</v>
      </c>
      <c r="X6" s="35"/>
      <c r="Y6" s="33"/>
      <c r="Z6" s="35"/>
      <c r="AA6" s="31"/>
      <c r="AB6" s="31" t="s">
        <v>131</v>
      </c>
      <c r="AC6" s="32" t="s">
        <v>484</v>
      </c>
    </row>
    <row r="7" spans="1:29" ht="48" x14ac:dyDescent="0.25">
      <c r="A7" s="31" t="s">
        <v>485</v>
      </c>
      <c r="B7" s="31" t="s">
        <v>312</v>
      </c>
      <c r="C7" s="31" t="s">
        <v>486</v>
      </c>
      <c r="D7" s="31" t="s">
        <v>314</v>
      </c>
      <c r="E7" s="31" t="s">
        <v>173</v>
      </c>
      <c r="F7" s="31" t="s">
        <v>138</v>
      </c>
      <c r="G7" s="31"/>
      <c r="H7" s="31" t="s">
        <v>487</v>
      </c>
      <c r="I7" s="32" t="s">
        <v>488</v>
      </c>
      <c r="J7" s="31" t="s">
        <v>316</v>
      </c>
      <c r="K7" s="32" t="s">
        <v>317</v>
      </c>
      <c r="L7" s="33"/>
      <c r="M7" s="33"/>
      <c r="N7" s="33"/>
      <c r="O7" s="33"/>
      <c r="P7" s="31" t="s">
        <v>19</v>
      </c>
      <c r="Q7" s="34">
        <v>46300</v>
      </c>
      <c r="R7" s="31" t="s">
        <v>126</v>
      </c>
      <c r="S7" s="31" t="s">
        <v>489</v>
      </c>
      <c r="T7" s="31" t="s">
        <v>128</v>
      </c>
      <c r="U7" s="31" t="s">
        <v>490</v>
      </c>
      <c r="V7" s="31" t="s">
        <v>491</v>
      </c>
      <c r="W7" s="31" t="s">
        <v>128</v>
      </c>
      <c r="X7" s="35"/>
      <c r="Y7" s="33"/>
      <c r="Z7" s="35"/>
      <c r="AA7" s="31"/>
      <c r="AB7" s="31" t="s">
        <v>131</v>
      </c>
      <c r="AC7" s="32" t="s">
        <v>492</v>
      </c>
    </row>
    <row r="8" spans="1:29" ht="48" x14ac:dyDescent="0.25">
      <c r="A8" s="31" t="s">
        <v>493</v>
      </c>
      <c r="B8" s="31" t="s">
        <v>298</v>
      </c>
      <c r="C8" s="31" t="s">
        <v>494</v>
      </c>
      <c r="D8" s="31" t="s">
        <v>300</v>
      </c>
      <c r="E8" s="31" t="s">
        <v>301</v>
      </c>
      <c r="F8" s="31" t="s">
        <v>138</v>
      </c>
      <c r="G8" s="31"/>
      <c r="H8" s="31" t="s">
        <v>495</v>
      </c>
      <c r="I8" s="32" t="s">
        <v>496</v>
      </c>
      <c r="J8" s="31" t="s">
        <v>497</v>
      </c>
      <c r="K8" s="32" t="s">
        <v>304</v>
      </c>
      <c r="L8" s="33"/>
      <c r="M8" s="33"/>
      <c r="N8" s="33"/>
      <c r="O8" s="33"/>
      <c r="P8" s="31" t="s">
        <v>19</v>
      </c>
      <c r="Q8" s="34">
        <v>46300</v>
      </c>
      <c r="R8" s="31" t="s">
        <v>126</v>
      </c>
      <c r="S8" s="31" t="s">
        <v>498</v>
      </c>
      <c r="T8" s="31" t="s">
        <v>128</v>
      </c>
      <c r="U8" s="31" t="s">
        <v>499</v>
      </c>
      <c r="V8" s="31"/>
      <c r="W8" s="31" t="s">
        <v>128</v>
      </c>
      <c r="X8" s="35"/>
      <c r="Y8" s="33"/>
      <c r="Z8" s="35"/>
      <c r="AA8" s="31"/>
      <c r="AB8" s="31" t="s">
        <v>131</v>
      </c>
      <c r="AC8" s="32" t="s">
        <v>304</v>
      </c>
    </row>
    <row r="9" spans="1:29" ht="48" x14ac:dyDescent="0.25">
      <c r="A9" s="31" t="s">
        <v>500</v>
      </c>
      <c r="B9" s="31" t="s">
        <v>501</v>
      </c>
      <c r="C9" s="31" t="s">
        <v>502</v>
      </c>
      <c r="D9" s="31"/>
      <c r="E9" s="31" t="s">
        <v>503</v>
      </c>
      <c r="F9" s="31" t="s">
        <v>138</v>
      </c>
      <c r="G9" s="31"/>
      <c r="H9" s="31"/>
      <c r="I9" s="32" t="s">
        <v>504</v>
      </c>
      <c r="J9" s="31"/>
      <c r="K9" s="31"/>
      <c r="L9" s="33"/>
      <c r="M9" s="33"/>
      <c r="N9" s="33"/>
      <c r="O9" s="33"/>
      <c r="P9" s="31" t="s">
        <v>19</v>
      </c>
      <c r="Q9" s="34">
        <v>46300</v>
      </c>
      <c r="R9" s="31" t="s">
        <v>126</v>
      </c>
      <c r="S9" s="31" t="s">
        <v>505</v>
      </c>
      <c r="T9" s="31" t="s">
        <v>128</v>
      </c>
      <c r="U9" s="31" t="s">
        <v>506</v>
      </c>
      <c r="V9" s="31" t="s">
        <v>507</v>
      </c>
      <c r="W9" s="31" t="s">
        <v>128</v>
      </c>
      <c r="X9" s="35"/>
      <c r="Y9" s="33"/>
      <c r="Z9" s="35"/>
      <c r="AA9" s="31"/>
      <c r="AB9" s="31" t="s">
        <v>131</v>
      </c>
      <c r="AC9" s="32" t="s">
        <v>508</v>
      </c>
    </row>
    <row r="10" spans="1:29" ht="48" x14ac:dyDescent="0.25">
      <c r="A10" s="31" t="s">
        <v>509</v>
      </c>
      <c r="B10" s="31" t="s">
        <v>510</v>
      </c>
      <c r="C10" s="31" t="s">
        <v>511</v>
      </c>
      <c r="D10" s="31" t="s">
        <v>224</v>
      </c>
      <c r="E10" s="31" t="s">
        <v>225</v>
      </c>
      <c r="F10" s="31" t="s">
        <v>138</v>
      </c>
      <c r="G10" s="31"/>
      <c r="H10" s="31" t="s">
        <v>359</v>
      </c>
      <c r="I10" s="32" t="s">
        <v>512</v>
      </c>
      <c r="J10" s="31"/>
      <c r="K10" s="32" t="s">
        <v>513</v>
      </c>
      <c r="L10" s="33"/>
      <c r="M10" s="33"/>
      <c r="N10" s="33"/>
      <c r="O10" s="33"/>
      <c r="P10" s="31" t="s">
        <v>19</v>
      </c>
      <c r="Q10" s="34">
        <v>46300</v>
      </c>
      <c r="R10" s="31" t="s">
        <v>126</v>
      </c>
      <c r="S10" s="31" t="s">
        <v>514</v>
      </c>
      <c r="T10" s="31" t="s">
        <v>128</v>
      </c>
      <c r="U10" s="31" t="s">
        <v>515</v>
      </c>
      <c r="V10" s="31"/>
      <c r="W10" s="31" t="s">
        <v>128</v>
      </c>
      <c r="X10" s="35"/>
      <c r="Y10" s="33"/>
      <c r="Z10" s="35"/>
      <c r="AA10" s="31"/>
      <c r="AB10" s="31" t="s">
        <v>131</v>
      </c>
      <c r="AC10" s="32" t="s">
        <v>516</v>
      </c>
    </row>
    <row r="11" spans="1:29" ht="48" x14ac:dyDescent="0.25">
      <c r="A11" s="31" t="s">
        <v>517</v>
      </c>
      <c r="B11" s="31" t="s">
        <v>518</v>
      </c>
      <c r="C11" s="31" t="s">
        <v>519</v>
      </c>
      <c r="D11" s="31" t="s">
        <v>520</v>
      </c>
      <c r="E11" s="31" t="s">
        <v>521</v>
      </c>
      <c r="F11" s="31" t="s">
        <v>522</v>
      </c>
      <c r="G11" s="31"/>
      <c r="H11" s="31"/>
      <c r="I11" s="32" t="s">
        <v>523</v>
      </c>
      <c r="J11" s="31" t="s">
        <v>524</v>
      </c>
      <c r="K11" s="32" t="s">
        <v>525</v>
      </c>
      <c r="L11" s="33"/>
      <c r="M11" s="33"/>
      <c r="N11" s="33"/>
      <c r="O11" s="33"/>
      <c r="P11" s="31" t="s">
        <v>19</v>
      </c>
      <c r="Q11" s="34">
        <v>46300</v>
      </c>
      <c r="R11" s="31" t="s">
        <v>126</v>
      </c>
      <c r="S11" s="31" t="s">
        <v>526</v>
      </c>
      <c r="T11" s="31" t="s">
        <v>128</v>
      </c>
      <c r="U11" s="31" t="s">
        <v>527</v>
      </c>
      <c r="V11" s="31" t="s">
        <v>528</v>
      </c>
      <c r="W11" s="31" t="s">
        <v>128</v>
      </c>
      <c r="X11" s="35"/>
      <c r="Y11" s="33"/>
      <c r="Z11" s="35"/>
      <c r="AA11" s="31"/>
      <c r="AB11" s="31" t="s">
        <v>131</v>
      </c>
      <c r="AC11" s="32" t="s">
        <v>529</v>
      </c>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1" xr:uid="{00000000-0009-0000-0000-000007000000}"/>
  <mergeCells count="7">
    <mergeCell ref="V3:W3"/>
    <mergeCell ref="X3:AC3"/>
    <mergeCell ref="A3:C3"/>
    <mergeCell ref="D3:H3"/>
    <mergeCell ref="I3:O3"/>
    <mergeCell ref="P3:R3"/>
    <mergeCell ref="S3:U3"/>
  </mergeCells>
  <conditionalFormatting sqref="P5:P300">
    <cfRule type="expression" dxfId="89" priority="2">
      <formula>$P5="AVL"</formula>
    </cfRule>
    <cfRule type="expression" dxfId="88" priority="3">
      <formula>$P5="Qualified"</formula>
    </cfRule>
    <cfRule type="expression" dxfId="87" priority="4">
      <formula>$P5="Prequalified"</formula>
    </cfRule>
    <cfRule type="expression" dxfId="86" priority="5">
      <formula>$P5="On Hold"</formula>
    </cfRule>
    <cfRule type="expression" dxfId="85" priority="6">
      <formula>$P5="Disqualified"</formula>
    </cfRule>
  </conditionalFormatting>
  <conditionalFormatting sqref="W5:W300">
    <cfRule type="expression" dxfId="84" priority="7">
      <formula>$W5="High"</formula>
    </cfRule>
    <cfRule type="expression" dxfId="83" priority="8">
      <formula>$W5="FEOC Review"</formula>
    </cfRule>
    <cfRule type="expression" dxfId="82" priority="9">
      <formula>$W5="Medium"</formula>
    </cfRule>
    <cfRule type="expression" dxfId="81" priority="10">
      <formula>$W5="Low"</formula>
    </cfRule>
  </conditionalFormatting>
  <conditionalFormatting sqref="Z5:Z300">
    <cfRule type="expression" dxfId="80" priority="11">
      <formula>AND($Z5&lt;&gt;"",$Z5&lt;TODAY())</formula>
    </cfRule>
  </conditionalFormatting>
  <dataValidations count="6">
    <dataValidation type="list" allowBlank="1" showErrorMessage="1" errorTitle="Invalid entry" error="Pick a value from the list (edit the Lists tab to change options)." sqref="P5:P300" xr:uid="{00000000-0002-0000-0700-000000000000}">
      <formula1>lst_status</formula1>
      <formula2>0</formula2>
    </dataValidation>
    <dataValidation type="list" allowBlank="1" showErrorMessage="1" errorTitle="Invalid entry" error="Pick a value from the list (edit the Lists tab to change options)." sqref="R5:R300" xr:uid="{00000000-0002-0000-0700-000001000000}">
      <formula1>lst_rfx</formula1>
      <formula2>0</formula2>
    </dataValidation>
    <dataValidation type="list" allowBlank="1" showErrorMessage="1" errorTitle="Invalid entry" error="Pick a value from the list (edit the Lists tab to change options)." sqref="T5:T300" xr:uid="{00000000-0002-0000-0700-000002000000}">
      <formula1>lst_fin</formula1>
      <formula2>0</formula2>
    </dataValidation>
    <dataValidation type="list" allowBlank="1" showErrorMessage="1" errorTitle="Invalid entry" error="Pick a value from the list (edit the Lists tab to change options)." sqref="W5:W300" xr:uid="{00000000-0002-0000-0700-000003000000}">
      <formula1>lst_scr</formula1>
      <formula2>0</formula2>
    </dataValidation>
    <dataValidation type="list" allowBlank="1" showErrorMessage="1" errorTitle="Invalid entry" error="Pick a value from the list (edit the Lists tab to change options)." sqref="AB5:AB300" xr:uid="{00000000-0002-0000-0700-000004000000}">
      <formula1>lst_ver</formula1>
      <formula2>0</formula2>
    </dataValidation>
    <dataValidation type="date" operator="greaterThan" allowBlank="1" showErrorMessage="1" error="Enter a date (yyyy-mm-dd)." sqref="Q5:Q300 X5:X300 Z5:Z300" xr:uid="{00000000-0002-0000-0700-000005000000}">
      <formula1>DATE(2020,1,1)</formula1>
      <formula2>0</formula2>
    </dataValidation>
  </dataValidations>
  <hyperlinks>
    <hyperlink ref="I5" r:id="rId1" xr:uid="{00000000-0004-0000-0700-000000000000}"/>
    <hyperlink ref="K5" r:id="rId2" xr:uid="{00000000-0004-0000-0700-000001000000}"/>
    <hyperlink ref="AC5" r:id="rId3" xr:uid="{00000000-0004-0000-0700-000002000000}"/>
    <hyperlink ref="I6" r:id="rId4" xr:uid="{00000000-0004-0000-0700-000003000000}"/>
    <hyperlink ref="K6" r:id="rId5" xr:uid="{00000000-0004-0000-0700-000004000000}"/>
    <hyperlink ref="AC6" r:id="rId6" xr:uid="{00000000-0004-0000-0700-000005000000}"/>
    <hyperlink ref="I7" r:id="rId7" xr:uid="{00000000-0004-0000-0700-000006000000}"/>
    <hyperlink ref="K7" r:id="rId8" xr:uid="{00000000-0004-0000-0700-000007000000}"/>
    <hyperlink ref="AC7" r:id="rId9" xr:uid="{00000000-0004-0000-0700-000008000000}"/>
    <hyperlink ref="I8" r:id="rId10" xr:uid="{00000000-0004-0000-0700-000009000000}"/>
    <hyperlink ref="K8" r:id="rId11" xr:uid="{00000000-0004-0000-0700-00000A000000}"/>
    <hyperlink ref="AC8" r:id="rId12" xr:uid="{00000000-0004-0000-0700-00000B000000}"/>
    <hyperlink ref="I9" r:id="rId13" xr:uid="{00000000-0004-0000-0700-00000C000000}"/>
    <hyperlink ref="AC9" r:id="rId14" xr:uid="{00000000-0004-0000-0700-00000D000000}"/>
    <hyperlink ref="I10" r:id="rId15" xr:uid="{00000000-0004-0000-0700-00000E000000}"/>
    <hyperlink ref="K10" r:id="rId16" xr:uid="{00000000-0004-0000-0700-00000F000000}"/>
    <hyperlink ref="AC10" r:id="rId17" xr:uid="{00000000-0004-0000-0700-000010000000}"/>
    <hyperlink ref="I11" r:id="rId18" xr:uid="{00000000-0004-0000-0700-000011000000}"/>
    <hyperlink ref="K11" r:id="rId19" xr:uid="{00000000-0004-0000-0700-000012000000}"/>
    <hyperlink ref="AC11" r:id="rId20" xr:uid="{00000000-0004-0000-0700-000013000000}"/>
  </hyperlinks>
  <pageMargins left="0.75" right="0.75" top="1" bottom="1" header="0.511811023622047" footer="0.511811023622047"/>
  <pageSetup paperSize="9" orientation="portrait" horizontalDpi="300" verticalDpi="300"/>
  <legacyDrawing r:id="rId2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C8A"/>
  </sheetPr>
  <dimension ref="A1:AC300"/>
  <sheetViews>
    <sheetView zoomScale="90" zoomScaleNormal="90" workbookViewId="0">
      <pane xSplit="2" ySplit="4" topLeftCell="C7" activePane="bottomRight" state="frozen"/>
      <selection pane="topRight" activeCell="C1" sqref="C1"/>
      <selection pane="bottomLeft" activeCell="A5" sqref="A5"/>
      <selection pane="bottomRight" activeCell="U5" sqref="U5"/>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530</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531</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48" x14ac:dyDescent="0.25">
      <c r="A5" s="31" t="s">
        <v>532</v>
      </c>
      <c r="B5" s="31" t="s">
        <v>273</v>
      </c>
      <c r="C5" s="31" t="s">
        <v>533</v>
      </c>
      <c r="D5" s="31" t="s">
        <v>275</v>
      </c>
      <c r="E5" s="31" t="s">
        <v>276</v>
      </c>
      <c r="F5" s="31" t="s">
        <v>138</v>
      </c>
      <c r="G5" s="31"/>
      <c r="H5" s="31" t="s">
        <v>277</v>
      </c>
      <c r="I5" s="32" t="s">
        <v>534</v>
      </c>
      <c r="J5" s="31" t="s">
        <v>535</v>
      </c>
      <c r="K5" s="32" t="s">
        <v>279</v>
      </c>
      <c r="L5" s="33"/>
      <c r="M5" s="33"/>
      <c r="N5" s="33"/>
      <c r="O5" s="33"/>
      <c r="P5" s="31" t="s">
        <v>19</v>
      </c>
      <c r="Q5" s="34">
        <v>46300</v>
      </c>
      <c r="R5" s="31" t="s">
        <v>126</v>
      </c>
      <c r="S5" s="31" t="s">
        <v>489</v>
      </c>
      <c r="T5" s="31" t="s">
        <v>128</v>
      </c>
      <c r="U5" s="31" t="s">
        <v>536</v>
      </c>
      <c r="V5" s="31"/>
      <c r="W5" s="31" t="s">
        <v>128</v>
      </c>
      <c r="X5" s="35"/>
      <c r="Y5" s="33"/>
      <c r="Z5" s="35"/>
      <c r="AA5" s="31"/>
      <c r="AB5" s="31" t="s">
        <v>131</v>
      </c>
      <c r="AC5" s="32" t="s">
        <v>278</v>
      </c>
    </row>
    <row r="6" spans="1:29" ht="36" x14ac:dyDescent="0.25">
      <c r="A6" s="31" t="s">
        <v>537</v>
      </c>
      <c r="B6" s="31" t="s">
        <v>298</v>
      </c>
      <c r="C6" s="31" t="s">
        <v>538</v>
      </c>
      <c r="D6" s="31" t="s">
        <v>300</v>
      </c>
      <c r="E6" s="31" t="s">
        <v>301</v>
      </c>
      <c r="F6" s="31" t="s">
        <v>138</v>
      </c>
      <c r="G6" s="31"/>
      <c r="H6" s="31" t="s">
        <v>495</v>
      </c>
      <c r="I6" s="32" t="s">
        <v>496</v>
      </c>
      <c r="J6" s="31" t="s">
        <v>497</v>
      </c>
      <c r="K6" s="32" t="s">
        <v>304</v>
      </c>
      <c r="L6" s="33"/>
      <c r="M6" s="33"/>
      <c r="N6" s="33"/>
      <c r="O6" s="33"/>
      <c r="P6" s="31" t="s">
        <v>19</v>
      </c>
      <c r="Q6" s="34">
        <v>46300</v>
      </c>
      <c r="R6" s="31" t="s">
        <v>126</v>
      </c>
      <c r="S6" s="31" t="s">
        <v>498</v>
      </c>
      <c r="T6" s="31" t="s">
        <v>128</v>
      </c>
      <c r="U6" s="31" t="s">
        <v>539</v>
      </c>
      <c r="V6" s="31"/>
      <c r="W6" s="31" t="s">
        <v>128</v>
      </c>
      <c r="X6" s="35"/>
      <c r="Y6" s="33"/>
      <c r="Z6" s="35"/>
      <c r="AA6" s="31"/>
      <c r="AB6" s="31" t="s">
        <v>131</v>
      </c>
      <c r="AC6" s="32" t="s">
        <v>304</v>
      </c>
    </row>
    <row r="7" spans="1:29" ht="60" x14ac:dyDescent="0.25">
      <c r="A7" s="31" t="s">
        <v>540</v>
      </c>
      <c r="B7" s="31" t="s">
        <v>541</v>
      </c>
      <c r="C7" s="31" t="s">
        <v>542</v>
      </c>
      <c r="D7" s="31" t="s">
        <v>323</v>
      </c>
      <c r="E7" s="31" t="s">
        <v>324</v>
      </c>
      <c r="F7" s="31" t="s">
        <v>138</v>
      </c>
      <c r="G7" s="31"/>
      <c r="H7" s="31"/>
      <c r="I7" s="32" t="s">
        <v>543</v>
      </c>
      <c r="J7" s="31"/>
      <c r="K7" s="31"/>
      <c r="L7" s="33"/>
      <c r="M7" s="33"/>
      <c r="N7" s="33"/>
      <c r="O7" s="33"/>
      <c r="P7" s="31" t="s">
        <v>19</v>
      </c>
      <c r="Q7" s="34">
        <v>46300</v>
      </c>
      <c r="R7" s="31" t="s">
        <v>126</v>
      </c>
      <c r="S7" s="31" t="s">
        <v>544</v>
      </c>
      <c r="T7" s="31" t="s">
        <v>128</v>
      </c>
      <c r="U7" s="31" t="s">
        <v>545</v>
      </c>
      <c r="V7" s="31" t="s">
        <v>546</v>
      </c>
      <c r="W7" s="31" t="s">
        <v>128</v>
      </c>
      <c r="X7" s="35"/>
      <c r="Y7" s="33"/>
      <c r="Z7" s="35"/>
      <c r="AA7" s="31"/>
      <c r="AB7" s="31" t="s">
        <v>131</v>
      </c>
      <c r="AC7" s="32" t="s">
        <v>547</v>
      </c>
    </row>
    <row r="8" spans="1:29" ht="60" x14ac:dyDescent="0.25">
      <c r="A8" s="31" t="s">
        <v>548</v>
      </c>
      <c r="B8" s="31" t="s">
        <v>195</v>
      </c>
      <c r="C8" s="31" t="s">
        <v>549</v>
      </c>
      <c r="D8" s="31" t="s">
        <v>197</v>
      </c>
      <c r="E8" s="31" t="s">
        <v>198</v>
      </c>
      <c r="F8" s="31" t="s">
        <v>138</v>
      </c>
      <c r="G8" s="31"/>
      <c r="H8" s="31" t="s">
        <v>199</v>
      </c>
      <c r="I8" s="32" t="s">
        <v>550</v>
      </c>
      <c r="J8" s="31" t="s">
        <v>551</v>
      </c>
      <c r="K8" s="32" t="s">
        <v>202</v>
      </c>
      <c r="L8" s="33"/>
      <c r="M8" s="33"/>
      <c r="N8" s="33"/>
      <c r="O8" s="33"/>
      <c r="P8" s="31" t="s">
        <v>19</v>
      </c>
      <c r="Q8" s="34">
        <v>46300</v>
      </c>
      <c r="R8" s="31" t="s">
        <v>126</v>
      </c>
      <c r="S8" s="31" t="s">
        <v>552</v>
      </c>
      <c r="T8" s="31" t="s">
        <v>128</v>
      </c>
      <c r="U8" s="31" t="s">
        <v>553</v>
      </c>
      <c r="V8" s="31" t="s">
        <v>554</v>
      </c>
      <c r="W8" s="31" t="s">
        <v>128</v>
      </c>
      <c r="X8" s="35"/>
      <c r="Y8" s="33"/>
      <c r="Z8" s="35"/>
      <c r="AA8" s="31"/>
      <c r="AB8" s="31" t="s">
        <v>131</v>
      </c>
      <c r="AC8" s="32" t="s">
        <v>555</v>
      </c>
    </row>
    <row r="9" spans="1:29" ht="48" x14ac:dyDescent="0.25">
      <c r="A9" s="31" t="s">
        <v>556</v>
      </c>
      <c r="B9" s="31" t="s">
        <v>312</v>
      </c>
      <c r="C9" s="31" t="s">
        <v>557</v>
      </c>
      <c r="D9" s="31" t="s">
        <v>314</v>
      </c>
      <c r="E9" s="31" t="s">
        <v>173</v>
      </c>
      <c r="F9" s="31" t="s">
        <v>138</v>
      </c>
      <c r="G9" s="31"/>
      <c r="H9" s="31" t="s">
        <v>558</v>
      </c>
      <c r="I9" s="32" t="s">
        <v>488</v>
      </c>
      <c r="J9" s="31" t="s">
        <v>316</v>
      </c>
      <c r="K9" s="32" t="s">
        <v>317</v>
      </c>
      <c r="L9" s="33"/>
      <c r="M9" s="33"/>
      <c r="N9" s="33"/>
      <c r="O9" s="33"/>
      <c r="P9" s="31" t="s">
        <v>19</v>
      </c>
      <c r="Q9" s="34">
        <v>46300</v>
      </c>
      <c r="R9" s="31" t="s">
        <v>126</v>
      </c>
      <c r="S9" s="31" t="s">
        <v>489</v>
      </c>
      <c r="T9" s="31" t="s">
        <v>128</v>
      </c>
      <c r="U9" s="31" t="s">
        <v>559</v>
      </c>
      <c r="V9" s="31"/>
      <c r="W9" s="31" t="s">
        <v>128</v>
      </c>
      <c r="X9" s="35"/>
      <c r="Y9" s="33"/>
      <c r="Z9" s="35"/>
      <c r="AA9" s="31"/>
      <c r="AB9" s="31" t="s">
        <v>131</v>
      </c>
      <c r="AC9" s="32" t="s">
        <v>492</v>
      </c>
    </row>
    <row r="10" spans="1:29" ht="48" x14ac:dyDescent="0.25">
      <c r="A10" s="31" t="s">
        <v>560</v>
      </c>
      <c r="B10" s="31" t="s">
        <v>510</v>
      </c>
      <c r="C10" s="31" t="s">
        <v>561</v>
      </c>
      <c r="D10" s="31" t="s">
        <v>224</v>
      </c>
      <c r="E10" s="31" t="s">
        <v>225</v>
      </c>
      <c r="F10" s="31" t="s">
        <v>138</v>
      </c>
      <c r="G10" s="31"/>
      <c r="H10" s="31" t="s">
        <v>359</v>
      </c>
      <c r="I10" s="32" t="s">
        <v>512</v>
      </c>
      <c r="J10" s="31"/>
      <c r="K10" s="32" t="s">
        <v>513</v>
      </c>
      <c r="L10" s="33"/>
      <c r="M10" s="33"/>
      <c r="N10" s="33"/>
      <c r="O10" s="33"/>
      <c r="P10" s="31" t="s">
        <v>19</v>
      </c>
      <c r="Q10" s="34">
        <v>46300</v>
      </c>
      <c r="R10" s="31" t="s">
        <v>126</v>
      </c>
      <c r="S10" s="31" t="s">
        <v>514</v>
      </c>
      <c r="T10" s="31" t="s">
        <v>128</v>
      </c>
      <c r="U10" s="31" t="s">
        <v>515</v>
      </c>
      <c r="V10" s="31"/>
      <c r="W10" s="31" t="s">
        <v>128</v>
      </c>
      <c r="X10" s="35"/>
      <c r="Y10" s="33"/>
      <c r="Z10" s="35"/>
      <c r="AA10" s="31"/>
      <c r="AB10" s="31" t="s">
        <v>131</v>
      </c>
      <c r="AC10" s="32" t="s">
        <v>516</v>
      </c>
    </row>
    <row r="11" spans="1:29" ht="36" x14ac:dyDescent="0.25">
      <c r="A11" s="31" t="s">
        <v>562</v>
      </c>
      <c r="B11" s="31" t="s">
        <v>563</v>
      </c>
      <c r="C11" s="31" t="s">
        <v>564</v>
      </c>
      <c r="D11" s="31" t="s">
        <v>259</v>
      </c>
      <c r="E11" s="31" t="s">
        <v>260</v>
      </c>
      <c r="F11" s="31" t="s">
        <v>138</v>
      </c>
      <c r="G11" s="31"/>
      <c r="H11" s="31" t="s">
        <v>565</v>
      </c>
      <c r="I11" s="32" t="s">
        <v>566</v>
      </c>
      <c r="J11" s="31"/>
      <c r="K11" s="32" t="s">
        <v>567</v>
      </c>
      <c r="L11" s="33"/>
      <c r="M11" s="33"/>
      <c r="N11" s="33"/>
      <c r="O11" s="33"/>
      <c r="P11" s="31" t="s">
        <v>19</v>
      </c>
      <c r="Q11" s="34">
        <v>46300</v>
      </c>
      <c r="R11" s="31" t="s">
        <v>126</v>
      </c>
      <c r="S11" s="31" t="s">
        <v>568</v>
      </c>
      <c r="T11" s="31" t="s">
        <v>128</v>
      </c>
      <c r="U11" s="31" t="s">
        <v>569</v>
      </c>
      <c r="V11" s="31"/>
      <c r="W11" s="31" t="s">
        <v>128</v>
      </c>
      <c r="X11" s="35"/>
      <c r="Y11" s="33"/>
      <c r="Z11" s="35"/>
      <c r="AA11" s="31"/>
      <c r="AB11" s="31" t="s">
        <v>131</v>
      </c>
      <c r="AC11" s="32" t="s">
        <v>570</v>
      </c>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1" xr:uid="{00000000-0009-0000-0000-000008000000}"/>
  <mergeCells count="7">
    <mergeCell ref="V3:W3"/>
    <mergeCell ref="X3:AC3"/>
    <mergeCell ref="A3:C3"/>
    <mergeCell ref="D3:H3"/>
    <mergeCell ref="I3:O3"/>
    <mergeCell ref="P3:R3"/>
    <mergeCell ref="S3:U3"/>
  </mergeCells>
  <conditionalFormatting sqref="P5:P300">
    <cfRule type="expression" dxfId="79" priority="2">
      <formula>$P5="AVL"</formula>
    </cfRule>
    <cfRule type="expression" dxfId="78" priority="3">
      <formula>$P5="Qualified"</formula>
    </cfRule>
    <cfRule type="expression" dxfId="77" priority="4">
      <formula>$P5="Prequalified"</formula>
    </cfRule>
    <cfRule type="expression" dxfId="76" priority="5">
      <formula>$P5="On Hold"</formula>
    </cfRule>
    <cfRule type="expression" dxfId="75" priority="6">
      <formula>$P5="Disqualified"</formula>
    </cfRule>
  </conditionalFormatting>
  <conditionalFormatting sqref="W5:W300">
    <cfRule type="expression" dxfId="74" priority="7">
      <formula>$W5="High"</formula>
    </cfRule>
    <cfRule type="expression" dxfId="73" priority="8">
      <formula>$W5="FEOC Review"</formula>
    </cfRule>
    <cfRule type="expression" dxfId="72" priority="9">
      <formula>$W5="Medium"</formula>
    </cfRule>
    <cfRule type="expression" dxfId="71" priority="10">
      <formula>$W5="Low"</formula>
    </cfRule>
  </conditionalFormatting>
  <conditionalFormatting sqref="Z5:Z300">
    <cfRule type="expression" dxfId="70" priority="11">
      <formula>AND($Z5&lt;&gt;"",$Z5&lt;TODAY())</formula>
    </cfRule>
  </conditionalFormatting>
  <dataValidations count="6">
    <dataValidation type="list" allowBlank="1" showErrorMessage="1" errorTitle="Invalid entry" error="Pick a value from the list (edit the Lists tab to change options)." sqref="P5:P300" xr:uid="{00000000-0002-0000-0800-000000000000}">
      <formula1>lst_status</formula1>
      <formula2>0</formula2>
    </dataValidation>
    <dataValidation type="list" allowBlank="1" showErrorMessage="1" errorTitle="Invalid entry" error="Pick a value from the list (edit the Lists tab to change options)." sqref="R5:R300" xr:uid="{00000000-0002-0000-0800-000001000000}">
      <formula1>lst_rfx</formula1>
      <formula2>0</formula2>
    </dataValidation>
    <dataValidation type="list" allowBlank="1" showErrorMessage="1" errorTitle="Invalid entry" error="Pick a value from the list (edit the Lists tab to change options)." sqref="T5:T300" xr:uid="{00000000-0002-0000-0800-000002000000}">
      <formula1>lst_fin</formula1>
      <formula2>0</formula2>
    </dataValidation>
    <dataValidation type="list" allowBlank="1" showErrorMessage="1" errorTitle="Invalid entry" error="Pick a value from the list (edit the Lists tab to change options)." sqref="W5:W300" xr:uid="{00000000-0002-0000-0800-000003000000}">
      <formula1>lst_scr</formula1>
      <formula2>0</formula2>
    </dataValidation>
    <dataValidation type="list" allowBlank="1" showErrorMessage="1" errorTitle="Invalid entry" error="Pick a value from the list (edit the Lists tab to change options)." sqref="AB5:AB300" xr:uid="{00000000-0002-0000-0800-000004000000}">
      <formula1>lst_ver</formula1>
      <formula2>0</formula2>
    </dataValidation>
    <dataValidation type="date" operator="greaterThan" allowBlank="1" showErrorMessage="1" error="Enter a date (yyyy-mm-dd)." sqref="Q5:Q300 X5:X300 Z5:Z300" xr:uid="{00000000-0002-0000-0800-000005000000}">
      <formula1>DATE(2020,1,1)</formula1>
      <formula2>0</formula2>
    </dataValidation>
  </dataValidations>
  <hyperlinks>
    <hyperlink ref="I5" r:id="rId1" xr:uid="{00000000-0004-0000-0800-000000000000}"/>
    <hyperlink ref="K5" r:id="rId2" xr:uid="{00000000-0004-0000-0800-000001000000}"/>
    <hyperlink ref="AC5" r:id="rId3" xr:uid="{00000000-0004-0000-0800-000002000000}"/>
    <hyperlink ref="I6" r:id="rId4" xr:uid="{00000000-0004-0000-0800-000003000000}"/>
    <hyperlink ref="K6" r:id="rId5" xr:uid="{00000000-0004-0000-0800-000004000000}"/>
    <hyperlink ref="AC6" r:id="rId6" xr:uid="{00000000-0004-0000-0800-000005000000}"/>
    <hyperlink ref="I7" r:id="rId7" xr:uid="{00000000-0004-0000-0800-000006000000}"/>
    <hyperlink ref="AC7" r:id="rId8" xr:uid="{00000000-0004-0000-0800-000007000000}"/>
    <hyperlink ref="I8" r:id="rId9" xr:uid="{00000000-0004-0000-0800-000008000000}"/>
    <hyperlink ref="K8" r:id="rId10" xr:uid="{00000000-0004-0000-0800-000009000000}"/>
    <hyperlink ref="AC8" r:id="rId11" xr:uid="{00000000-0004-0000-0800-00000A000000}"/>
    <hyperlink ref="I9" r:id="rId12" xr:uid="{00000000-0004-0000-0800-00000B000000}"/>
    <hyperlink ref="K9" r:id="rId13" xr:uid="{00000000-0004-0000-0800-00000C000000}"/>
    <hyperlink ref="AC9" r:id="rId14" xr:uid="{00000000-0004-0000-0800-00000D000000}"/>
    <hyperlink ref="I10" r:id="rId15" xr:uid="{00000000-0004-0000-0800-00000E000000}"/>
    <hyperlink ref="K10" r:id="rId16" xr:uid="{00000000-0004-0000-0800-00000F000000}"/>
    <hyperlink ref="AC10" r:id="rId17" xr:uid="{00000000-0004-0000-0800-000010000000}"/>
    <hyperlink ref="I11" r:id="rId18" xr:uid="{00000000-0004-0000-0800-000011000000}"/>
    <hyperlink ref="K11" r:id="rId19" xr:uid="{00000000-0004-0000-0800-000012000000}"/>
    <hyperlink ref="AC11" r:id="rId20" xr:uid="{00000000-0004-0000-0800-000013000000}"/>
  </hyperlinks>
  <pageMargins left="0.75" right="0.75" top="1" bottom="1" header="0.511811023622047" footer="0.511811023622047"/>
  <pageSetup paperSize="9" orientation="portrait" horizontalDpi="300" verticalDpi="300"/>
  <legacyDrawing r:id="rId2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571</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572</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111</v>
      </c>
      <c r="W4" s="30" t="s">
        <v>112</v>
      </c>
      <c r="X4" s="30" t="s">
        <v>113</v>
      </c>
      <c r="Y4" s="30" t="s">
        <v>114</v>
      </c>
      <c r="Z4" s="30" t="s">
        <v>115</v>
      </c>
      <c r="AA4" s="30" t="s">
        <v>116</v>
      </c>
      <c r="AB4" s="30" t="s">
        <v>117</v>
      </c>
      <c r="AC4" s="30" t="s">
        <v>118</v>
      </c>
    </row>
    <row r="5" spans="1:29" ht="48" x14ac:dyDescent="0.25">
      <c r="A5" s="31" t="s">
        <v>573</v>
      </c>
      <c r="B5" s="31" t="s">
        <v>428</v>
      </c>
      <c r="C5" s="31" t="s">
        <v>574</v>
      </c>
      <c r="D5" s="31" t="s">
        <v>465</v>
      </c>
      <c r="E5" s="31"/>
      <c r="F5" s="31" t="s">
        <v>431</v>
      </c>
      <c r="G5" s="31"/>
      <c r="H5" s="31" t="s">
        <v>466</v>
      </c>
      <c r="I5" s="32" t="s">
        <v>467</v>
      </c>
      <c r="J5" s="31" t="s">
        <v>468</v>
      </c>
      <c r="K5" s="32" t="s">
        <v>434</v>
      </c>
      <c r="L5" s="33"/>
      <c r="M5" s="33"/>
      <c r="N5" s="33"/>
      <c r="O5" s="33"/>
      <c r="P5" s="31" t="s">
        <v>19</v>
      </c>
      <c r="Q5" s="34">
        <v>46300</v>
      </c>
      <c r="R5" s="31" t="s">
        <v>126</v>
      </c>
      <c r="S5" s="31" t="s">
        <v>469</v>
      </c>
      <c r="T5" s="31" t="s">
        <v>128</v>
      </c>
      <c r="U5" s="31" t="s">
        <v>575</v>
      </c>
      <c r="V5" s="31" t="s">
        <v>576</v>
      </c>
      <c r="W5" s="31" t="s">
        <v>128</v>
      </c>
      <c r="X5" s="35"/>
      <c r="Y5" s="33"/>
      <c r="Z5" s="35"/>
      <c r="AA5" s="31"/>
      <c r="AB5" s="31" t="s">
        <v>131</v>
      </c>
      <c r="AC5" s="32" t="s">
        <v>577</v>
      </c>
    </row>
    <row r="6" spans="1:29" ht="60" x14ac:dyDescent="0.25">
      <c r="A6" s="31" t="s">
        <v>578</v>
      </c>
      <c r="B6" s="31" t="s">
        <v>474</v>
      </c>
      <c r="C6" s="31" t="s">
        <v>579</v>
      </c>
      <c r="D6" s="31" t="s">
        <v>476</v>
      </c>
      <c r="E6" s="31"/>
      <c r="F6" s="31" t="s">
        <v>477</v>
      </c>
      <c r="G6" s="31"/>
      <c r="H6" s="31"/>
      <c r="I6" s="32" t="s">
        <v>478</v>
      </c>
      <c r="J6" s="31" t="s">
        <v>580</v>
      </c>
      <c r="K6" s="32" t="s">
        <v>480</v>
      </c>
      <c r="L6" s="33"/>
      <c r="M6" s="33"/>
      <c r="N6" s="33"/>
      <c r="O6" s="33"/>
      <c r="P6" s="31" t="s">
        <v>19</v>
      </c>
      <c r="Q6" s="34">
        <v>46300</v>
      </c>
      <c r="R6" s="31" t="s">
        <v>126</v>
      </c>
      <c r="S6" s="31" t="s">
        <v>581</v>
      </c>
      <c r="T6" s="31" t="s">
        <v>128</v>
      </c>
      <c r="U6" s="31" t="s">
        <v>582</v>
      </c>
      <c r="V6" s="31" t="s">
        <v>583</v>
      </c>
      <c r="W6" s="31" t="s">
        <v>128</v>
      </c>
      <c r="X6" s="35"/>
      <c r="Y6" s="33"/>
      <c r="Z6" s="35"/>
      <c r="AA6" s="31"/>
      <c r="AB6" s="31" t="s">
        <v>131</v>
      </c>
      <c r="AC6" s="32" t="s">
        <v>584</v>
      </c>
    </row>
    <row r="7" spans="1:29" ht="48" x14ac:dyDescent="0.25">
      <c r="A7" s="31" t="s">
        <v>585</v>
      </c>
      <c r="B7" s="31" t="s">
        <v>586</v>
      </c>
      <c r="C7" s="31" t="s">
        <v>587</v>
      </c>
      <c r="D7" s="31" t="s">
        <v>259</v>
      </c>
      <c r="E7" s="31" t="s">
        <v>260</v>
      </c>
      <c r="F7" s="31" t="s">
        <v>138</v>
      </c>
      <c r="G7" s="31"/>
      <c r="H7" s="31"/>
      <c r="I7" s="32" t="s">
        <v>588</v>
      </c>
      <c r="J7" s="31" t="s">
        <v>589</v>
      </c>
      <c r="K7" s="32" t="s">
        <v>590</v>
      </c>
      <c r="L7" s="33"/>
      <c r="M7" s="33"/>
      <c r="N7" s="33"/>
      <c r="O7" s="33"/>
      <c r="P7" s="31" t="s">
        <v>19</v>
      </c>
      <c r="Q7" s="34">
        <v>46300</v>
      </c>
      <c r="R7" s="31" t="s">
        <v>126</v>
      </c>
      <c r="S7" s="31" t="s">
        <v>383</v>
      </c>
      <c r="T7" s="31" t="s">
        <v>128</v>
      </c>
      <c r="U7" s="31" t="s">
        <v>591</v>
      </c>
      <c r="V7" s="31"/>
      <c r="W7" s="31" t="s">
        <v>128</v>
      </c>
      <c r="X7" s="35"/>
      <c r="Y7" s="33"/>
      <c r="Z7" s="35"/>
      <c r="AA7" s="31"/>
      <c r="AB7" s="31" t="s">
        <v>131</v>
      </c>
      <c r="AC7" s="32" t="s">
        <v>592</v>
      </c>
    </row>
    <row r="8" spans="1:29" ht="36" x14ac:dyDescent="0.25">
      <c r="A8" s="31" t="s">
        <v>593</v>
      </c>
      <c r="B8" s="31" t="s">
        <v>298</v>
      </c>
      <c r="C8" s="31" t="s">
        <v>594</v>
      </c>
      <c r="D8" s="31" t="s">
        <v>300</v>
      </c>
      <c r="E8" s="31" t="s">
        <v>301</v>
      </c>
      <c r="F8" s="31" t="s">
        <v>138</v>
      </c>
      <c r="G8" s="31"/>
      <c r="H8" s="31" t="s">
        <v>495</v>
      </c>
      <c r="I8" s="32" t="s">
        <v>496</v>
      </c>
      <c r="J8" s="31" t="s">
        <v>497</v>
      </c>
      <c r="K8" s="32" t="s">
        <v>304</v>
      </c>
      <c r="L8" s="33"/>
      <c r="M8" s="33"/>
      <c r="N8" s="33"/>
      <c r="O8" s="33"/>
      <c r="P8" s="31" t="s">
        <v>19</v>
      </c>
      <c r="Q8" s="34">
        <v>46300</v>
      </c>
      <c r="R8" s="31" t="s">
        <v>126</v>
      </c>
      <c r="S8" s="31" t="s">
        <v>498</v>
      </c>
      <c r="T8" s="31" t="s">
        <v>128</v>
      </c>
      <c r="U8" s="31" t="s">
        <v>595</v>
      </c>
      <c r="V8" s="31"/>
      <c r="W8" s="31" t="s">
        <v>128</v>
      </c>
      <c r="X8" s="35"/>
      <c r="Y8" s="33"/>
      <c r="Z8" s="35"/>
      <c r="AA8" s="31"/>
      <c r="AB8" s="31" t="s">
        <v>131</v>
      </c>
      <c r="AC8" s="32" t="s">
        <v>596</v>
      </c>
    </row>
    <row r="9" spans="1:29" ht="48" x14ac:dyDescent="0.25">
      <c r="A9" s="31" t="s">
        <v>597</v>
      </c>
      <c r="B9" s="31" t="s">
        <v>518</v>
      </c>
      <c r="C9" s="31" t="s">
        <v>598</v>
      </c>
      <c r="D9" s="31" t="s">
        <v>520</v>
      </c>
      <c r="E9" s="31" t="s">
        <v>521</v>
      </c>
      <c r="F9" s="31" t="s">
        <v>522</v>
      </c>
      <c r="G9" s="31"/>
      <c r="H9" s="31"/>
      <c r="I9" s="32" t="s">
        <v>523</v>
      </c>
      <c r="J9" s="31" t="s">
        <v>524</v>
      </c>
      <c r="K9" s="32" t="s">
        <v>525</v>
      </c>
      <c r="L9" s="33"/>
      <c r="M9" s="33"/>
      <c r="N9" s="33"/>
      <c r="O9" s="33"/>
      <c r="P9" s="31" t="s">
        <v>19</v>
      </c>
      <c r="Q9" s="34">
        <v>46300</v>
      </c>
      <c r="R9" s="31" t="s">
        <v>126</v>
      </c>
      <c r="S9" s="31" t="s">
        <v>526</v>
      </c>
      <c r="T9" s="31" t="s">
        <v>128</v>
      </c>
      <c r="U9" s="31" t="s">
        <v>599</v>
      </c>
      <c r="V9" s="31" t="s">
        <v>528</v>
      </c>
      <c r="W9" s="31" t="s">
        <v>128</v>
      </c>
      <c r="X9" s="35"/>
      <c r="Y9" s="33"/>
      <c r="Z9" s="35"/>
      <c r="AA9" s="31"/>
      <c r="AB9" s="31" t="s">
        <v>131</v>
      </c>
      <c r="AC9" s="32" t="s">
        <v>600</v>
      </c>
    </row>
    <row r="10" spans="1:29" ht="48" x14ac:dyDescent="0.25">
      <c r="A10" s="31" t="s">
        <v>601</v>
      </c>
      <c r="B10" s="31" t="s">
        <v>602</v>
      </c>
      <c r="C10" s="31" t="s">
        <v>603</v>
      </c>
      <c r="D10" s="31" t="s">
        <v>442</v>
      </c>
      <c r="E10" s="31" t="s">
        <v>301</v>
      </c>
      <c r="F10" s="31" t="s">
        <v>138</v>
      </c>
      <c r="G10" s="31"/>
      <c r="H10" s="31"/>
      <c r="I10" s="32" t="s">
        <v>604</v>
      </c>
      <c r="J10" s="31" t="s">
        <v>605</v>
      </c>
      <c r="K10" s="31"/>
      <c r="L10" s="33"/>
      <c r="M10" s="33"/>
      <c r="N10" s="33"/>
      <c r="O10" s="33"/>
      <c r="P10" s="31" t="s">
        <v>19</v>
      </c>
      <c r="Q10" s="34">
        <v>46300</v>
      </c>
      <c r="R10" s="31" t="s">
        <v>126</v>
      </c>
      <c r="S10" s="31" t="s">
        <v>606</v>
      </c>
      <c r="T10" s="31" t="s">
        <v>128</v>
      </c>
      <c r="U10" s="31" t="s">
        <v>607</v>
      </c>
      <c r="V10" s="31"/>
      <c r="W10" s="31" t="s">
        <v>128</v>
      </c>
      <c r="X10" s="35"/>
      <c r="Y10" s="33"/>
      <c r="Z10" s="35"/>
      <c r="AA10" s="31"/>
      <c r="AB10" s="31" t="s">
        <v>131</v>
      </c>
      <c r="AC10" s="32" t="s">
        <v>608</v>
      </c>
    </row>
    <row r="11" spans="1:29" x14ac:dyDescent="0.25">
      <c r="A11" s="31"/>
      <c r="B11" s="31"/>
      <c r="C11" s="31"/>
      <c r="D11" s="31"/>
      <c r="E11" s="31"/>
      <c r="F11" s="31"/>
      <c r="G11" s="31"/>
      <c r="H11" s="31"/>
      <c r="I11" s="31"/>
      <c r="J11" s="31"/>
      <c r="K11" s="31"/>
      <c r="L11" s="33"/>
      <c r="M11" s="33"/>
      <c r="N11" s="33"/>
      <c r="O11" s="33"/>
      <c r="P11" s="31"/>
      <c r="Q11" s="34"/>
      <c r="R11" s="31"/>
      <c r="S11" s="31"/>
      <c r="T11" s="31"/>
      <c r="U11" s="31"/>
      <c r="V11" s="31"/>
      <c r="W11" s="31"/>
      <c r="X11" s="35"/>
      <c r="Y11" s="33"/>
      <c r="Z11" s="35"/>
      <c r="AA11" s="31"/>
      <c r="AB11" s="31"/>
      <c r="AC11" s="31"/>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6"/>
      <c r="B26" s="36"/>
      <c r="C26" s="36"/>
      <c r="D26" s="36"/>
      <c r="E26" s="36"/>
      <c r="F26" s="36"/>
      <c r="G26" s="36"/>
      <c r="H26" s="36"/>
      <c r="I26" s="36"/>
      <c r="J26" s="36"/>
      <c r="K26" s="36"/>
      <c r="L26" s="37"/>
      <c r="M26" s="37"/>
      <c r="N26" s="37"/>
      <c r="O26" s="37"/>
      <c r="P26" s="36"/>
      <c r="Q26" s="38"/>
      <c r="R26" s="36"/>
      <c r="S26" s="36"/>
      <c r="T26" s="36"/>
      <c r="U26" s="36"/>
      <c r="V26" s="36"/>
      <c r="W26" s="36"/>
      <c r="X26" s="39"/>
      <c r="Y26" s="37"/>
      <c r="Z26" s="39"/>
      <c r="AA26" s="36"/>
      <c r="AB26" s="36"/>
      <c r="AC26" s="36"/>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0" xr:uid="{00000000-0009-0000-0000-000009000000}"/>
  <mergeCells count="7">
    <mergeCell ref="V3:W3"/>
    <mergeCell ref="X3:AC3"/>
    <mergeCell ref="A3:C3"/>
    <mergeCell ref="D3:H3"/>
    <mergeCell ref="I3:O3"/>
    <mergeCell ref="P3:R3"/>
    <mergeCell ref="S3:U3"/>
  </mergeCells>
  <conditionalFormatting sqref="P5:P300">
    <cfRule type="expression" dxfId="69" priority="2">
      <formula>$P5="AVL"</formula>
    </cfRule>
    <cfRule type="expression" dxfId="68" priority="3">
      <formula>$P5="Qualified"</formula>
    </cfRule>
    <cfRule type="expression" dxfId="67" priority="4">
      <formula>$P5="Prequalified"</formula>
    </cfRule>
    <cfRule type="expression" dxfId="66" priority="5">
      <formula>$P5="On Hold"</formula>
    </cfRule>
    <cfRule type="expression" dxfId="65" priority="6">
      <formula>$P5="Disqualified"</formula>
    </cfRule>
  </conditionalFormatting>
  <conditionalFormatting sqref="W5:W300">
    <cfRule type="expression" dxfId="64" priority="7">
      <formula>$W5="High"</formula>
    </cfRule>
    <cfRule type="expression" dxfId="63" priority="8">
      <formula>$W5="FEOC Review"</formula>
    </cfRule>
    <cfRule type="expression" dxfId="62" priority="9">
      <formula>$W5="Medium"</formula>
    </cfRule>
    <cfRule type="expression" dxfId="61" priority="10">
      <formula>$W5="Low"</formula>
    </cfRule>
  </conditionalFormatting>
  <conditionalFormatting sqref="Z5:Z300">
    <cfRule type="expression" dxfId="60" priority="11">
      <formula>AND($Z5&lt;&gt;"",$Z5&lt;TODAY())</formula>
    </cfRule>
  </conditionalFormatting>
  <dataValidations count="6">
    <dataValidation type="list" allowBlank="1" showErrorMessage="1" errorTitle="Invalid entry" error="Pick a value from the list (edit the Lists tab to change options)." sqref="P5:P300" xr:uid="{00000000-0002-0000-0900-000000000000}">
      <formula1>lst_status</formula1>
      <formula2>0</formula2>
    </dataValidation>
    <dataValidation type="list" allowBlank="1" showErrorMessage="1" errorTitle="Invalid entry" error="Pick a value from the list (edit the Lists tab to change options)." sqref="R5:R300" xr:uid="{00000000-0002-0000-0900-000001000000}">
      <formula1>lst_rfx</formula1>
      <formula2>0</formula2>
    </dataValidation>
    <dataValidation type="list" allowBlank="1" showErrorMessage="1" errorTitle="Invalid entry" error="Pick a value from the list (edit the Lists tab to change options)." sqref="T5:T300" xr:uid="{00000000-0002-0000-0900-000002000000}">
      <formula1>lst_fin</formula1>
      <formula2>0</formula2>
    </dataValidation>
    <dataValidation type="list" allowBlank="1" showErrorMessage="1" errorTitle="Invalid entry" error="Pick a value from the list (edit the Lists tab to change options)." sqref="W5:W300" xr:uid="{00000000-0002-0000-0900-000003000000}">
      <formula1>lst_scr</formula1>
      <formula2>0</formula2>
    </dataValidation>
    <dataValidation type="list" allowBlank="1" showErrorMessage="1" errorTitle="Invalid entry" error="Pick a value from the list (edit the Lists tab to change options)." sqref="AB5:AB300" xr:uid="{00000000-0002-0000-0900-000004000000}">
      <formula1>lst_ver</formula1>
      <formula2>0</formula2>
    </dataValidation>
    <dataValidation type="date" operator="greaterThan" allowBlank="1" showErrorMessage="1" error="Enter a date (yyyy-mm-dd)." sqref="Q5:Q300 X5:X300 Z5:Z300" xr:uid="{00000000-0002-0000-0900-000005000000}">
      <formula1>DATE(2020,1,1)</formula1>
      <formula2>0</formula2>
    </dataValidation>
  </dataValidations>
  <hyperlinks>
    <hyperlink ref="I5" r:id="rId1" xr:uid="{00000000-0004-0000-0900-000000000000}"/>
    <hyperlink ref="K5" r:id="rId2" xr:uid="{00000000-0004-0000-0900-000001000000}"/>
    <hyperlink ref="AC5" r:id="rId3" xr:uid="{00000000-0004-0000-0900-000002000000}"/>
    <hyperlink ref="I6" r:id="rId4" xr:uid="{00000000-0004-0000-0900-000003000000}"/>
    <hyperlink ref="K6" r:id="rId5" xr:uid="{00000000-0004-0000-0900-000004000000}"/>
    <hyperlink ref="AC6" r:id="rId6" xr:uid="{00000000-0004-0000-0900-000005000000}"/>
    <hyperlink ref="I7" r:id="rId7" xr:uid="{00000000-0004-0000-0900-000006000000}"/>
    <hyperlink ref="K7" r:id="rId8" xr:uid="{00000000-0004-0000-0900-000007000000}"/>
    <hyperlink ref="AC7" r:id="rId9" xr:uid="{00000000-0004-0000-0900-000008000000}"/>
    <hyperlink ref="I8" r:id="rId10" xr:uid="{00000000-0004-0000-0900-000009000000}"/>
    <hyperlink ref="K8" r:id="rId11" xr:uid="{00000000-0004-0000-0900-00000A000000}"/>
    <hyperlink ref="AC8" r:id="rId12" xr:uid="{00000000-0004-0000-0900-00000B000000}"/>
    <hyperlink ref="I9" r:id="rId13" xr:uid="{00000000-0004-0000-0900-00000C000000}"/>
    <hyperlink ref="K9" r:id="rId14" xr:uid="{00000000-0004-0000-0900-00000D000000}"/>
    <hyperlink ref="AC9" r:id="rId15" xr:uid="{00000000-0004-0000-0900-00000E000000}"/>
    <hyperlink ref="I10" r:id="rId16" xr:uid="{00000000-0004-0000-0900-00000F000000}"/>
    <hyperlink ref="AC10" r:id="rId17" xr:uid="{00000000-0004-0000-0900-000010000000}"/>
  </hyperlinks>
  <pageMargins left="0.75" right="0.75" top="1" bottom="1" header="0.511811023622047" footer="0.511811023622047"/>
  <pageSetup paperSize="9" orientation="portrait" horizontalDpi="300" verticalDpi="300"/>
  <legacyDrawing r:id="rId1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D32"/>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609</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610</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611</v>
      </c>
      <c r="W4" s="30" t="s">
        <v>112</v>
      </c>
      <c r="X4" s="30" t="s">
        <v>113</v>
      </c>
      <c r="Y4" s="30" t="s">
        <v>114</v>
      </c>
      <c r="Z4" s="30" t="s">
        <v>115</v>
      </c>
      <c r="AA4" s="30" t="s">
        <v>116</v>
      </c>
      <c r="AB4" s="30" t="s">
        <v>117</v>
      </c>
      <c r="AC4" s="30" t="s">
        <v>118</v>
      </c>
    </row>
    <row r="5" spans="1:29" ht="108" x14ac:dyDescent="0.25">
      <c r="A5" s="31" t="s">
        <v>612</v>
      </c>
      <c r="B5" s="31" t="s">
        <v>613</v>
      </c>
      <c r="C5" s="31" t="s">
        <v>614</v>
      </c>
      <c r="D5" s="31" t="s">
        <v>359</v>
      </c>
      <c r="E5" s="31" t="s">
        <v>198</v>
      </c>
      <c r="F5" s="31" t="s">
        <v>138</v>
      </c>
      <c r="G5" s="31"/>
      <c r="H5" s="31" t="s">
        <v>615</v>
      </c>
      <c r="I5" s="32" t="s">
        <v>616</v>
      </c>
      <c r="J5" s="31"/>
      <c r="K5" s="32" t="s">
        <v>616</v>
      </c>
      <c r="L5" s="33"/>
      <c r="M5" s="33"/>
      <c r="N5" s="33"/>
      <c r="O5" s="33"/>
      <c r="P5" s="31" t="s">
        <v>19</v>
      </c>
      <c r="Q5" s="34">
        <v>46300</v>
      </c>
      <c r="R5" s="31" t="s">
        <v>126</v>
      </c>
      <c r="S5" s="31" t="s">
        <v>617</v>
      </c>
      <c r="T5" s="31" t="s">
        <v>128</v>
      </c>
      <c r="U5" s="31" t="s">
        <v>618</v>
      </c>
      <c r="V5" s="31" t="s">
        <v>619</v>
      </c>
      <c r="W5" s="31" t="s">
        <v>68</v>
      </c>
      <c r="X5" s="35"/>
      <c r="Y5" s="33"/>
      <c r="Z5" s="35"/>
      <c r="AA5" s="31"/>
      <c r="AB5" s="31" t="s">
        <v>131</v>
      </c>
      <c r="AC5" s="32" t="s">
        <v>616</v>
      </c>
    </row>
    <row r="6" spans="1:29" ht="60" x14ac:dyDescent="0.25">
      <c r="A6" s="31" t="s">
        <v>620</v>
      </c>
      <c r="B6" s="31" t="s">
        <v>621</v>
      </c>
      <c r="C6" s="31" t="s">
        <v>622</v>
      </c>
      <c r="D6" s="31" t="s">
        <v>623</v>
      </c>
      <c r="E6" s="31" t="s">
        <v>260</v>
      </c>
      <c r="F6" s="31" t="s">
        <v>138</v>
      </c>
      <c r="G6" s="31"/>
      <c r="H6" s="31"/>
      <c r="I6" s="32" t="s">
        <v>624</v>
      </c>
      <c r="J6" s="31"/>
      <c r="K6" s="31"/>
      <c r="L6" s="33"/>
      <c r="M6" s="33"/>
      <c r="N6" s="33"/>
      <c r="O6" s="33"/>
      <c r="P6" s="31" t="s">
        <v>19</v>
      </c>
      <c r="Q6" s="34">
        <v>46300</v>
      </c>
      <c r="R6" s="31" t="s">
        <v>126</v>
      </c>
      <c r="S6" s="31" t="s">
        <v>625</v>
      </c>
      <c r="T6" s="31" t="s">
        <v>128</v>
      </c>
      <c r="U6" s="31" t="s">
        <v>626</v>
      </c>
      <c r="V6" s="31" t="s">
        <v>627</v>
      </c>
      <c r="W6" s="31" t="s">
        <v>68</v>
      </c>
      <c r="X6" s="35"/>
      <c r="Y6" s="33"/>
      <c r="Z6" s="35"/>
      <c r="AA6" s="31"/>
      <c r="AB6" s="31" t="s">
        <v>131</v>
      </c>
      <c r="AC6" s="32" t="s">
        <v>628</v>
      </c>
    </row>
    <row r="7" spans="1:29" ht="60" x14ac:dyDescent="0.25">
      <c r="A7" s="31" t="s">
        <v>629</v>
      </c>
      <c r="B7" s="31" t="s">
        <v>630</v>
      </c>
      <c r="C7" s="31" t="s">
        <v>631</v>
      </c>
      <c r="D7" s="31" t="s">
        <v>632</v>
      </c>
      <c r="E7" s="31" t="s">
        <v>633</v>
      </c>
      <c r="F7" s="31" t="s">
        <v>634</v>
      </c>
      <c r="G7" s="31" t="s">
        <v>635</v>
      </c>
      <c r="H7" s="31"/>
      <c r="I7" s="32" t="s">
        <v>636</v>
      </c>
      <c r="J7" s="31" t="s">
        <v>637</v>
      </c>
      <c r="K7" s="32" t="s">
        <v>638</v>
      </c>
      <c r="L7" s="33"/>
      <c r="M7" s="33"/>
      <c r="N7" s="33"/>
      <c r="O7" s="33"/>
      <c r="P7" s="31" t="s">
        <v>19</v>
      </c>
      <c r="Q7" s="34">
        <v>46300</v>
      </c>
      <c r="R7" s="31" t="s">
        <v>126</v>
      </c>
      <c r="S7" s="31" t="s">
        <v>639</v>
      </c>
      <c r="T7" s="31" t="s">
        <v>128</v>
      </c>
      <c r="U7" s="31" t="s">
        <v>640</v>
      </c>
      <c r="V7" s="31" t="s">
        <v>641</v>
      </c>
      <c r="W7" s="31" t="s">
        <v>68</v>
      </c>
      <c r="X7" s="35"/>
      <c r="Y7" s="33"/>
      <c r="Z7" s="35"/>
      <c r="AA7" s="31"/>
      <c r="AB7" s="31" t="s">
        <v>131</v>
      </c>
      <c r="AC7" s="32" t="s">
        <v>642</v>
      </c>
    </row>
    <row r="8" spans="1:29" ht="72" x14ac:dyDescent="0.25">
      <c r="A8" s="31" t="s">
        <v>643</v>
      </c>
      <c r="B8" s="31" t="s">
        <v>644</v>
      </c>
      <c r="C8" s="31" t="s">
        <v>645</v>
      </c>
      <c r="D8" s="31" t="s">
        <v>646</v>
      </c>
      <c r="E8" s="31"/>
      <c r="F8" s="31" t="s">
        <v>647</v>
      </c>
      <c r="G8" s="31" t="s">
        <v>648</v>
      </c>
      <c r="H8" s="31"/>
      <c r="I8" s="31"/>
      <c r="J8" s="31"/>
      <c r="K8" s="31"/>
      <c r="L8" s="33"/>
      <c r="M8" s="33"/>
      <c r="N8" s="33"/>
      <c r="O8" s="33"/>
      <c r="P8" s="31" t="s">
        <v>19</v>
      </c>
      <c r="Q8" s="34">
        <v>46300</v>
      </c>
      <c r="R8" s="31" t="s">
        <v>126</v>
      </c>
      <c r="S8" s="31" t="s">
        <v>649</v>
      </c>
      <c r="T8" s="31" t="s">
        <v>128</v>
      </c>
      <c r="U8" s="31" t="s">
        <v>650</v>
      </c>
      <c r="V8" s="31" t="s">
        <v>651</v>
      </c>
      <c r="W8" s="31" t="s">
        <v>68</v>
      </c>
      <c r="X8" s="35"/>
      <c r="Y8" s="33"/>
      <c r="Z8" s="35"/>
      <c r="AA8" s="31"/>
      <c r="AB8" s="31" t="s">
        <v>131</v>
      </c>
      <c r="AC8" s="32" t="s">
        <v>652</v>
      </c>
    </row>
    <row r="9" spans="1:29" ht="60" x14ac:dyDescent="0.25">
      <c r="A9" s="31" t="s">
        <v>653</v>
      </c>
      <c r="B9" s="31" t="s">
        <v>654</v>
      </c>
      <c r="C9" s="31" t="s">
        <v>655</v>
      </c>
      <c r="D9" s="31" t="s">
        <v>656</v>
      </c>
      <c r="E9" s="31" t="s">
        <v>657</v>
      </c>
      <c r="F9" s="31" t="s">
        <v>647</v>
      </c>
      <c r="G9" s="31"/>
      <c r="H9" s="31"/>
      <c r="I9" s="32" t="s">
        <v>658</v>
      </c>
      <c r="J9" s="31"/>
      <c r="K9" s="31"/>
      <c r="L9" s="33"/>
      <c r="M9" s="33"/>
      <c r="N9" s="33"/>
      <c r="O9" s="33"/>
      <c r="P9" s="31" t="s">
        <v>19</v>
      </c>
      <c r="Q9" s="34">
        <v>46300</v>
      </c>
      <c r="R9" s="31" t="s">
        <v>126</v>
      </c>
      <c r="S9" s="31" t="s">
        <v>659</v>
      </c>
      <c r="T9" s="31" t="s">
        <v>128</v>
      </c>
      <c r="U9" s="31" t="s">
        <v>660</v>
      </c>
      <c r="V9" s="31" t="s">
        <v>661</v>
      </c>
      <c r="W9" s="31" t="s">
        <v>128</v>
      </c>
      <c r="X9" s="35"/>
      <c r="Y9" s="33"/>
      <c r="Z9" s="35"/>
      <c r="AA9" s="31"/>
      <c r="AB9" s="31" t="s">
        <v>131</v>
      </c>
      <c r="AC9" s="32" t="s">
        <v>662</v>
      </c>
    </row>
    <row r="10" spans="1:29" ht="96" x14ac:dyDescent="0.25">
      <c r="A10" s="31" t="s">
        <v>663</v>
      </c>
      <c r="B10" s="31" t="s">
        <v>664</v>
      </c>
      <c r="C10" s="31" t="s">
        <v>665</v>
      </c>
      <c r="D10" s="31" t="s">
        <v>666</v>
      </c>
      <c r="E10" s="31"/>
      <c r="F10" s="31" t="s">
        <v>667</v>
      </c>
      <c r="G10" s="31" t="s">
        <v>668</v>
      </c>
      <c r="H10" s="31" t="s">
        <v>669</v>
      </c>
      <c r="I10" s="32" t="s">
        <v>670</v>
      </c>
      <c r="J10" s="31" t="s">
        <v>671</v>
      </c>
      <c r="K10" s="32" t="s">
        <v>672</v>
      </c>
      <c r="L10" s="33"/>
      <c r="M10" s="33"/>
      <c r="N10" s="33"/>
      <c r="O10" s="33"/>
      <c r="P10" s="31" t="s">
        <v>19</v>
      </c>
      <c r="Q10" s="34">
        <v>46300</v>
      </c>
      <c r="R10" s="31" t="s">
        <v>126</v>
      </c>
      <c r="S10" s="31" t="s">
        <v>673</v>
      </c>
      <c r="T10" s="31" t="s">
        <v>128</v>
      </c>
      <c r="U10" s="31" t="s">
        <v>674</v>
      </c>
      <c r="V10" s="31" t="s">
        <v>675</v>
      </c>
      <c r="W10" s="31" t="s">
        <v>68</v>
      </c>
      <c r="X10" s="35"/>
      <c r="Y10" s="33"/>
      <c r="Z10" s="35"/>
      <c r="AA10" s="31"/>
      <c r="AB10" s="31" t="s">
        <v>131</v>
      </c>
      <c r="AC10" s="32" t="s">
        <v>676</v>
      </c>
    </row>
    <row r="11" spans="1:29" ht="48" x14ac:dyDescent="0.25">
      <c r="A11" s="31" t="s">
        <v>677</v>
      </c>
      <c r="B11" s="31" t="s">
        <v>678</v>
      </c>
      <c r="C11" s="31" t="s">
        <v>679</v>
      </c>
      <c r="D11" s="31" t="s">
        <v>680</v>
      </c>
      <c r="E11" s="31" t="s">
        <v>225</v>
      </c>
      <c r="F11" s="31" t="s">
        <v>138</v>
      </c>
      <c r="G11" s="31"/>
      <c r="H11" s="31"/>
      <c r="I11" s="32" t="s">
        <v>681</v>
      </c>
      <c r="J11" s="31" t="s">
        <v>682</v>
      </c>
      <c r="K11" s="32" t="s">
        <v>683</v>
      </c>
      <c r="L11" s="33"/>
      <c r="M11" s="33"/>
      <c r="N11" s="33"/>
      <c r="O11" s="33"/>
      <c r="P11" s="31" t="s">
        <v>19</v>
      </c>
      <c r="Q11" s="34">
        <v>46300</v>
      </c>
      <c r="R11" s="31" t="s">
        <v>126</v>
      </c>
      <c r="S11" s="31" t="s">
        <v>229</v>
      </c>
      <c r="T11" s="31" t="s">
        <v>128</v>
      </c>
      <c r="U11" s="31" t="s">
        <v>684</v>
      </c>
      <c r="V11" s="31" t="s">
        <v>685</v>
      </c>
      <c r="W11" s="31" t="s">
        <v>68</v>
      </c>
      <c r="X11" s="35"/>
      <c r="Y11" s="33"/>
      <c r="Z11" s="35"/>
      <c r="AA11" s="31"/>
      <c r="AB11" s="31" t="s">
        <v>131</v>
      </c>
      <c r="AC11" s="32" t="s">
        <v>686</v>
      </c>
    </row>
    <row r="12" spans="1:29" ht="48" x14ac:dyDescent="0.25">
      <c r="A12" s="31" t="s">
        <v>687</v>
      </c>
      <c r="B12" s="31" t="s">
        <v>688</v>
      </c>
      <c r="C12" s="31" t="s">
        <v>689</v>
      </c>
      <c r="D12" s="31" t="s">
        <v>690</v>
      </c>
      <c r="E12" s="31" t="s">
        <v>691</v>
      </c>
      <c r="F12" s="31" t="s">
        <v>634</v>
      </c>
      <c r="G12" s="31"/>
      <c r="H12" s="31" t="s">
        <v>692</v>
      </c>
      <c r="I12" s="32" t="s">
        <v>693</v>
      </c>
      <c r="J12" s="31"/>
      <c r="K12" s="31"/>
      <c r="L12" s="33"/>
      <c r="M12" s="33"/>
      <c r="N12" s="33"/>
      <c r="O12" s="33"/>
      <c r="P12" s="31" t="s">
        <v>19</v>
      </c>
      <c r="Q12" s="34">
        <v>46300</v>
      </c>
      <c r="R12" s="31" t="s">
        <v>126</v>
      </c>
      <c r="S12" s="31" t="s">
        <v>694</v>
      </c>
      <c r="T12" s="31" t="s">
        <v>128</v>
      </c>
      <c r="U12" s="31" t="s">
        <v>695</v>
      </c>
      <c r="V12" s="31" t="s">
        <v>696</v>
      </c>
      <c r="W12" s="31" t="s">
        <v>68</v>
      </c>
      <c r="X12" s="35"/>
      <c r="Y12" s="33"/>
      <c r="Z12" s="35"/>
      <c r="AA12" s="31"/>
      <c r="AB12" s="31" t="s">
        <v>131</v>
      </c>
      <c r="AC12" s="32" t="s">
        <v>697</v>
      </c>
    </row>
    <row r="13" spans="1:29" ht="60" x14ac:dyDescent="0.25">
      <c r="A13" s="31" t="s">
        <v>698</v>
      </c>
      <c r="B13" s="31" t="s">
        <v>699</v>
      </c>
      <c r="C13" s="31" t="s">
        <v>700</v>
      </c>
      <c r="D13" s="31" t="s">
        <v>701</v>
      </c>
      <c r="E13" s="31" t="s">
        <v>702</v>
      </c>
      <c r="F13" s="31" t="s">
        <v>150</v>
      </c>
      <c r="G13" s="31"/>
      <c r="H13" s="31" t="s">
        <v>703</v>
      </c>
      <c r="I13" s="32" t="s">
        <v>704</v>
      </c>
      <c r="J13" s="31"/>
      <c r="K13" s="31"/>
      <c r="L13" s="33"/>
      <c r="M13" s="33"/>
      <c r="N13" s="33"/>
      <c r="O13" s="33"/>
      <c r="P13" s="31" t="s">
        <v>19</v>
      </c>
      <c r="Q13" s="34">
        <v>46300</v>
      </c>
      <c r="R13" s="31" t="s">
        <v>126</v>
      </c>
      <c r="S13" s="31" t="s">
        <v>705</v>
      </c>
      <c r="T13" s="31" t="s">
        <v>128</v>
      </c>
      <c r="U13" s="31" t="s">
        <v>706</v>
      </c>
      <c r="V13" s="31" t="s">
        <v>707</v>
      </c>
      <c r="W13" s="31" t="s">
        <v>68</v>
      </c>
      <c r="X13" s="35"/>
      <c r="Y13" s="33"/>
      <c r="Z13" s="35"/>
      <c r="AA13" s="31"/>
      <c r="AB13" s="31" t="s">
        <v>131</v>
      </c>
      <c r="AC13" s="32" t="s">
        <v>708</v>
      </c>
    </row>
    <row r="14" spans="1:29" ht="60" x14ac:dyDescent="0.25">
      <c r="A14" s="31" t="s">
        <v>709</v>
      </c>
      <c r="B14" s="31" t="s">
        <v>710</v>
      </c>
      <c r="C14" s="31" t="s">
        <v>711</v>
      </c>
      <c r="D14" s="31" t="s">
        <v>712</v>
      </c>
      <c r="E14" s="31" t="s">
        <v>137</v>
      </c>
      <c r="F14" s="31" t="s">
        <v>138</v>
      </c>
      <c r="G14" s="31"/>
      <c r="H14" s="31"/>
      <c r="I14" s="32" t="s">
        <v>713</v>
      </c>
      <c r="J14" s="31"/>
      <c r="K14" s="32" t="s">
        <v>714</v>
      </c>
      <c r="L14" s="33"/>
      <c r="M14" s="33"/>
      <c r="N14" s="33"/>
      <c r="O14" s="33"/>
      <c r="P14" s="31" t="s">
        <v>19</v>
      </c>
      <c r="Q14" s="34">
        <v>46300</v>
      </c>
      <c r="R14" s="31" t="s">
        <v>126</v>
      </c>
      <c r="S14" s="31" t="s">
        <v>715</v>
      </c>
      <c r="T14" s="31" t="s">
        <v>128</v>
      </c>
      <c r="U14" s="31" t="s">
        <v>716</v>
      </c>
      <c r="V14" s="31" t="s">
        <v>717</v>
      </c>
      <c r="W14" s="31" t="s">
        <v>68</v>
      </c>
      <c r="X14" s="35"/>
      <c r="Y14" s="33"/>
      <c r="Z14" s="35"/>
      <c r="AA14" s="31"/>
      <c r="AB14" s="31" t="s">
        <v>131</v>
      </c>
      <c r="AC14" s="32" t="s">
        <v>718</v>
      </c>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1"/>
      <c r="B28" s="31"/>
      <c r="C28" s="31"/>
      <c r="D28" s="31"/>
      <c r="E28" s="31"/>
      <c r="F28" s="31"/>
      <c r="G28" s="31"/>
      <c r="H28" s="31"/>
      <c r="I28" s="31"/>
      <c r="J28" s="31"/>
      <c r="K28" s="31"/>
      <c r="L28" s="33"/>
      <c r="M28" s="33"/>
      <c r="N28" s="33"/>
      <c r="O28" s="33"/>
      <c r="P28" s="31"/>
      <c r="Q28" s="34"/>
      <c r="R28" s="31"/>
      <c r="S28" s="31"/>
      <c r="T28" s="31"/>
      <c r="U28" s="31"/>
      <c r="V28" s="31"/>
      <c r="W28" s="31"/>
      <c r="X28" s="35"/>
      <c r="Y28" s="33"/>
      <c r="Z28" s="35"/>
      <c r="AA28" s="31"/>
      <c r="AB28" s="31"/>
      <c r="AC28" s="31"/>
    </row>
    <row r="29" spans="1:29" x14ac:dyDescent="0.25">
      <c r="A29" s="31"/>
      <c r="B29" s="31"/>
      <c r="C29" s="31"/>
      <c r="D29" s="31"/>
      <c r="E29" s="31"/>
      <c r="F29" s="31"/>
      <c r="G29" s="31"/>
      <c r="H29" s="31"/>
      <c r="I29" s="31"/>
      <c r="J29" s="31"/>
      <c r="K29" s="31"/>
      <c r="L29" s="33"/>
      <c r="M29" s="33"/>
      <c r="N29" s="33"/>
      <c r="O29" s="33"/>
      <c r="P29" s="31"/>
      <c r="Q29" s="34"/>
      <c r="R29" s="31"/>
      <c r="S29" s="31"/>
      <c r="T29" s="31"/>
      <c r="U29" s="31"/>
      <c r="V29" s="31"/>
      <c r="W29" s="31"/>
      <c r="X29" s="35"/>
      <c r="Y29" s="33"/>
      <c r="Z29" s="35"/>
      <c r="AA29" s="31"/>
      <c r="AB29" s="31"/>
      <c r="AC29" s="31"/>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4" xr:uid="{00000000-0009-0000-0000-00000A000000}"/>
  <mergeCells count="7">
    <mergeCell ref="V3:W3"/>
    <mergeCell ref="X3:AC3"/>
    <mergeCell ref="A3:C3"/>
    <mergeCell ref="D3:H3"/>
    <mergeCell ref="I3:O3"/>
    <mergeCell ref="P3:R3"/>
    <mergeCell ref="S3:U3"/>
  </mergeCells>
  <conditionalFormatting sqref="P5:P300">
    <cfRule type="expression" dxfId="59" priority="2">
      <formula>$P5="AVL"</formula>
    </cfRule>
    <cfRule type="expression" dxfId="58" priority="3">
      <formula>$P5="Qualified"</formula>
    </cfRule>
    <cfRule type="expression" dxfId="57" priority="4">
      <formula>$P5="Prequalified"</formula>
    </cfRule>
    <cfRule type="expression" dxfId="56" priority="5">
      <formula>$P5="On Hold"</formula>
    </cfRule>
    <cfRule type="expression" dxfId="55" priority="6">
      <formula>$P5="Disqualified"</formula>
    </cfRule>
  </conditionalFormatting>
  <conditionalFormatting sqref="W5:W300">
    <cfRule type="expression" dxfId="54" priority="7">
      <formula>$W5="High"</formula>
    </cfRule>
    <cfRule type="expression" dxfId="53" priority="8">
      <formula>$W5="FEOC Review"</formula>
    </cfRule>
    <cfRule type="expression" dxfId="52" priority="9">
      <formula>$W5="Medium"</formula>
    </cfRule>
    <cfRule type="expression" dxfId="51" priority="10">
      <formula>$W5="Low"</formula>
    </cfRule>
  </conditionalFormatting>
  <conditionalFormatting sqref="Z5:Z300">
    <cfRule type="expression" dxfId="50" priority="11">
      <formula>AND($Z5&lt;&gt;"",$Z5&lt;TODAY())</formula>
    </cfRule>
  </conditionalFormatting>
  <dataValidations count="6">
    <dataValidation type="list" allowBlank="1" showErrorMessage="1" errorTitle="Invalid entry" error="Pick a value from the list (edit the Lists tab to change options)." sqref="P5:P300" xr:uid="{00000000-0002-0000-0A00-000000000000}">
      <formula1>lst_status</formula1>
      <formula2>0</formula2>
    </dataValidation>
    <dataValidation type="list" allowBlank="1" showErrorMessage="1" errorTitle="Invalid entry" error="Pick a value from the list (edit the Lists tab to change options)." sqref="R5:R300" xr:uid="{00000000-0002-0000-0A00-000001000000}">
      <formula1>lst_rfx</formula1>
      <formula2>0</formula2>
    </dataValidation>
    <dataValidation type="list" allowBlank="1" showErrorMessage="1" errorTitle="Invalid entry" error="Pick a value from the list (edit the Lists tab to change options)." sqref="T5:T300" xr:uid="{00000000-0002-0000-0A00-000002000000}">
      <formula1>lst_fin</formula1>
      <formula2>0</formula2>
    </dataValidation>
    <dataValidation type="list" allowBlank="1" showErrorMessage="1" errorTitle="Invalid entry" error="Pick a value from the list (edit the Lists tab to change options)." sqref="W5:W300" xr:uid="{00000000-0002-0000-0A00-000003000000}">
      <formula1>lst_scr</formula1>
      <formula2>0</formula2>
    </dataValidation>
    <dataValidation type="list" allowBlank="1" showErrorMessage="1" errorTitle="Invalid entry" error="Pick a value from the list (edit the Lists tab to change options)." sqref="AB5:AB300" xr:uid="{00000000-0002-0000-0A00-000004000000}">
      <formula1>lst_ver</formula1>
      <formula2>0</formula2>
    </dataValidation>
    <dataValidation type="date" operator="greaterThan" allowBlank="1" showErrorMessage="1" error="Enter a date (yyyy-mm-dd)." sqref="Q5:Q300 X5:X300 Z5:Z300" xr:uid="{00000000-0002-0000-0A00-000005000000}">
      <formula1>DATE(2020,1,1)</formula1>
      <formula2>0</formula2>
    </dataValidation>
  </dataValidations>
  <hyperlinks>
    <hyperlink ref="I5" r:id="rId1" xr:uid="{00000000-0004-0000-0A00-000000000000}"/>
    <hyperlink ref="K5" r:id="rId2" xr:uid="{00000000-0004-0000-0A00-000001000000}"/>
    <hyperlink ref="AC5" r:id="rId3" xr:uid="{00000000-0004-0000-0A00-000002000000}"/>
    <hyperlink ref="I6" r:id="rId4" xr:uid="{00000000-0004-0000-0A00-000003000000}"/>
    <hyperlink ref="AC6" r:id="rId5" xr:uid="{00000000-0004-0000-0A00-000004000000}"/>
    <hyperlink ref="I7" r:id="rId6" xr:uid="{00000000-0004-0000-0A00-000005000000}"/>
    <hyperlink ref="K7" r:id="rId7" xr:uid="{00000000-0004-0000-0A00-000006000000}"/>
    <hyperlink ref="AC7" r:id="rId8" xr:uid="{00000000-0004-0000-0A00-000007000000}"/>
    <hyperlink ref="AC8" r:id="rId9" xr:uid="{00000000-0004-0000-0A00-000008000000}"/>
    <hyperlink ref="I9" r:id="rId10" xr:uid="{00000000-0004-0000-0A00-000009000000}"/>
    <hyperlink ref="AC9" r:id="rId11" xr:uid="{00000000-0004-0000-0A00-00000A000000}"/>
    <hyperlink ref="I10" r:id="rId12" xr:uid="{00000000-0004-0000-0A00-00000B000000}"/>
    <hyperlink ref="K10" r:id="rId13" xr:uid="{00000000-0004-0000-0A00-00000C000000}"/>
    <hyperlink ref="AC10" r:id="rId14" xr:uid="{00000000-0004-0000-0A00-00000D000000}"/>
    <hyperlink ref="I11" r:id="rId15" xr:uid="{00000000-0004-0000-0A00-00000E000000}"/>
    <hyperlink ref="K11" r:id="rId16" xr:uid="{00000000-0004-0000-0A00-00000F000000}"/>
    <hyperlink ref="AC11" r:id="rId17" xr:uid="{00000000-0004-0000-0A00-000010000000}"/>
    <hyperlink ref="I12" r:id="rId18" xr:uid="{00000000-0004-0000-0A00-000011000000}"/>
    <hyperlink ref="AC12" r:id="rId19" xr:uid="{00000000-0004-0000-0A00-000012000000}"/>
    <hyperlink ref="I13" r:id="rId20" xr:uid="{00000000-0004-0000-0A00-000013000000}"/>
    <hyperlink ref="AC13" r:id="rId21" xr:uid="{00000000-0004-0000-0A00-000014000000}"/>
    <hyperlink ref="I14" r:id="rId22" xr:uid="{00000000-0004-0000-0A00-000015000000}"/>
    <hyperlink ref="K14" r:id="rId23" xr:uid="{00000000-0004-0000-0A00-000016000000}"/>
    <hyperlink ref="AC14" r:id="rId24" xr:uid="{00000000-0004-0000-0A00-000017000000}"/>
  </hyperlinks>
  <pageMargins left="0.75" right="0.75" top="1" bottom="1" header="0.511811023622047" footer="0.511811023622047"/>
  <pageSetup paperSize="9" orientation="portrait" horizontalDpi="300" verticalDpi="300"/>
  <legacyDrawing r:id="rId2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D32"/>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719</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610</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720</v>
      </c>
      <c r="W4" s="30" t="s">
        <v>112</v>
      </c>
      <c r="X4" s="30" t="s">
        <v>113</v>
      </c>
      <c r="Y4" s="30" t="s">
        <v>114</v>
      </c>
      <c r="Z4" s="30" t="s">
        <v>115</v>
      </c>
      <c r="AA4" s="30" t="s">
        <v>116</v>
      </c>
      <c r="AB4" s="30" t="s">
        <v>117</v>
      </c>
      <c r="AC4" s="30" t="s">
        <v>118</v>
      </c>
    </row>
    <row r="5" spans="1:29" ht="60" x14ac:dyDescent="0.25">
      <c r="A5" s="31" t="s">
        <v>721</v>
      </c>
      <c r="B5" s="31" t="s">
        <v>722</v>
      </c>
      <c r="C5" s="31" t="s">
        <v>723</v>
      </c>
      <c r="D5" s="31" t="s">
        <v>724</v>
      </c>
      <c r="E5" s="31"/>
      <c r="F5" s="31" t="s">
        <v>725</v>
      </c>
      <c r="G5" s="31" t="s">
        <v>726</v>
      </c>
      <c r="H5" s="31"/>
      <c r="I5" s="32" t="s">
        <v>727</v>
      </c>
      <c r="J5" s="31"/>
      <c r="K5" s="31"/>
      <c r="L5" s="33"/>
      <c r="M5" s="33"/>
      <c r="N5" s="33"/>
      <c r="O5" s="33"/>
      <c r="P5" s="31" t="s">
        <v>19</v>
      </c>
      <c r="Q5" s="34">
        <v>46300</v>
      </c>
      <c r="R5" s="31" t="s">
        <v>126</v>
      </c>
      <c r="S5" s="31" t="s">
        <v>728</v>
      </c>
      <c r="T5" s="31" t="s">
        <v>128</v>
      </c>
      <c r="U5" s="31" t="s">
        <v>729</v>
      </c>
      <c r="V5" s="31" t="s">
        <v>730</v>
      </c>
      <c r="W5" s="31" t="s">
        <v>128</v>
      </c>
      <c r="X5" s="35"/>
      <c r="Y5" s="33"/>
      <c r="Z5" s="35"/>
      <c r="AA5" s="31"/>
      <c r="AB5" s="31" t="s">
        <v>131</v>
      </c>
      <c r="AC5" s="32" t="s">
        <v>731</v>
      </c>
    </row>
    <row r="6" spans="1:29" ht="48" x14ac:dyDescent="0.25">
      <c r="A6" s="31" t="s">
        <v>732</v>
      </c>
      <c r="B6" s="31" t="s">
        <v>733</v>
      </c>
      <c r="C6" s="31" t="s">
        <v>734</v>
      </c>
      <c r="D6" s="31" t="s">
        <v>735</v>
      </c>
      <c r="E6" s="31"/>
      <c r="F6" s="31" t="s">
        <v>736</v>
      </c>
      <c r="G6" s="31" t="s">
        <v>737</v>
      </c>
      <c r="H6" s="31" t="s">
        <v>738</v>
      </c>
      <c r="I6" s="32" t="s">
        <v>739</v>
      </c>
      <c r="J6" s="31"/>
      <c r="K6" s="31"/>
      <c r="L6" s="33"/>
      <c r="M6" s="33"/>
      <c r="N6" s="33"/>
      <c r="O6" s="33"/>
      <c r="P6" s="31" t="s">
        <v>19</v>
      </c>
      <c r="Q6" s="34">
        <v>46300</v>
      </c>
      <c r="R6" s="31" t="s">
        <v>126</v>
      </c>
      <c r="S6" s="31" t="s">
        <v>740</v>
      </c>
      <c r="T6" s="31" t="s">
        <v>128</v>
      </c>
      <c r="U6" s="31" t="s">
        <v>741</v>
      </c>
      <c r="V6" s="31" t="s">
        <v>742</v>
      </c>
      <c r="W6" s="31" t="s">
        <v>128</v>
      </c>
      <c r="X6" s="35"/>
      <c r="Y6" s="33"/>
      <c r="Z6" s="35"/>
      <c r="AA6" s="31"/>
      <c r="AB6" s="31" t="s">
        <v>131</v>
      </c>
      <c r="AC6" s="32" t="s">
        <v>743</v>
      </c>
    </row>
    <row r="7" spans="1:29" ht="72" x14ac:dyDescent="0.25">
      <c r="A7" s="31" t="s">
        <v>744</v>
      </c>
      <c r="B7" s="31" t="s">
        <v>745</v>
      </c>
      <c r="C7" s="31" t="s">
        <v>746</v>
      </c>
      <c r="D7" s="31" t="s">
        <v>747</v>
      </c>
      <c r="E7" s="31" t="s">
        <v>748</v>
      </c>
      <c r="F7" s="31" t="s">
        <v>749</v>
      </c>
      <c r="G7" s="31"/>
      <c r="H7" s="31"/>
      <c r="I7" s="32" t="s">
        <v>750</v>
      </c>
      <c r="J7" s="31"/>
      <c r="K7" s="31"/>
      <c r="L7" s="33"/>
      <c r="M7" s="33"/>
      <c r="N7" s="33"/>
      <c r="O7" s="33"/>
      <c r="P7" s="31" t="s">
        <v>19</v>
      </c>
      <c r="Q7" s="34">
        <v>46300</v>
      </c>
      <c r="R7" s="31" t="s">
        <v>126</v>
      </c>
      <c r="S7" s="31" t="s">
        <v>751</v>
      </c>
      <c r="T7" s="31" t="s">
        <v>128</v>
      </c>
      <c r="U7" s="31" t="s">
        <v>752</v>
      </c>
      <c r="V7" s="31" t="s">
        <v>753</v>
      </c>
      <c r="W7" s="31" t="s">
        <v>128</v>
      </c>
      <c r="X7" s="35"/>
      <c r="Y7" s="33"/>
      <c r="Z7" s="35"/>
      <c r="AA7" s="31"/>
      <c r="AB7" s="31" t="s">
        <v>131</v>
      </c>
      <c r="AC7" s="32" t="s">
        <v>754</v>
      </c>
    </row>
    <row r="8" spans="1:29" ht="36" x14ac:dyDescent="0.25">
      <c r="A8" s="31" t="s">
        <v>755</v>
      </c>
      <c r="B8" s="31" t="s">
        <v>756</v>
      </c>
      <c r="C8" s="31" t="s">
        <v>757</v>
      </c>
      <c r="D8" s="31" t="s">
        <v>758</v>
      </c>
      <c r="E8" s="31" t="s">
        <v>759</v>
      </c>
      <c r="F8" s="31" t="s">
        <v>760</v>
      </c>
      <c r="G8" s="31"/>
      <c r="H8" s="31"/>
      <c r="I8" s="32" t="s">
        <v>761</v>
      </c>
      <c r="J8" s="31"/>
      <c r="K8" s="31"/>
      <c r="L8" s="33"/>
      <c r="M8" s="33"/>
      <c r="N8" s="33"/>
      <c r="O8" s="33"/>
      <c r="P8" s="31" t="s">
        <v>19</v>
      </c>
      <c r="Q8" s="34">
        <v>46300</v>
      </c>
      <c r="R8" s="31" t="s">
        <v>126</v>
      </c>
      <c r="S8" s="31" t="s">
        <v>762</v>
      </c>
      <c r="T8" s="31" t="s">
        <v>128</v>
      </c>
      <c r="U8" s="31" t="s">
        <v>763</v>
      </c>
      <c r="V8" s="31" t="s">
        <v>764</v>
      </c>
      <c r="W8" s="31" t="s">
        <v>128</v>
      </c>
      <c r="X8" s="35"/>
      <c r="Y8" s="33"/>
      <c r="Z8" s="35"/>
      <c r="AA8" s="31"/>
      <c r="AB8" s="31" t="s">
        <v>131</v>
      </c>
      <c r="AC8" s="32" t="s">
        <v>765</v>
      </c>
    </row>
    <row r="9" spans="1:29" ht="48" x14ac:dyDescent="0.25">
      <c r="A9" s="31" t="s">
        <v>766</v>
      </c>
      <c r="B9" s="31" t="s">
        <v>767</v>
      </c>
      <c r="C9" s="31" t="s">
        <v>768</v>
      </c>
      <c r="D9" s="31" t="s">
        <v>769</v>
      </c>
      <c r="E9" s="31" t="s">
        <v>260</v>
      </c>
      <c r="F9" s="31" t="s">
        <v>138</v>
      </c>
      <c r="G9" s="31"/>
      <c r="H9" s="31"/>
      <c r="I9" s="32" t="s">
        <v>770</v>
      </c>
      <c r="J9" s="31" t="s">
        <v>771</v>
      </c>
      <c r="K9" s="32" t="s">
        <v>770</v>
      </c>
      <c r="L9" s="33"/>
      <c r="M9" s="33"/>
      <c r="N9" s="33"/>
      <c r="O9" s="33"/>
      <c r="P9" s="31" t="s">
        <v>19</v>
      </c>
      <c r="Q9" s="34">
        <v>46300</v>
      </c>
      <c r="R9" s="31" t="s">
        <v>126</v>
      </c>
      <c r="S9" s="31" t="s">
        <v>772</v>
      </c>
      <c r="T9" s="31" t="s">
        <v>128</v>
      </c>
      <c r="U9" s="31" t="s">
        <v>773</v>
      </c>
      <c r="V9" s="31" t="s">
        <v>774</v>
      </c>
      <c r="W9" s="31" t="s">
        <v>128</v>
      </c>
      <c r="X9" s="35"/>
      <c r="Y9" s="33"/>
      <c r="Z9" s="35"/>
      <c r="AA9" s="31"/>
      <c r="AB9" s="31" t="s">
        <v>131</v>
      </c>
      <c r="AC9" s="32" t="s">
        <v>775</v>
      </c>
    </row>
    <row r="10" spans="1:29" ht="48" x14ac:dyDescent="0.25">
      <c r="A10" s="31" t="s">
        <v>776</v>
      </c>
      <c r="B10" s="31" t="s">
        <v>777</v>
      </c>
      <c r="C10" s="31" t="s">
        <v>778</v>
      </c>
      <c r="D10" s="31" t="s">
        <v>779</v>
      </c>
      <c r="E10" s="31" t="s">
        <v>780</v>
      </c>
      <c r="F10" s="31" t="s">
        <v>138</v>
      </c>
      <c r="G10" s="31"/>
      <c r="H10" s="31"/>
      <c r="I10" s="32" t="s">
        <v>781</v>
      </c>
      <c r="J10" s="31"/>
      <c r="K10" s="32" t="s">
        <v>782</v>
      </c>
      <c r="L10" s="33"/>
      <c r="M10" s="33"/>
      <c r="N10" s="33"/>
      <c r="O10" s="33"/>
      <c r="P10" s="31" t="s">
        <v>19</v>
      </c>
      <c r="Q10" s="34">
        <v>46300</v>
      </c>
      <c r="R10" s="31" t="s">
        <v>126</v>
      </c>
      <c r="S10" s="31" t="s">
        <v>783</v>
      </c>
      <c r="T10" s="31" t="s">
        <v>128</v>
      </c>
      <c r="U10" s="31" t="s">
        <v>784</v>
      </c>
      <c r="V10" s="31" t="s">
        <v>785</v>
      </c>
      <c r="W10" s="31" t="s">
        <v>128</v>
      </c>
      <c r="X10" s="35"/>
      <c r="Y10" s="33"/>
      <c r="Z10" s="35"/>
      <c r="AA10" s="31"/>
      <c r="AB10" s="31" t="s">
        <v>131</v>
      </c>
      <c r="AC10" s="32" t="s">
        <v>782</v>
      </c>
    </row>
    <row r="11" spans="1:29" ht="48" x14ac:dyDescent="0.25">
      <c r="A11" s="31" t="s">
        <v>786</v>
      </c>
      <c r="B11" s="31" t="s">
        <v>787</v>
      </c>
      <c r="C11" s="31" t="s">
        <v>788</v>
      </c>
      <c r="D11" s="31" t="s">
        <v>789</v>
      </c>
      <c r="E11" s="31" t="s">
        <v>790</v>
      </c>
      <c r="F11" s="31" t="s">
        <v>138</v>
      </c>
      <c r="G11" s="31"/>
      <c r="H11" s="31"/>
      <c r="I11" s="32" t="s">
        <v>791</v>
      </c>
      <c r="J11" s="31" t="s">
        <v>792</v>
      </c>
      <c r="K11" s="31"/>
      <c r="L11" s="33"/>
      <c r="M11" s="33"/>
      <c r="N11" s="33"/>
      <c r="O11" s="33"/>
      <c r="P11" s="31" t="s">
        <v>19</v>
      </c>
      <c r="Q11" s="34">
        <v>46300</v>
      </c>
      <c r="R11" s="31" t="s">
        <v>126</v>
      </c>
      <c r="S11" s="31" t="s">
        <v>229</v>
      </c>
      <c r="T11" s="31" t="s">
        <v>128</v>
      </c>
      <c r="U11" s="31" t="s">
        <v>793</v>
      </c>
      <c r="V11" s="31" t="s">
        <v>794</v>
      </c>
      <c r="W11" s="31" t="s">
        <v>128</v>
      </c>
      <c r="X11" s="35"/>
      <c r="Y11" s="33"/>
      <c r="Z11" s="35"/>
      <c r="AA11" s="31"/>
      <c r="AB11" s="31" t="s">
        <v>131</v>
      </c>
      <c r="AC11" s="32" t="s">
        <v>795</v>
      </c>
    </row>
    <row r="12" spans="1:29" ht="36" x14ac:dyDescent="0.25">
      <c r="A12" s="31" t="s">
        <v>796</v>
      </c>
      <c r="B12" s="31" t="s">
        <v>797</v>
      </c>
      <c r="C12" s="31" t="s">
        <v>798</v>
      </c>
      <c r="D12" s="31" t="s">
        <v>799</v>
      </c>
      <c r="E12" s="31" t="s">
        <v>800</v>
      </c>
      <c r="F12" s="31" t="s">
        <v>138</v>
      </c>
      <c r="G12" s="31"/>
      <c r="H12" s="31" t="s">
        <v>669</v>
      </c>
      <c r="I12" s="32" t="s">
        <v>801</v>
      </c>
      <c r="J12" s="31" t="s">
        <v>802</v>
      </c>
      <c r="K12" s="32" t="s">
        <v>803</v>
      </c>
      <c r="L12" s="33"/>
      <c r="M12" s="33"/>
      <c r="N12" s="33"/>
      <c r="O12" s="33"/>
      <c r="P12" s="31" t="s">
        <v>19</v>
      </c>
      <c r="Q12" s="34">
        <v>46300</v>
      </c>
      <c r="R12" s="31" t="s">
        <v>126</v>
      </c>
      <c r="S12" s="31" t="s">
        <v>804</v>
      </c>
      <c r="T12" s="31" t="s">
        <v>128</v>
      </c>
      <c r="U12" s="31" t="s">
        <v>805</v>
      </c>
      <c r="V12" s="31" t="s">
        <v>806</v>
      </c>
      <c r="W12" s="31" t="s">
        <v>128</v>
      </c>
      <c r="X12" s="35"/>
      <c r="Y12" s="33"/>
      <c r="Z12" s="35"/>
      <c r="AA12" s="31"/>
      <c r="AB12" s="31" t="s">
        <v>131</v>
      </c>
      <c r="AC12" s="32" t="s">
        <v>807</v>
      </c>
    </row>
    <row r="13" spans="1:29" ht="72" x14ac:dyDescent="0.25">
      <c r="A13" s="31" t="s">
        <v>808</v>
      </c>
      <c r="B13" s="31" t="s">
        <v>809</v>
      </c>
      <c r="C13" s="31" t="s">
        <v>810</v>
      </c>
      <c r="D13" s="31" t="s">
        <v>811</v>
      </c>
      <c r="E13" s="31" t="s">
        <v>812</v>
      </c>
      <c r="F13" s="31" t="s">
        <v>138</v>
      </c>
      <c r="G13" s="31"/>
      <c r="H13" s="31"/>
      <c r="I13" s="32" t="s">
        <v>813</v>
      </c>
      <c r="J13" s="31"/>
      <c r="K13" s="32" t="s">
        <v>814</v>
      </c>
      <c r="L13" s="33"/>
      <c r="M13" s="33"/>
      <c r="N13" s="33"/>
      <c r="O13" s="33"/>
      <c r="P13" s="31" t="s">
        <v>19</v>
      </c>
      <c r="Q13" s="34">
        <v>46300</v>
      </c>
      <c r="R13" s="31" t="s">
        <v>126</v>
      </c>
      <c r="S13" s="31" t="s">
        <v>815</v>
      </c>
      <c r="T13" s="31" t="s">
        <v>128</v>
      </c>
      <c r="U13" s="31" t="s">
        <v>816</v>
      </c>
      <c r="V13" s="31" t="s">
        <v>817</v>
      </c>
      <c r="W13" s="31" t="s">
        <v>128</v>
      </c>
      <c r="X13" s="35"/>
      <c r="Y13" s="33"/>
      <c r="Z13" s="35"/>
      <c r="AA13" s="31"/>
      <c r="AB13" s="31" t="s">
        <v>131</v>
      </c>
      <c r="AC13" s="32" t="s">
        <v>818</v>
      </c>
    </row>
    <row r="14" spans="1:29" ht="48" x14ac:dyDescent="0.25">
      <c r="A14" s="31" t="s">
        <v>819</v>
      </c>
      <c r="B14" s="31" t="s">
        <v>820</v>
      </c>
      <c r="C14" s="31" t="s">
        <v>821</v>
      </c>
      <c r="D14" s="31" t="s">
        <v>822</v>
      </c>
      <c r="E14" s="31" t="s">
        <v>198</v>
      </c>
      <c r="F14" s="31" t="s">
        <v>138</v>
      </c>
      <c r="G14" s="31"/>
      <c r="H14" s="31" t="s">
        <v>823</v>
      </c>
      <c r="I14" s="32" t="s">
        <v>824</v>
      </c>
      <c r="J14" s="31" t="s">
        <v>825</v>
      </c>
      <c r="K14" s="32" t="s">
        <v>826</v>
      </c>
      <c r="L14" s="33"/>
      <c r="M14" s="33"/>
      <c r="N14" s="33"/>
      <c r="O14" s="33"/>
      <c r="P14" s="31" t="s">
        <v>19</v>
      </c>
      <c r="Q14" s="34">
        <v>46300</v>
      </c>
      <c r="R14" s="31" t="s">
        <v>126</v>
      </c>
      <c r="S14" s="31" t="s">
        <v>827</v>
      </c>
      <c r="T14" s="31" t="s">
        <v>128</v>
      </c>
      <c r="U14" s="31" t="s">
        <v>828</v>
      </c>
      <c r="V14" s="31" t="s">
        <v>829</v>
      </c>
      <c r="W14" s="31" t="s">
        <v>128</v>
      </c>
      <c r="X14" s="35"/>
      <c r="Y14" s="33"/>
      <c r="Z14" s="35"/>
      <c r="AA14" s="31"/>
      <c r="AB14" s="31" t="s">
        <v>131</v>
      </c>
      <c r="AC14" s="32" t="s">
        <v>826</v>
      </c>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1"/>
      <c r="B28" s="31"/>
      <c r="C28" s="31"/>
      <c r="D28" s="31"/>
      <c r="E28" s="31"/>
      <c r="F28" s="31"/>
      <c r="G28" s="31"/>
      <c r="H28" s="31"/>
      <c r="I28" s="31"/>
      <c r="J28" s="31"/>
      <c r="K28" s="31"/>
      <c r="L28" s="33"/>
      <c r="M28" s="33"/>
      <c r="N28" s="33"/>
      <c r="O28" s="33"/>
      <c r="P28" s="31"/>
      <c r="Q28" s="34"/>
      <c r="R28" s="31"/>
      <c r="S28" s="31"/>
      <c r="T28" s="31"/>
      <c r="U28" s="31"/>
      <c r="V28" s="31"/>
      <c r="W28" s="31"/>
      <c r="X28" s="35"/>
      <c r="Y28" s="33"/>
      <c r="Z28" s="35"/>
      <c r="AA28" s="31"/>
      <c r="AB28" s="31"/>
      <c r="AC28" s="31"/>
    </row>
    <row r="29" spans="1:29" x14ac:dyDescent="0.25">
      <c r="A29" s="31"/>
      <c r="B29" s="31"/>
      <c r="C29" s="31"/>
      <c r="D29" s="31"/>
      <c r="E29" s="31"/>
      <c r="F29" s="31"/>
      <c r="G29" s="31"/>
      <c r="H29" s="31"/>
      <c r="I29" s="31"/>
      <c r="J29" s="31"/>
      <c r="K29" s="31"/>
      <c r="L29" s="33"/>
      <c r="M29" s="33"/>
      <c r="N29" s="33"/>
      <c r="O29" s="33"/>
      <c r="P29" s="31"/>
      <c r="Q29" s="34"/>
      <c r="R29" s="31"/>
      <c r="S29" s="31"/>
      <c r="T29" s="31"/>
      <c r="U29" s="31"/>
      <c r="V29" s="31"/>
      <c r="W29" s="31"/>
      <c r="X29" s="35"/>
      <c r="Y29" s="33"/>
      <c r="Z29" s="35"/>
      <c r="AA29" s="31"/>
      <c r="AB29" s="31"/>
      <c r="AC29" s="31"/>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4" xr:uid="{00000000-0009-0000-0000-00000B000000}"/>
  <mergeCells count="7">
    <mergeCell ref="V3:W3"/>
    <mergeCell ref="X3:AC3"/>
    <mergeCell ref="A3:C3"/>
    <mergeCell ref="D3:H3"/>
    <mergeCell ref="I3:O3"/>
    <mergeCell ref="P3:R3"/>
    <mergeCell ref="S3:U3"/>
  </mergeCells>
  <conditionalFormatting sqref="P5:P300">
    <cfRule type="expression" dxfId="49" priority="2">
      <formula>$P5="AVL"</formula>
    </cfRule>
    <cfRule type="expression" dxfId="48" priority="3">
      <formula>$P5="Qualified"</formula>
    </cfRule>
    <cfRule type="expression" dxfId="47" priority="4">
      <formula>$P5="Prequalified"</formula>
    </cfRule>
    <cfRule type="expression" dxfId="46" priority="5">
      <formula>$P5="On Hold"</formula>
    </cfRule>
    <cfRule type="expression" dxfId="45" priority="6">
      <formula>$P5="Disqualified"</formula>
    </cfRule>
  </conditionalFormatting>
  <conditionalFormatting sqref="W5:W300">
    <cfRule type="expression" dxfId="44" priority="7">
      <formula>$W5="High"</formula>
    </cfRule>
    <cfRule type="expression" dxfId="43" priority="8">
      <formula>$W5="FEOC Review"</formula>
    </cfRule>
    <cfRule type="expression" dxfId="42" priority="9">
      <formula>$W5="Medium"</formula>
    </cfRule>
    <cfRule type="expression" dxfId="41" priority="10">
      <formula>$W5="Low"</formula>
    </cfRule>
  </conditionalFormatting>
  <conditionalFormatting sqref="Z5:Z300">
    <cfRule type="expression" dxfId="40" priority="11">
      <formula>AND($Z5&lt;&gt;"",$Z5&lt;TODAY())</formula>
    </cfRule>
  </conditionalFormatting>
  <dataValidations count="6">
    <dataValidation type="list" allowBlank="1" showErrorMessage="1" errorTitle="Invalid entry" error="Pick a value from the list (edit the Lists tab to change options)." sqref="P5:P300" xr:uid="{00000000-0002-0000-0B00-000000000000}">
      <formula1>lst_status</formula1>
      <formula2>0</formula2>
    </dataValidation>
    <dataValidation type="list" allowBlank="1" showErrorMessage="1" errorTitle="Invalid entry" error="Pick a value from the list (edit the Lists tab to change options)." sqref="R5:R300" xr:uid="{00000000-0002-0000-0B00-000001000000}">
      <formula1>lst_rfx</formula1>
      <formula2>0</formula2>
    </dataValidation>
    <dataValidation type="list" allowBlank="1" showErrorMessage="1" errorTitle="Invalid entry" error="Pick a value from the list (edit the Lists tab to change options)." sqref="T5:T300" xr:uid="{00000000-0002-0000-0B00-000002000000}">
      <formula1>lst_fin</formula1>
      <formula2>0</formula2>
    </dataValidation>
    <dataValidation type="list" allowBlank="1" showErrorMessage="1" errorTitle="Invalid entry" error="Pick a value from the list (edit the Lists tab to change options)." sqref="W5:W300" xr:uid="{00000000-0002-0000-0B00-000003000000}">
      <formula1>lst_scr</formula1>
      <formula2>0</formula2>
    </dataValidation>
    <dataValidation type="list" allowBlank="1" showErrorMessage="1" errorTitle="Invalid entry" error="Pick a value from the list (edit the Lists tab to change options)." sqref="AB5:AB300" xr:uid="{00000000-0002-0000-0B00-000004000000}">
      <formula1>lst_ver</formula1>
      <formula2>0</formula2>
    </dataValidation>
    <dataValidation type="date" operator="greaterThan" allowBlank="1" showErrorMessage="1" error="Enter a date (yyyy-mm-dd)." sqref="Q5:Q300 X5:X300 Z5:Z300" xr:uid="{00000000-0002-0000-0B00-000005000000}">
      <formula1>DATE(2020,1,1)</formula1>
      <formula2>0</formula2>
    </dataValidation>
  </dataValidations>
  <hyperlinks>
    <hyperlink ref="I5" r:id="rId1" xr:uid="{00000000-0004-0000-0B00-000000000000}"/>
    <hyperlink ref="AC5" r:id="rId2" xr:uid="{00000000-0004-0000-0B00-000001000000}"/>
    <hyperlink ref="I6" r:id="rId3" xr:uid="{00000000-0004-0000-0B00-000002000000}"/>
    <hyperlink ref="AC6" r:id="rId4" xr:uid="{00000000-0004-0000-0B00-000003000000}"/>
    <hyperlink ref="I7" r:id="rId5" xr:uid="{00000000-0004-0000-0B00-000004000000}"/>
    <hyperlink ref="AC7" r:id="rId6" xr:uid="{00000000-0004-0000-0B00-000005000000}"/>
    <hyperlink ref="I8" r:id="rId7" xr:uid="{00000000-0004-0000-0B00-000006000000}"/>
    <hyperlink ref="AC8" r:id="rId8" xr:uid="{00000000-0004-0000-0B00-000007000000}"/>
    <hyperlink ref="I9" r:id="rId9" xr:uid="{00000000-0004-0000-0B00-000008000000}"/>
    <hyperlink ref="K9" r:id="rId10" xr:uid="{00000000-0004-0000-0B00-000009000000}"/>
    <hyperlink ref="AC9" r:id="rId11" xr:uid="{00000000-0004-0000-0B00-00000A000000}"/>
    <hyperlink ref="I10" r:id="rId12" xr:uid="{00000000-0004-0000-0B00-00000B000000}"/>
    <hyperlink ref="K10" r:id="rId13" xr:uid="{00000000-0004-0000-0B00-00000C000000}"/>
    <hyperlink ref="AC10" r:id="rId14" xr:uid="{00000000-0004-0000-0B00-00000D000000}"/>
    <hyperlink ref="I11" r:id="rId15" xr:uid="{00000000-0004-0000-0B00-00000E000000}"/>
    <hyperlink ref="AC11" r:id="rId16" xr:uid="{00000000-0004-0000-0B00-00000F000000}"/>
    <hyperlink ref="I12" r:id="rId17" xr:uid="{00000000-0004-0000-0B00-000010000000}"/>
    <hyperlink ref="K12" r:id="rId18" xr:uid="{00000000-0004-0000-0B00-000011000000}"/>
    <hyperlink ref="AC12" r:id="rId19" xr:uid="{00000000-0004-0000-0B00-000012000000}"/>
    <hyperlink ref="I13" r:id="rId20" xr:uid="{00000000-0004-0000-0B00-000013000000}"/>
    <hyperlink ref="K13" r:id="rId21" xr:uid="{00000000-0004-0000-0B00-000014000000}"/>
    <hyperlink ref="AC13" r:id="rId22" xr:uid="{00000000-0004-0000-0B00-000015000000}"/>
    <hyperlink ref="I14" r:id="rId23" xr:uid="{00000000-0004-0000-0B00-000016000000}"/>
    <hyperlink ref="K14" r:id="rId24" xr:uid="{00000000-0004-0000-0B00-000017000000}"/>
    <hyperlink ref="AC14" r:id="rId25" xr:uid="{00000000-0004-0000-0B00-000018000000}"/>
  </hyperlinks>
  <pageMargins left="0.75" right="0.75" top="1" bottom="1" header="0.511811023622047" footer="0.511811023622047"/>
  <pageSetup paperSize="9" orientation="portrait" horizontalDpi="300" verticalDpi="300"/>
  <legacyDrawing r:id="rId2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D32"/>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830</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610</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720</v>
      </c>
      <c r="W4" s="30" t="s">
        <v>112</v>
      </c>
      <c r="X4" s="30" t="s">
        <v>113</v>
      </c>
      <c r="Y4" s="30" t="s">
        <v>114</v>
      </c>
      <c r="Z4" s="30" t="s">
        <v>115</v>
      </c>
      <c r="AA4" s="30" t="s">
        <v>116</v>
      </c>
      <c r="AB4" s="30" t="s">
        <v>117</v>
      </c>
      <c r="AC4" s="30" t="s">
        <v>118</v>
      </c>
    </row>
    <row r="5" spans="1:29" ht="60" x14ac:dyDescent="0.25">
      <c r="A5" s="31" t="s">
        <v>831</v>
      </c>
      <c r="B5" s="31" t="s">
        <v>722</v>
      </c>
      <c r="C5" s="31" t="s">
        <v>832</v>
      </c>
      <c r="D5" s="31" t="s">
        <v>724</v>
      </c>
      <c r="E5" s="31"/>
      <c r="F5" s="31" t="s">
        <v>725</v>
      </c>
      <c r="G5" s="31" t="s">
        <v>726</v>
      </c>
      <c r="H5" s="31"/>
      <c r="I5" s="32" t="s">
        <v>727</v>
      </c>
      <c r="J5" s="31"/>
      <c r="K5" s="31"/>
      <c r="L5" s="33"/>
      <c r="M5" s="33"/>
      <c r="N5" s="33"/>
      <c r="O5" s="33"/>
      <c r="P5" s="31" t="s">
        <v>19</v>
      </c>
      <c r="Q5" s="34">
        <v>46300</v>
      </c>
      <c r="R5" s="31" t="s">
        <v>126</v>
      </c>
      <c r="S5" s="31" t="s">
        <v>728</v>
      </c>
      <c r="T5" s="31" t="s">
        <v>128</v>
      </c>
      <c r="U5" s="31" t="s">
        <v>833</v>
      </c>
      <c r="V5" s="31" t="s">
        <v>834</v>
      </c>
      <c r="W5" s="31" t="s">
        <v>128</v>
      </c>
      <c r="X5" s="35"/>
      <c r="Y5" s="33"/>
      <c r="Z5" s="35"/>
      <c r="AA5" s="31"/>
      <c r="AB5" s="31" t="s">
        <v>131</v>
      </c>
      <c r="AC5" s="32" t="s">
        <v>835</v>
      </c>
    </row>
    <row r="6" spans="1:29" ht="36" x14ac:dyDescent="0.25">
      <c r="A6" s="31" t="s">
        <v>836</v>
      </c>
      <c r="B6" s="31" t="s">
        <v>837</v>
      </c>
      <c r="C6" s="31" t="s">
        <v>838</v>
      </c>
      <c r="D6" s="31" t="s">
        <v>839</v>
      </c>
      <c r="E6" s="31"/>
      <c r="F6" s="31" t="s">
        <v>840</v>
      </c>
      <c r="G6" s="31"/>
      <c r="H6" s="31"/>
      <c r="I6" s="32" t="s">
        <v>841</v>
      </c>
      <c r="J6" s="31"/>
      <c r="K6" s="32" t="s">
        <v>842</v>
      </c>
      <c r="L6" s="33"/>
      <c r="M6" s="33"/>
      <c r="N6" s="33"/>
      <c r="O6" s="33"/>
      <c r="P6" s="31" t="s">
        <v>19</v>
      </c>
      <c r="Q6" s="34">
        <v>46300</v>
      </c>
      <c r="R6" s="31" t="s">
        <v>126</v>
      </c>
      <c r="S6" s="31" t="s">
        <v>843</v>
      </c>
      <c r="T6" s="31" t="s">
        <v>128</v>
      </c>
      <c r="U6" s="31" t="s">
        <v>844</v>
      </c>
      <c r="V6" s="31" t="s">
        <v>845</v>
      </c>
      <c r="W6" s="31" t="s">
        <v>128</v>
      </c>
      <c r="X6" s="35"/>
      <c r="Y6" s="33"/>
      <c r="Z6" s="35"/>
      <c r="AA6" s="31"/>
      <c r="AB6" s="31" t="s">
        <v>131</v>
      </c>
      <c r="AC6" s="32" t="s">
        <v>842</v>
      </c>
    </row>
    <row r="7" spans="1:29" ht="48" x14ac:dyDescent="0.25">
      <c r="A7" s="31" t="s">
        <v>846</v>
      </c>
      <c r="B7" s="31" t="s">
        <v>847</v>
      </c>
      <c r="C7" s="31" t="s">
        <v>848</v>
      </c>
      <c r="D7" s="31" t="s">
        <v>849</v>
      </c>
      <c r="E7" s="31" t="s">
        <v>850</v>
      </c>
      <c r="F7" s="31" t="s">
        <v>138</v>
      </c>
      <c r="G7" s="31"/>
      <c r="H7" s="31"/>
      <c r="I7" s="32" t="s">
        <v>851</v>
      </c>
      <c r="J7" s="31"/>
      <c r="K7" s="31"/>
      <c r="L7" s="33"/>
      <c r="M7" s="33"/>
      <c r="N7" s="33"/>
      <c r="O7" s="33"/>
      <c r="P7" s="31" t="s">
        <v>19</v>
      </c>
      <c r="Q7" s="34">
        <v>46300</v>
      </c>
      <c r="R7" s="31" t="s">
        <v>126</v>
      </c>
      <c r="S7" s="31" t="s">
        <v>852</v>
      </c>
      <c r="T7" s="31" t="s">
        <v>128</v>
      </c>
      <c r="U7" s="31" t="s">
        <v>853</v>
      </c>
      <c r="V7" s="31" t="s">
        <v>854</v>
      </c>
      <c r="W7" s="31" t="s">
        <v>128</v>
      </c>
      <c r="X7" s="35"/>
      <c r="Y7" s="33"/>
      <c r="Z7" s="35"/>
      <c r="AA7" s="31"/>
      <c r="AB7" s="31" t="s">
        <v>131</v>
      </c>
      <c r="AC7" s="32" t="s">
        <v>851</v>
      </c>
    </row>
    <row r="8" spans="1:29" ht="36" x14ac:dyDescent="0.25">
      <c r="A8" s="31" t="s">
        <v>855</v>
      </c>
      <c r="B8" s="31" t="s">
        <v>856</v>
      </c>
      <c r="C8" s="31" t="s">
        <v>857</v>
      </c>
      <c r="D8" s="31" t="s">
        <v>858</v>
      </c>
      <c r="E8" s="31"/>
      <c r="F8" s="31" t="s">
        <v>859</v>
      </c>
      <c r="G8" s="31" t="s">
        <v>860</v>
      </c>
      <c r="H8" s="31"/>
      <c r="I8" s="32" t="s">
        <v>861</v>
      </c>
      <c r="J8" s="31"/>
      <c r="K8" s="32" t="s">
        <v>862</v>
      </c>
      <c r="L8" s="33"/>
      <c r="M8" s="33"/>
      <c r="N8" s="33"/>
      <c r="O8" s="33"/>
      <c r="P8" s="31" t="s">
        <v>19</v>
      </c>
      <c r="Q8" s="34">
        <v>46300</v>
      </c>
      <c r="R8" s="31" t="s">
        <v>126</v>
      </c>
      <c r="S8" s="31" t="s">
        <v>863</v>
      </c>
      <c r="T8" s="31" t="s">
        <v>128</v>
      </c>
      <c r="U8" s="31" t="s">
        <v>864</v>
      </c>
      <c r="V8" s="31" t="s">
        <v>865</v>
      </c>
      <c r="W8" s="31" t="s">
        <v>128</v>
      </c>
      <c r="X8" s="35"/>
      <c r="Y8" s="33"/>
      <c r="Z8" s="35"/>
      <c r="AA8" s="31"/>
      <c r="AB8" s="31" t="s">
        <v>131</v>
      </c>
      <c r="AC8" s="32" t="s">
        <v>866</v>
      </c>
    </row>
    <row r="9" spans="1:29" ht="60" x14ac:dyDescent="0.25">
      <c r="A9" s="31" t="s">
        <v>867</v>
      </c>
      <c r="B9" s="31" t="s">
        <v>868</v>
      </c>
      <c r="C9" s="31" t="s">
        <v>869</v>
      </c>
      <c r="D9" s="31" t="s">
        <v>646</v>
      </c>
      <c r="E9" s="31"/>
      <c r="F9" s="31" t="s">
        <v>647</v>
      </c>
      <c r="G9" s="31" t="s">
        <v>870</v>
      </c>
      <c r="H9" s="31"/>
      <c r="I9" s="32" t="s">
        <v>871</v>
      </c>
      <c r="J9" s="31"/>
      <c r="K9" s="31"/>
      <c r="L9" s="33"/>
      <c r="M9" s="33"/>
      <c r="N9" s="33"/>
      <c r="O9" s="33"/>
      <c r="P9" s="31" t="s">
        <v>19</v>
      </c>
      <c r="Q9" s="34">
        <v>46300</v>
      </c>
      <c r="R9" s="31" t="s">
        <v>126</v>
      </c>
      <c r="S9" s="31" t="s">
        <v>872</v>
      </c>
      <c r="T9" s="31" t="s">
        <v>128</v>
      </c>
      <c r="U9" s="31" t="s">
        <v>873</v>
      </c>
      <c r="V9" s="31" t="s">
        <v>874</v>
      </c>
      <c r="W9" s="31" t="s">
        <v>128</v>
      </c>
      <c r="X9" s="35"/>
      <c r="Y9" s="33"/>
      <c r="Z9" s="35"/>
      <c r="AA9" s="31"/>
      <c r="AB9" s="31" t="s">
        <v>131</v>
      </c>
      <c r="AC9" s="32" t="s">
        <v>875</v>
      </c>
    </row>
    <row r="10" spans="1:29" ht="48" x14ac:dyDescent="0.25">
      <c r="A10" s="31" t="s">
        <v>876</v>
      </c>
      <c r="B10" s="31" t="s">
        <v>877</v>
      </c>
      <c r="C10" s="31" t="s">
        <v>878</v>
      </c>
      <c r="D10" s="31"/>
      <c r="E10" s="31"/>
      <c r="F10" s="31" t="s">
        <v>647</v>
      </c>
      <c r="G10" s="31"/>
      <c r="H10" s="31"/>
      <c r="I10" s="31"/>
      <c r="J10" s="31"/>
      <c r="K10" s="31"/>
      <c r="L10" s="33"/>
      <c r="M10" s="33"/>
      <c r="N10" s="33"/>
      <c r="O10" s="33"/>
      <c r="P10" s="31" t="s">
        <v>19</v>
      </c>
      <c r="Q10" s="34">
        <v>46300</v>
      </c>
      <c r="R10" s="31" t="s">
        <v>126</v>
      </c>
      <c r="S10" s="31" t="s">
        <v>879</v>
      </c>
      <c r="T10" s="31" t="s">
        <v>128</v>
      </c>
      <c r="U10" s="31" t="s">
        <v>880</v>
      </c>
      <c r="V10" s="31" t="s">
        <v>881</v>
      </c>
      <c r="W10" s="31" t="s">
        <v>128</v>
      </c>
      <c r="X10" s="35"/>
      <c r="Y10" s="33"/>
      <c r="Z10" s="35"/>
      <c r="AA10" s="31"/>
      <c r="AB10" s="31" t="s">
        <v>131</v>
      </c>
      <c r="AC10" s="32" t="s">
        <v>882</v>
      </c>
    </row>
    <row r="11" spans="1:29" x14ac:dyDescent="0.25">
      <c r="A11" s="31"/>
      <c r="B11" s="31"/>
      <c r="C11" s="31"/>
      <c r="D11" s="31"/>
      <c r="E11" s="31"/>
      <c r="F11" s="31"/>
      <c r="G11" s="31"/>
      <c r="H11" s="31"/>
      <c r="I11" s="31"/>
      <c r="J11" s="31"/>
      <c r="K11" s="31"/>
      <c r="L11" s="33"/>
      <c r="M11" s="33"/>
      <c r="N11" s="33"/>
      <c r="O11" s="33"/>
      <c r="P11" s="31"/>
      <c r="Q11" s="34"/>
      <c r="R11" s="31"/>
      <c r="S11" s="31"/>
      <c r="T11" s="31"/>
      <c r="U11" s="31"/>
      <c r="V11" s="31"/>
      <c r="W11" s="31"/>
      <c r="X11" s="35"/>
      <c r="Y11" s="33"/>
      <c r="Z11" s="35"/>
      <c r="AA11" s="31"/>
      <c r="AB11" s="31"/>
      <c r="AC11" s="31"/>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6"/>
      <c r="B26" s="36"/>
      <c r="C26" s="36"/>
      <c r="D26" s="36"/>
      <c r="E26" s="36"/>
      <c r="F26" s="36"/>
      <c r="G26" s="36"/>
      <c r="H26" s="36"/>
      <c r="I26" s="36"/>
      <c r="J26" s="36"/>
      <c r="K26" s="36"/>
      <c r="L26" s="37"/>
      <c r="M26" s="37"/>
      <c r="N26" s="37"/>
      <c r="O26" s="37"/>
      <c r="P26" s="36"/>
      <c r="Q26" s="38"/>
      <c r="R26" s="36"/>
      <c r="S26" s="36"/>
      <c r="T26" s="36"/>
      <c r="U26" s="36"/>
      <c r="V26" s="36"/>
      <c r="W26" s="36"/>
      <c r="X26" s="39"/>
      <c r="Y26" s="37"/>
      <c r="Z26" s="39"/>
      <c r="AA26" s="36"/>
      <c r="AB26" s="36"/>
      <c r="AC26" s="36"/>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0" xr:uid="{00000000-0009-0000-0000-00000C000000}"/>
  <mergeCells count="7">
    <mergeCell ref="V3:W3"/>
    <mergeCell ref="X3:AC3"/>
    <mergeCell ref="A3:C3"/>
    <mergeCell ref="D3:H3"/>
    <mergeCell ref="I3:O3"/>
    <mergeCell ref="P3:R3"/>
    <mergeCell ref="S3:U3"/>
  </mergeCells>
  <conditionalFormatting sqref="P5:P300">
    <cfRule type="expression" dxfId="39" priority="2">
      <formula>$P5="AVL"</formula>
    </cfRule>
    <cfRule type="expression" dxfId="38" priority="3">
      <formula>$P5="Qualified"</formula>
    </cfRule>
    <cfRule type="expression" dxfId="37" priority="4">
      <formula>$P5="Prequalified"</formula>
    </cfRule>
    <cfRule type="expression" dxfId="36" priority="5">
      <formula>$P5="On Hold"</formula>
    </cfRule>
    <cfRule type="expression" dxfId="35" priority="6">
      <formula>$P5="Disqualified"</formula>
    </cfRule>
  </conditionalFormatting>
  <conditionalFormatting sqref="W5:W300">
    <cfRule type="expression" dxfId="34" priority="7">
      <formula>$W5="High"</formula>
    </cfRule>
    <cfRule type="expression" dxfId="33" priority="8">
      <formula>$W5="FEOC Review"</formula>
    </cfRule>
    <cfRule type="expression" dxfId="32" priority="9">
      <formula>$W5="Medium"</formula>
    </cfRule>
    <cfRule type="expression" dxfId="31" priority="10">
      <formula>$W5="Low"</formula>
    </cfRule>
  </conditionalFormatting>
  <conditionalFormatting sqref="Z5:Z300">
    <cfRule type="expression" dxfId="30" priority="11">
      <formula>AND($Z5&lt;&gt;"",$Z5&lt;TODAY())</formula>
    </cfRule>
  </conditionalFormatting>
  <dataValidations count="6">
    <dataValidation type="list" allowBlank="1" showErrorMessage="1" errorTitle="Invalid entry" error="Pick a value from the list (edit the Lists tab to change options)." sqref="P5:P300" xr:uid="{00000000-0002-0000-0C00-000000000000}">
      <formula1>lst_status</formula1>
      <formula2>0</formula2>
    </dataValidation>
    <dataValidation type="list" allowBlank="1" showErrorMessage="1" errorTitle="Invalid entry" error="Pick a value from the list (edit the Lists tab to change options)." sqref="R5:R300" xr:uid="{00000000-0002-0000-0C00-000001000000}">
      <formula1>lst_rfx</formula1>
      <formula2>0</formula2>
    </dataValidation>
    <dataValidation type="list" allowBlank="1" showErrorMessage="1" errorTitle="Invalid entry" error="Pick a value from the list (edit the Lists tab to change options)." sqref="T5:T300" xr:uid="{00000000-0002-0000-0C00-000002000000}">
      <formula1>lst_fin</formula1>
      <formula2>0</formula2>
    </dataValidation>
    <dataValidation type="list" allowBlank="1" showErrorMessage="1" errorTitle="Invalid entry" error="Pick a value from the list (edit the Lists tab to change options)." sqref="W5:W300" xr:uid="{00000000-0002-0000-0C00-000003000000}">
      <formula1>lst_scr</formula1>
      <formula2>0</formula2>
    </dataValidation>
    <dataValidation type="list" allowBlank="1" showErrorMessage="1" errorTitle="Invalid entry" error="Pick a value from the list (edit the Lists tab to change options)." sqref="AB5:AB300" xr:uid="{00000000-0002-0000-0C00-000004000000}">
      <formula1>lst_ver</formula1>
      <formula2>0</formula2>
    </dataValidation>
    <dataValidation type="date" operator="greaterThan" allowBlank="1" showErrorMessage="1" error="Enter a date (yyyy-mm-dd)." sqref="Q5:Q300 X5:X300 Z5:Z300" xr:uid="{00000000-0002-0000-0C00-000005000000}">
      <formula1>DATE(2020,1,1)</formula1>
      <formula2>0</formula2>
    </dataValidation>
  </dataValidations>
  <hyperlinks>
    <hyperlink ref="I5" r:id="rId1" xr:uid="{00000000-0004-0000-0C00-000000000000}"/>
    <hyperlink ref="AC5" r:id="rId2" xr:uid="{00000000-0004-0000-0C00-000001000000}"/>
    <hyperlink ref="I6" r:id="rId3" xr:uid="{00000000-0004-0000-0C00-000002000000}"/>
    <hyperlink ref="K6" r:id="rId4" xr:uid="{00000000-0004-0000-0C00-000003000000}"/>
    <hyperlink ref="AC6" r:id="rId5" xr:uid="{00000000-0004-0000-0C00-000004000000}"/>
    <hyperlink ref="I7" r:id="rId6" xr:uid="{00000000-0004-0000-0C00-000005000000}"/>
    <hyperlink ref="AC7" r:id="rId7" xr:uid="{00000000-0004-0000-0C00-000006000000}"/>
    <hyperlink ref="I8" r:id="rId8" xr:uid="{00000000-0004-0000-0C00-000007000000}"/>
    <hyperlink ref="K8" r:id="rId9" xr:uid="{00000000-0004-0000-0C00-000008000000}"/>
    <hyperlink ref="AC8" r:id="rId10" xr:uid="{00000000-0004-0000-0C00-000009000000}"/>
    <hyperlink ref="I9" r:id="rId11" xr:uid="{00000000-0004-0000-0C00-00000A000000}"/>
    <hyperlink ref="AC9" r:id="rId12" xr:uid="{00000000-0004-0000-0C00-00000B000000}"/>
    <hyperlink ref="AC10" r:id="rId13" xr:uid="{00000000-0004-0000-0C00-00000C000000}"/>
  </hyperlinks>
  <pageMargins left="0.75" right="0.75" top="1" bottom="1" header="0.511811023622047" footer="0.511811023622047"/>
  <pageSetup paperSize="9" orientation="portrait" horizontalDpi="300" verticalDpi="300"/>
  <legacyDrawing r:id="rId14"/>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D32"/>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883</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610</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720</v>
      </c>
      <c r="W4" s="30" t="s">
        <v>112</v>
      </c>
      <c r="X4" s="30" t="s">
        <v>113</v>
      </c>
      <c r="Y4" s="30" t="s">
        <v>114</v>
      </c>
      <c r="Z4" s="30" t="s">
        <v>115</v>
      </c>
      <c r="AA4" s="30" t="s">
        <v>116</v>
      </c>
      <c r="AB4" s="30" t="s">
        <v>117</v>
      </c>
      <c r="AC4" s="30" t="s">
        <v>118</v>
      </c>
    </row>
    <row r="5" spans="1:29" ht="60" x14ac:dyDescent="0.25">
      <c r="A5" s="31" t="s">
        <v>884</v>
      </c>
      <c r="B5" s="31" t="s">
        <v>733</v>
      </c>
      <c r="C5" s="31" t="s">
        <v>885</v>
      </c>
      <c r="D5" s="31" t="s">
        <v>735</v>
      </c>
      <c r="E5" s="31"/>
      <c r="F5" s="31" t="s">
        <v>736</v>
      </c>
      <c r="G5" s="31" t="s">
        <v>737</v>
      </c>
      <c r="H5" s="31"/>
      <c r="I5" s="32" t="s">
        <v>739</v>
      </c>
      <c r="J5" s="31"/>
      <c r="K5" s="31"/>
      <c r="L5" s="33"/>
      <c r="M5" s="33"/>
      <c r="N5" s="33"/>
      <c r="O5" s="33"/>
      <c r="P5" s="31" t="s">
        <v>19</v>
      </c>
      <c r="Q5" s="34">
        <v>46300</v>
      </c>
      <c r="R5" s="31" t="s">
        <v>126</v>
      </c>
      <c r="S5" s="31" t="s">
        <v>740</v>
      </c>
      <c r="T5" s="31" t="s">
        <v>128</v>
      </c>
      <c r="U5" s="31" t="s">
        <v>886</v>
      </c>
      <c r="V5" s="31" t="s">
        <v>887</v>
      </c>
      <c r="W5" s="31" t="s">
        <v>128</v>
      </c>
      <c r="X5" s="35"/>
      <c r="Y5" s="33"/>
      <c r="Z5" s="35"/>
      <c r="AA5" s="31"/>
      <c r="AB5" s="31" t="s">
        <v>131</v>
      </c>
      <c r="AC5" s="32" t="s">
        <v>888</v>
      </c>
    </row>
    <row r="6" spans="1:29" ht="72" x14ac:dyDescent="0.25">
      <c r="A6" s="31" t="s">
        <v>889</v>
      </c>
      <c r="B6" s="31" t="s">
        <v>890</v>
      </c>
      <c r="C6" s="31" t="s">
        <v>891</v>
      </c>
      <c r="D6" s="31" t="s">
        <v>892</v>
      </c>
      <c r="E6" s="31"/>
      <c r="F6" s="31" t="s">
        <v>893</v>
      </c>
      <c r="G6" s="31" t="s">
        <v>894</v>
      </c>
      <c r="H6" s="31"/>
      <c r="I6" s="32" t="s">
        <v>895</v>
      </c>
      <c r="J6" s="31"/>
      <c r="K6" s="31"/>
      <c r="L6" s="33"/>
      <c r="M6" s="33"/>
      <c r="N6" s="33"/>
      <c r="O6" s="33"/>
      <c r="P6" s="31" t="s">
        <v>19</v>
      </c>
      <c r="Q6" s="34">
        <v>46300</v>
      </c>
      <c r="R6" s="31" t="s">
        <v>126</v>
      </c>
      <c r="S6" s="31" t="s">
        <v>896</v>
      </c>
      <c r="T6" s="31" t="s">
        <v>128</v>
      </c>
      <c r="U6" s="31" t="s">
        <v>897</v>
      </c>
      <c r="V6" s="31" t="s">
        <v>898</v>
      </c>
      <c r="W6" s="31" t="s">
        <v>128</v>
      </c>
      <c r="X6" s="35"/>
      <c r="Y6" s="33"/>
      <c r="Z6" s="35"/>
      <c r="AA6" s="31"/>
      <c r="AB6" s="31" t="s">
        <v>131</v>
      </c>
      <c r="AC6" s="32" t="s">
        <v>899</v>
      </c>
    </row>
    <row r="7" spans="1:29" ht="48" x14ac:dyDescent="0.25">
      <c r="A7" s="31" t="s">
        <v>900</v>
      </c>
      <c r="B7" s="31" t="s">
        <v>901</v>
      </c>
      <c r="C7" s="31" t="s">
        <v>902</v>
      </c>
      <c r="D7" s="31" t="s">
        <v>724</v>
      </c>
      <c r="E7" s="31"/>
      <c r="F7" s="31" t="s">
        <v>725</v>
      </c>
      <c r="G7" s="31" t="s">
        <v>903</v>
      </c>
      <c r="H7" s="31"/>
      <c r="I7" s="32" t="s">
        <v>904</v>
      </c>
      <c r="J7" s="31"/>
      <c r="K7" s="31"/>
      <c r="L7" s="33"/>
      <c r="M7" s="33"/>
      <c r="N7" s="33"/>
      <c r="O7" s="33"/>
      <c r="P7" s="31" t="s">
        <v>19</v>
      </c>
      <c r="Q7" s="34">
        <v>46300</v>
      </c>
      <c r="R7" s="31" t="s">
        <v>126</v>
      </c>
      <c r="S7" s="31" t="s">
        <v>905</v>
      </c>
      <c r="T7" s="31" t="s">
        <v>128</v>
      </c>
      <c r="U7" s="31" t="s">
        <v>906</v>
      </c>
      <c r="V7" s="31" t="s">
        <v>907</v>
      </c>
      <c r="W7" s="31" t="s">
        <v>128</v>
      </c>
      <c r="X7" s="35"/>
      <c r="Y7" s="33"/>
      <c r="Z7" s="35"/>
      <c r="AA7" s="31"/>
      <c r="AB7" s="31" t="s">
        <v>131</v>
      </c>
      <c r="AC7" s="32" t="s">
        <v>908</v>
      </c>
    </row>
    <row r="8" spans="1:29" ht="60" x14ac:dyDescent="0.25">
      <c r="A8" s="31" t="s">
        <v>909</v>
      </c>
      <c r="B8" s="31" t="s">
        <v>910</v>
      </c>
      <c r="C8" s="31" t="s">
        <v>911</v>
      </c>
      <c r="D8" s="31" t="s">
        <v>839</v>
      </c>
      <c r="E8" s="31"/>
      <c r="F8" s="31" t="s">
        <v>840</v>
      </c>
      <c r="G8" s="31"/>
      <c r="H8" s="31" t="s">
        <v>912</v>
      </c>
      <c r="I8" s="32" t="s">
        <v>913</v>
      </c>
      <c r="J8" s="31" t="s">
        <v>914</v>
      </c>
      <c r="K8" s="31"/>
      <c r="L8" s="33"/>
      <c r="M8" s="33"/>
      <c r="N8" s="33"/>
      <c r="O8" s="33"/>
      <c r="P8" s="31" t="s">
        <v>19</v>
      </c>
      <c r="Q8" s="34">
        <v>46300</v>
      </c>
      <c r="R8" s="31" t="s">
        <v>126</v>
      </c>
      <c r="S8" s="31" t="s">
        <v>915</v>
      </c>
      <c r="T8" s="31" t="s">
        <v>128</v>
      </c>
      <c r="U8" s="31" t="s">
        <v>916</v>
      </c>
      <c r="V8" s="31" t="s">
        <v>917</v>
      </c>
      <c r="W8" s="31" t="s">
        <v>128</v>
      </c>
      <c r="X8" s="35"/>
      <c r="Y8" s="33"/>
      <c r="Z8" s="35"/>
      <c r="AA8" s="31"/>
      <c r="AB8" s="31" t="s">
        <v>131</v>
      </c>
      <c r="AC8" s="32" t="s">
        <v>918</v>
      </c>
    </row>
    <row r="9" spans="1:29" ht="60" x14ac:dyDescent="0.25">
      <c r="A9" s="31" t="s">
        <v>919</v>
      </c>
      <c r="B9" s="31" t="s">
        <v>920</v>
      </c>
      <c r="C9" s="31" t="s">
        <v>921</v>
      </c>
      <c r="D9" s="31" t="s">
        <v>289</v>
      </c>
      <c r="E9" s="31" t="s">
        <v>198</v>
      </c>
      <c r="F9" s="31" t="s">
        <v>138</v>
      </c>
      <c r="G9" s="31"/>
      <c r="H9" s="31" t="s">
        <v>922</v>
      </c>
      <c r="I9" s="32" t="s">
        <v>923</v>
      </c>
      <c r="J9" s="31"/>
      <c r="K9" s="32" t="s">
        <v>924</v>
      </c>
      <c r="L9" s="33"/>
      <c r="M9" s="33"/>
      <c r="N9" s="33"/>
      <c r="O9" s="33"/>
      <c r="P9" s="31" t="s">
        <v>19</v>
      </c>
      <c r="Q9" s="34">
        <v>46300</v>
      </c>
      <c r="R9" s="31" t="s">
        <v>126</v>
      </c>
      <c r="S9" s="31" t="s">
        <v>925</v>
      </c>
      <c r="T9" s="31" t="s">
        <v>128</v>
      </c>
      <c r="U9" s="31" t="s">
        <v>926</v>
      </c>
      <c r="V9" s="31" t="s">
        <v>927</v>
      </c>
      <c r="W9" s="31" t="s">
        <v>128</v>
      </c>
      <c r="X9" s="35"/>
      <c r="Y9" s="33"/>
      <c r="Z9" s="35"/>
      <c r="AA9" s="31"/>
      <c r="AB9" s="31" t="s">
        <v>131</v>
      </c>
      <c r="AC9" s="32" t="s">
        <v>928</v>
      </c>
    </row>
    <row r="10" spans="1:29" ht="48" x14ac:dyDescent="0.25">
      <c r="A10" s="31" t="s">
        <v>929</v>
      </c>
      <c r="B10" s="31" t="s">
        <v>930</v>
      </c>
      <c r="C10" s="31" t="s">
        <v>931</v>
      </c>
      <c r="D10" s="31" t="s">
        <v>300</v>
      </c>
      <c r="E10" s="31" t="s">
        <v>301</v>
      </c>
      <c r="F10" s="31" t="s">
        <v>138</v>
      </c>
      <c r="G10" s="31"/>
      <c r="H10" s="31"/>
      <c r="I10" s="32" t="s">
        <v>932</v>
      </c>
      <c r="J10" s="31"/>
      <c r="K10" s="31"/>
      <c r="L10" s="33"/>
      <c r="M10" s="33"/>
      <c r="N10" s="33"/>
      <c r="O10" s="33"/>
      <c r="P10" s="31" t="s">
        <v>19</v>
      </c>
      <c r="Q10" s="34">
        <v>46300</v>
      </c>
      <c r="R10" s="31" t="s">
        <v>126</v>
      </c>
      <c r="S10" s="31" t="s">
        <v>229</v>
      </c>
      <c r="T10" s="31" t="s">
        <v>128</v>
      </c>
      <c r="U10" s="31" t="s">
        <v>933</v>
      </c>
      <c r="V10" s="31" t="s">
        <v>934</v>
      </c>
      <c r="W10" s="31" t="s">
        <v>128</v>
      </c>
      <c r="X10" s="35"/>
      <c r="Y10" s="33"/>
      <c r="Z10" s="35"/>
      <c r="AA10" s="31"/>
      <c r="AB10" s="31" t="s">
        <v>131</v>
      </c>
      <c r="AC10" s="32" t="s">
        <v>935</v>
      </c>
    </row>
    <row r="11" spans="1:29" ht="36" x14ac:dyDescent="0.25">
      <c r="A11" s="31" t="s">
        <v>936</v>
      </c>
      <c r="B11" s="31" t="s">
        <v>937</v>
      </c>
      <c r="C11" s="31" t="s">
        <v>938</v>
      </c>
      <c r="D11" s="31" t="s">
        <v>939</v>
      </c>
      <c r="E11" s="31" t="s">
        <v>301</v>
      </c>
      <c r="F11" s="31" t="s">
        <v>138</v>
      </c>
      <c r="G11" s="31"/>
      <c r="H11" s="31"/>
      <c r="I11" s="32" t="s">
        <v>940</v>
      </c>
      <c r="J11" s="31"/>
      <c r="K11" s="31"/>
      <c r="L11" s="33"/>
      <c r="M11" s="33"/>
      <c r="N11" s="33"/>
      <c r="O11" s="33"/>
      <c r="P11" s="31" t="s">
        <v>19</v>
      </c>
      <c r="Q11" s="34">
        <v>46300</v>
      </c>
      <c r="R11" s="31" t="s">
        <v>126</v>
      </c>
      <c r="S11" s="31" t="s">
        <v>941</v>
      </c>
      <c r="T11" s="31" t="s">
        <v>128</v>
      </c>
      <c r="U11" s="31" t="s">
        <v>942</v>
      </c>
      <c r="V11" s="31" t="s">
        <v>943</v>
      </c>
      <c r="W11" s="31" t="s">
        <v>128</v>
      </c>
      <c r="X11" s="35"/>
      <c r="Y11" s="33"/>
      <c r="Z11" s="35"/>
      <c r="AA11" s="31"/>
      <c r="AB11" s="31" t="s">
        <v>131</v>
      </c>
      <c r="AC11" s="32" t="s">
        <v>944</v>
      </c>
    </row>
    <row r="12" spans="1:29" x14ac:dyDescent="0.25">
      <c r="A12" s="31"/>
      <c r="B12" s="31"/>
      <c r="C12" s="31"/>
      <c r="D12" s="31"/>
      <c r="E12" s="31"/>
      <c r="F12" s="31"/>
      <c r="G12" s="31"/>
      <c r="H12" s="31"/>
      <c r="I12" s="31"/>
      <c r="J12" s="31"/>
      <c r="K12" s="31"/>
      <c r="L12" s="33"/>
      <c r="M12" s="33"/>
      <c r="N12" s="33"/>
      <c r="O12" s="33"/>
      <c r="P12" s="31"/>
      <c r="Q12" s="34"/>
      <c r="R12" s="31"/>
      <c r="S12" s="31"/>
      <c r="T12" s="31"/>
      <c r="U12" s="31"/>
      <c r="V12" s="31"/>
      <c r="W12" s="31"/>
      <c r="X12" s="35"/>
      <c r="Y12" s="33"/>
      <c r="Z12" s="35"/>
      <c r="AA12" s="31"/>
      <c r="AB12" s="31"/>
      <c r="AC12" s="31"/>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6"/>
      <c r="B27" s="36"/>
      <c r="C27" s="36"/>
      <c r="D27" s="36"/>
      <c r="E27" s="36"/>
      <c r="F27" s="36"/>
      <c r="G27" s="36"/>
      <c r="H27" s="36"/>
      <c r="I27" s="36"/>
      <c r="J27" s="36"/>
      <c r="K27" s="36"/>
      <c r="L27" s="37"/>
      <c r="M27" s="37"/>
      <c r="N27" s="37"/>
      <c r="O27" s="37"/>
      <c r="P27" s="36"/>
      <c r="Q27" s="38"/>
      <c r="R27" s="36"/>
      <c r="S27" s="36"/>
      <c r="T27" s="36"/>
      <c r="U27" s="36"/>
      <c r="V27" s="36"/>
      <c r="W27" s="36"/>
      <c r="X27" s="39"/>
      <c r="Y27" s="37"/>
      <c r="Z27" s="39"/>
      <c r="AA27" s="36"/>
      <c r="AB27" s="36"/>
      <c r="AC27" s="36"/>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1" xr:uid="{00000000-0009-0000-0000-00000D000000}"/>
  <mergeCells count="7">
    <mergeCell ref="V3:W3"/>
    <mergeCell ref="X3:AC3"/>
    <mergeCell ref="A3:C3"/>
    <mergeCell ref="D3:H3"/>
    <mergeCell ref="I3:O3"/>
    <mergeCell ref="P3:R3"/>
    <mergeCell ref="S3:U3"/>
  </mergeCells>
  <conditionalFormatting sqref="P5:P300">
    <cfRule type="expression" dxfId="29" priority="2">
      <formula>$P5="AVL"</formula>
    </cfRule>
    <cfRule type="expression" dxfId="28" priority="3">
      <formula>$P5="Qualified"</formula>
    </cfRule>
    <cfRule type="expression" dxfId="27" priority="4">
      <formula>$P5="Prequalified"</formula>
    </cfRule>
    <cfRule type="expression" dxfId="26" priority="5">
      <formula>$P5="On Hold"</formula>
    </cfRule>
    <cfRule type="expression" dxfId="25" priority="6">
      <formula>$P5="Disqualified"</formula>
    </cfRule>
  </conditionalFormatting>
  <conditionalFormatting sqref="W5:W300">
    <cfRule type="expression" dxfId="24" priority="7">
      <formula>$W5="High"</formula>
    </cfRule>
    <cfRule type="expression" dxfId="23" priority="8">
      <formula>$W5="FEOC Review"</formula>
    </cfRule>
    <cfRule type="expression" dxfId="22" priority="9">
      <formula>$W5="Medium"</formula>
    </cfRule>
    <cfRule type="expression" dxfId="21" priority="10">
      <formula>$W5="Low"</formula>
    </cfRule>
  </conditionalFormatting>
  <conditionalFormatting sqref="Z5:Z300">
    <cfRule type="expression" dxfId="20" priority="11">
      <formula>AND($Z5&lt;&gt;"",$Z5&lt;TODAY())</formula>
    </cfRule>
  </conditionalFormatting>
  <dataValidations count="6">
    <dataValidation type="list" allowBlank="1" showErrorMessage="1" errorTitle="Invalid entry" error="Pick a value from the list (edit the Lists tab to change options)." sqref="P5:P300" xr:uid="{00000000-0002-0000-0D00-000000000000}">
      <formula1>lst_status</formula1>
      <formula2>0</formula2>
    </dataValidation>
    <dataValidation type="list" allowBlank="1" showErrorMessage="1" errorTitle="Invalid entry" error="Pick a value from the list (edit the Lists tab to change options)." sqref="R5:R300" xr:uid="{00000000-0002-0000-0D00-000001000000}">
      <formula1>lst_rfx</formula1>
      <formula2>0</formula2>
    </dataValidation>
    <dataValidation type="list" allowBlank="1" showErrorMessage="1" errorTitle="Invalid entry" error="Pick a value from the list (edit the Lists tab to change options)." sqref="T5:T300" xr:uid="{00000000-0002-0000-0D00-000002000000}">
      <formula1>lst_fin</formula1>
      <formula2>0</formula2>
    </dataValidation>
    <dataValidation type="list" allowBlank="1" showErrorMessage="1" errorTitle="Invalid entry" error="Pick a value from the list (edit the Lists tab to change options)." sqref="W5:W300" xr:uid="{00000000-0002-0000-0D00-000003000000}">
      <formula1>lst_scr</formula1>
      <formula2>0</formula2>
    </dataValidation>
    <dataValidation type="list" allowBlank="1" showErrorMessage="1" errorTitle="Invalid entry" error="Pick a value from the list (edit the Lists tab to change options)." sqref="AB5:AB300" xr:uid="{00000000-0002-0000-0D00-000004000000}">
      <formula1>lst_ver</formula1>
      <formula2>0</formula2>
    </dataValidation>
    <dataValidation type="date" operator="greaterThan" allowBlank="1" showErrorMessage="1" error="Enter a date (yyyy-mm-dd)." sqref="Q5:Q300 X5:X300 Z5:Z300" xr:uid="{00000000-0002-0000-0D00-000005000000}">
      <formula1>DATE(2020,1,1)</formula1>
      <formula2>0</formula2>
    </dataValidation>
  </dataValidations>
  <hyperlinks>
    <hyperlink ref="I5" r:id="rId1" xr:uid="{00000000-0004-0000-0D00-000000000000}"/>
    <hyperlink ref="AC5" r:id="rId2" xr:uid="{00000000-0004-0000-0D00-000001000000}"/>
    <hyperlink ref="I6" r:id="rId3" xr:uid="{00000000-0004-0000-0D00-000002000000}"/>
    <hyperlink ref="AC6" r:id="rId4" xr:uid="{00000000-0004-0000-0D00-000003000000}"/>
    <hyperlink ref="I7" r:id="rId5" xr:uid="{00000000-0004-0000-0D00-000004000000}"/>
    <hyperlink ref="AC7" r:id="rId6" xr:uid="{00000000-0004-0000-0D00-000005000000}"/>
    <hyperlink ref="I8" r:id="rId7" xr:uid="{00000000-0004-0000-0D00-000006000000}"/>
    <hyperlink ref="AC8" r:id="rId8" xr:uid="{00000000-0004-0000-0D00-000007000000}"/>
    <hyperlink ref="I9" r:id="rId9" xr:uid="{00000000-0004-0000-0D00-000008000000}"/>
    <hyperlink ref="K9" r:id="rId10" xr:uid="{00000000-0004-0000-0D00-000009000000}"/>
    <hyperlink ref="AC9" r:id="rId11" xr:uid="{00000000-0004-0000-0D00-00000A000000}"/>
    <hyperlink ref="I10" r:id="rId12" xr:uid="{00000000-0004-0000-0D00-00000B000000}"/>
    <hyperlink ref="AC10" r:id="rId13" xr:uid="{00000000-0004-0000-0D00-00000C000000}"/>
    <hyperlink ref="I11" r:id="rId14" xr:uid="{00000000-0004-0000-0D00-00000D000000}"/>
    <hyperlink ref="AC11" r:id="rId15" xr:uid="{00000000-0004-0000-0D00-00000E000000}"/>
  </hyperlinks>
  <pageMargins left="0.75" right="0.75" top="1" bottom="1" header="0.511811023622047" footer="0.511811023622047"/>
  <pageSetup paperSize="9" orientation="portrait" horizontalDpi="300" verticalDpi="300"/>
  <legacyDrawing r:id="rId1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945</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946</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947</v>
      </c>
      <c r="W4" s="30" t="s">
        <v>112</v>
      </c>
      <c r="X4" s="30" t="s">
        <v>113</v>
      </c>
      <c r="Y4" s="30" t="s">
        <v>114</v>
      </c>
      <c r="Z4" s="30" t="s">
        <v>115</v>
      </c>
      <c r="AA4" s="30" t="s">
        <v>116</v>
      </c>
      <c r="AB4" s="30" t="s">
        <v>117</v>
      </c>
      <c r="AC4" s="30" t="s">
        <v>118</v>
      </c>
    </row>
    <row r="5" spans="1:29" ht="36" x14ac:dyDescent="0.25">
      <c r="A5" s="31" t="s">
        <v>948</v>
      </c>
      <c r="B5" s="31" t="s">
        <v>949</v>
      </c>
      <c r="C5" s="31" t="s">
        <v>950</v>
      </c>
      <c r="D5" s="31" t="s">
        <v>951</v>
      </c>
      <c r="E5" s="31" t="s">
        <v>952</v>
      </c>
      <c r="F5" s="31" t="s">
        <v>138</v>
      </c>
      <c r="G5" s="31"/>
      <c r="H5" s="31" t="s">
        <v>249</v>
      </c>
      <c r="I5" s="32" t="s">
        <v>953</v>
      </c>
      <c r="J5" s="31" t="s">
        <v>954</v>
      </c>
      <c r="K5" s="32" t="s">
        <v>955</v>
      </c>
      <c r="L5" s="33"/>
      <c r="M5" s="33"/>
      <c r="N5" s="33"/>
      <c r="O5" s="33"/>
      <c r="P5" s="31" t="s">
        <v>19</v>
      </c>
      <c r="Q5" s="34">
        <v>46300</v>
      </c>
      <c r="R5" s="31" t="s">
        <v>126</v>
      </c>
      <c r="S5" s="31" t="s">
        <v>956</v>
      </c>
      <c r="T5" s="31" t="s">
        <v>128</v>
      </c>
      <c r="U5" s="31" t="s">
        <v>957</v>
      </c>
      <c r="V5" s="31"/>
      <c r="W5" s="31" t="s">
        <v>128</v>
      </c>
      <c r="X5" s="35"/>
      <c r="Y5" s="33"/>
      <c r="Z5" s="35"/>
      <c r="AA5" s="31"/>
      <c r="AB5" s="31" t="s">
        <v>131</v>
      </c>
      <c r="AC5" s="32" t="s">
        <v>958</v>
      </c>
    </row>
    <row r="6" spans="1:29" ht="24" x14ac:dyDescent="0.25">
      <c r="A6" s="31" t="s">
        <v>959</v>
      </c>
      <c r="B6" s="31" t="s">
        <v>960</v>
      </c>
      <c r="C6" s="31" t="s">
        <v>961</v>
      </c>
      <c r="D6" s="31" t="s">
        <v>962</v>
      </c>
      <c r="E6" s="31" t="s">
        <v>276</v>
      </c>
      <c r="F6" s="31" t="s">
        <v>138</v>
      </c>
      <c r="G6" s="31"/>
      <c r="H6" s="31" t="s">
        <v>963</v>
      </c>
      <c r="I6" s="32" t="s">
        <v>964</v>
      </c>
      <c r="J6" s="31" t="s">
        <v>965</v>
      </c>
      <c r="K6" s="32" t="s">
        <v>966</v>
      </c>
      <c r="L6" s="33"/>
      <c r="M6" s="33"/>
      <c r="N6" s="33"/>
      <c r="O6" s="33"/>
      <c r="P6" s="31" t="s">
        <v>19</v>
      </c>
      <c r="Q6" s="34">
        <v>46300</v>
      </c>
      <c r="R6" s="31" t="s">
        <v>126</v>
      </c>
      <c r="S6" s="31" t="s">
        <v>489</v>
      </c>
      <c r="T6" s="31" t="s">
        <v>128</v>
      </c>
      <c r="U6" s="31" t="s">
        <v>967</v>
      </c>
      <c r="V6" s="31"/>
      <c r="W6" s="31" t="s">
        <v>128</v>
      </c>
      <c r="X6" s="35"/>
      <c r="Y6" s="33"/>
      <c r="Z6" s="35"/>
      <c r="AA6" s="31"/>
      <c r="AB6" s="31" t="s">
        <v>131</v>
      </c>
      <c r="AC6" s="32" t="s">
        <v>968</v>
      </c>
    </row>
    <row r="7" spans="1:29" ht="48" x14ac:dyDescent="0.25">
      <c r="A7" s="31" t="s">
        <v>969</v>
      </c>
      <c r="B7" s="31" t="s">
        <v>970</v>
      </c>
      <c r="C7" s="31" t="s">
        <v>971</v>
      </c>
      <c r="D7" s="31" t="s">
        <v>972</v>
      </c>
      <c r="E7" s="31" t="s">
        <v>952</v>
      </c>
      <c r="F7" s="31" t="s">
        <v>138</v>
      </c>
      <c r="G7" s="31"/>
      <c r="H7" s="31"/>
      <c r="I7" s="32" t="s">
        <v>973</v>
      </c>
      <c r="J7" s="31" t="s">
        <v>974</v>
      </c>
      <c r="K7" s="32" t="s">
        <v>975</v>
      </c>
      <c r="L7" s="33"/>
      <c r="M7" s="33"/>
      <c r="N7" s="33"/>
      <c r="O7" s="33"/>
      <c r="P7" s="31" t="s">
        <v>19</v>
      </c>
      <c r="Q7" s="34">
        <v>46300</v>
      </c>
      <c r="R7" s="31" t="s">
        <v>126</v>
      </c>
      <c r="S7" s="31" t="s">
        <v>976</v>
      </c>
      <c r="T7" s="31" t="s">
        <v>128</v>
      </c>
      <c r="U7" s="31" t="s">
        <v>977</v>
      </c>
      <c r="V7" s="31"/>
      <c r="W7" s="31" t="s">
        <v>128</v>
      </c>
      <c r="X7" s="35"/>
      <c r="Y7" s="33"/>
      <c r="Z7" s="35"/>
      <c r="AA7" s="31"/>
      <c r="AB7" s="31" t="s">
        <v>131</v>
      </c>
      <c r="AC7" s="32" t="s">
        <v>978</v>
      </c>
    </row>
    <row r="8" spans="1:29" ht="36" x14ac:dyDescent="0.25">
      <c r="A8" s="31" t="s">
        <v>979</v>
      </c>
      <c r="B8" s="31" t="s">
        <v>273</v>
      </c>
      <c r="C8" s="31" t="s">
        <v>980</v>
      </c>
      <c r="D8" s="31" t="s">
        <v>275</v>
      </c>
      <c r="E8" s="31" t="s">
        <v>276</v>
      </c>
      <c r="F8" s="31" t="s">
        <v>138</v>
      </c>
      <c r="G8" s="31"/>
      <c r="H8" s="31" t="s">
        <v>277</v>
      </c>
      <c r="I8" s="32" t="s">
        <v>534</v>
      </c>
      <c r="J8" s="31" t="s">
        <v>535</v>
      </c>
      <c r="K8" s="32" t="s">
        <v>279</v>
      </c>
      <c r="L8" s="33"/>
      <c r="M8" s="33"/>
      <c r="N8" s="33"/>
      <c r="O8" s="33"/>
      <c r="P8" s="31" t="s">
        <v>19</v>
      </c>
      <c r="Q8" s="34">
        <v>46300</v>
      </c>
      <c r="R8" s="31" t="s">
        <v>126</v>
      </c>
      <c r="S8" s="31" t="s">
        <v>489</v>
      </c>
      <c r="T8" s="31" t="s">
        <v>128</v>
      </c>
      <c r="U8" s="31" t="s">
        <v>981</v>
      </c>
      <c r="V8" s="31"/>
      <c r="W8" s="31" t="s">
        <v>128</v>
      </c>
      <c r="X8" s="35"/>
      <c r="Y8" s="33"/>
      <c r="Z8" s="35"/>
      <c r="AA8" s="31"/>
      <c r="AB8" s="31" t="s">
        <v>131</v>
      </c>
      <c r="AC8" s="32" t="s">
        <v>982</v>
      </c>
    </row>
    <row r="9" spans="1:29" ht="48" x14ac:dyDescent="0.25">
      <c r="A9" s="31" t="s">
        <v>983</v>
      </c>
      <c r="B9" s="31" t="s">
        <v>984</v>
      </c>
      <c r="C9" s="31" t="s">
        <v>985</v>
      </c>
      <c r="D9" s="31" t="s">
        <v>986</v>
      </c>
      <c r="E9" s="31" t="s">
        <v>198</v>
      </c>
      <c r="F9" s="31" t="s">
        <v>138</v>
      </c>
      <c r="G9" s="31"/>
      <c r="H9" s="31" t="s">
        <v>987</v>
      </c>
      <c r="I9" s="32" t="s">
        <v>988</v>
      </c>
      <c r="J9" s="31" t="s">
        <v>989</v>
      </c>
      <c r="K9" s="32" t="s">
        <v>990</v>
      </c>
      <c r="L9" s="33"/>
      <c r="M9" s="33"/>
      <c r="N9" s="33"/>
      <c r="O9" s="33"/>
      <c r="P9" s="31" t="s">
        <v>19</v>
      </c>
      <c r="Q9" s="34">
        <v>46300</v>
      </c>
      <c r="R9" s="31" t="s">
        <v>126</v>
      </c>
      <c r="S9" s="31" t="s">
        <v>991</v>
      </c>
      <c r="T9" s="31" t="s">
        <v>128</v>
      </c>
      <c r="U9" s="31" t="s">
        <v>992</v>
      </c>
      <c r="V9" s="31"/>
      <c r="W9" s="31" t="s">
        <v>128</v>
      </c>
      <c r="X9" s="35"/>
      <c r="Y9" s="33"/>
      <c r="Z9" s="35"/>
      <c r="AA9" s="31"/>
      <c r="AB9" s="31" t="s">
        <v>131</v>
      </c>
      <c r="AC9" s="32" t="s">
        <v>990</v>
      </c>
    </row>
    <row r="10" spans="1:29" ht="24" x14ac:dyDescent="0.25">
      <c r="A10" s="31" t="s">
        <v>993</v>
      </c>
      <c r="B10" s="31" t="s">
        <v>994</v>
      </c>
      <c r="C10" s="31" t="s">
        <v>995</v>
      </c>
      <c r="D10" s="31" t="s">
        <v>996</v>
      </c>
      <c r="E10" s="31" t="s">
        <v>137</v>
      </c>
      <c r="F10" s="31" t="s">
        <v>138</v>
      </c>
      <c r="G10" s="31"/>
      <c r="H10" s="31" t="s">
        <v>997</v>
      </c>
      <c r="I10" s="32" t="s">
        <v>998</v>
      </c>
      <c r="J10" s="31" t="s">
        <v>999</v>
      </c>
      <c r="K10" s="32" t="s">
        <v>1000</v>
      </c>
      <c r="L10" s="33"/>
      <c r="M10" s="33"/>
      <c r="N10" s="33"/>
      <c r="O10" s="33"/>
      <c r="P10" s="31" t="s">
        <v>19</v>
      </c>
      <c r="Q10" s="34">
        <v>46300</v>
      </c>
      <c r="R10" s="31" t="s">
        <v>126</v>
      </c>
      <c r="S10" s="31" t="s">
        <v>1001</v>
      </c>
      <c r="T10" s="31" t="s">
        <v>128</v>
      </c>
      <c r="U10" s="31" t="s">
        <v>1002</v>
      </c>
      <c r="V10" s="31"/>
      <c r="W10" s="31" t="s">
        <v>128</v>
      </c>
      <c r="X10" s="35"/>
      <c r="Y10" s="33"/>
      <c r="Z10" s="35"/>
      <c r="AA10" s="31"/>
      <c r="AB10" s="31" t="s">
        <v>131</v>
      </c>
      <c r="AC10" s="32" t="s">
        <v>1000</v>
      </c>
    </row>
    <row r="11" spans="1:29" ht="36" x14ac:dyDescent="0.25">
      <c r="A11" s="31" t="s">
        <v>1003</v>
      </c>
      <c r="B11" s="31" t="s">
        <v>1004</v>
      </c>
      <c r="C11" s="31" t="s">
        <v>1005</v>
      </c>
      <c r="D11" s="31" t="s">
        <v>1006</v>
      </c>
      <c r="E11" s="31" t="s">
        <v>137</v>
      </c>
      <c r="F11" s="31" t="s">
        <v>138</v>
      </c>
      <c r="G11" s="31"/>
      <c r="H11" s="31"/>
      <c r="I11" s="32" t="s">
        <v>1007</v>
      </c>
      <c r="J11" s="31" t="s">
        <v>1008</v>
      </c>
      <c r="K11" s="32" t="s">
        <v>1009</v>
      </c>
      <c r="L11" s="33"/>
      <c r="M11" s="33"/>
      <c r="N11" s="33"/>
      <c r="O11" s="33"/>
      <c r="P11" s="31" t="s">
        <v>19</v>
      </c>
      <c r="Q11" s="34">
        <v>46300</v>
      </c>
      <c r="R11" s="31" t="s">
        <v>126</v>
      </c>
      <c r="S11" s="31" t="s">
        <v>1010</v>
      </c>
      <c r="T11" s="31" t="s">
        <v>128</v>
      </c>
      <c r="U11" s="31" t="s">
        <v>1011</v>
      </c>
      <c r="V11" s="31"/>
      <c r="W11" s="31" t="s">
        <v>128</v>
      </c>
      <c r="X11" s="35"/>
      <c r="Y11" s="33"/>
      <c r="Z11" s="35"/>
      <c r="AA11" s="31"/>
      <c r="AB11" s="31" t="s">
        <v>131</v>
      </c>
      <c r="AC11" s="32" t="s">
        <v>1009</v>
      </c>
    </row>
    <row r="12" spans="1:29" ht="72" x14ac:dyDescent="0.25">
      <c r="A12" s="31" t="s">
        <v>1012</v>
      </c>
      <c r="B12" s="31" t="s">
        <v>1013</v>
      </c>
      <c r="C12" s="31" t="s">
        <v>1014</v>
      </c>
      <c r="D12" s="31" t="s">
        <v>1015</v>
      </c>
      <c r="E12" s="31" t="s">
        <v>812</v>
      </c>
      <c r="F12" s="31" t="s">
        <v>138</v>
      </c>
      <c r="G12" s="31"/>
      <c r="H12" s="31"/>
      <c r="I12" s="32" t="s">
        <v>1016</v>
      </c>
      <c r="J12" s="31"/>
      <c r="K12" s="31"/>
      <c r="L12" s="33"/>
      <c r="M12" s="33"/>
      <c r="N12" s="33"/>
      <c r="O12" s="33"/>
      <c r="P12" s="31" t="s">
        <v>19</v>
      </c>
      <c r="Q12" s="34">
        <v>46300</v>
      </c>
      <c r="R12" s="31" t="s">
        <v>126</v>
      </c>
      <c r="S12" s="31" t="s">
        <v>1017</v>
      </c>
      <c r="T12" s="31" t="s">
        <v>128</v>
      </c>
      <c r="U12" s="31" t="s">
        <v>1018</v>
      </c>
      <c r="V12" s="31" t="s">
        <v>1019</v>
      </c>
      <c r="W12" s="31" t="s">
        <v>128</v>
      </c>
      <c r="X12" s="35"/>
      <c r="Y12" s="33"/>
      <c r="Z12" s="35"/>
      <c r="AA12" s="31"/>
      <c r="AB12" s="31" t="s">
        <v>131</v>
      </c>
      <c r="AC12" s="32" t="s">
        <v>1020</v>
      </c>
    </row>
    <row r="13" spans="1:29" x14ac:dyDescent="0.25">
      <c r="A13" s="31"/>
      <c r="B13" s="31"/>
      <c r="C13" s="31"/>
      <c r="D13" s="31"/>
      <c r="E13" s="31"/>
      <c r="F13" s="31"/>
      <c r="G13" s="31"/>
      <c r="H13" s="31"/>
      <c r="I13" s="31"/>
      <c r="J13" s="31"/>
      <c r="K13" s="31"/>
      <c r="L13" s="33"/>
      <c r="M13" s="33"/>
      <c r="N13" s="33"/>
      <c r="O13" s="33"/>
      <c r="P13" s="31"/>
      <c r="Q13" s="34"/>
      <c r="R13" s="31"/>
      <c r="S13" s="31"/>
      <c r="T13" s="31"/>
      <c r="U13" s="31"/>
      <c r="V13" s="31"/>
      <c r="W13" s="31"/>
      <c r="X13" s="35"/>
      <c r="Y13" s="33"/>
      <c r="Z13" s="35"/>
      <c r="AA13" s="31"/>
      <c r="AB13" s="31"/>
      <c r="AC13" s="31"/>
    </row>
    <row r="14" spans="1:29" x14ac:dyDescent="0.25">
      <c r="A14" s="31"/>
      <c r="B14" s="31"/>
      <c r="C14" s="31"/>
      <c r="D14" s="31"/>
      <c r="E14" s="31"/>
      <c r="F14" s="31"/>
      <c r="G14" s="31"/>
      <c r="H14" s="31"/>
      <c r="I14" s="31"/>
      <c r="J14" s="31"/>
      <c r="K14" s="31"/>
      <c r="L14" s="33"/>
      <c r="M14" s="33"/>
      <c r="N14" s="33"/>
      <c r="O14" s="33"/>
      <c r="P14" s="31"/>
      <c r="Q14" s="34"/>
      <c r="R14" s="31"/>
      <c r="S14" s="31"/>
      <c r="T14" s="31"/>
      <c r="U14" s="31"/>
      <c r="V14" s="31"/>
      <c r="W14" s="31"/>
      <c r="X14" s="35"/>
      <c r="Y14" s="33"/>
      <c r="Z14" s="35"/>
      <c r="AA14" s="31"/>
      <c r="AB14" s="31"/>
      <c r="AC14" s="31"/>
    </row>
    <row r="15" spans="1:29" x14ac:dyDescent="0.25">
      <c r="A15" s="31"/>
      <c r="B15" s="31"/>
      <c r="C15" s="31"/>
      <c r="D15" s="31"/>
      <c r="E15" s="31"/>
      <c r="F15" s="31"/>
      <c r="G15" s="31"/>
      <c r="H15" s="31"/>
      <c r="I15" s="31"/>
      <c r="J15" s="31"/>
      <c r="K15" s="31"/>
      <c r="L15" s="33"/>
      <c r="M15" s="33"/>
      <c r="N15" s="33"/>
      <c r="O15" s="33"/>
      <c r="P15" s="31"/>
      <c r="Q15" s="34"/>
      <c r="R15" s="31"/>
      <c r="S15" s="31"/>
      <c r="T15" s="31"/>
      <c r="U15" s="31"/>
      <c r="V15" s="31"/>
      <c r="W15" s="31"/>
      <c r="X15" s="35"/>
      <c r="Y15" s="33"/>
      <c r="Z15" s="35"/>
      <c r="AA15" s="31"/>
      <c r="AB15" s="31"/>
      <c r="AC15" s="31"/>
    </row>
    <row r="16" spans="1:29" x14ac:dyDescent="0.25">
      <c r="A16" s="31"/>
      <c r="B16" s="31"/>
      <c r="C16" s="31"/>
      <c r="D16" s="31"/>
      <c r="E16" s="31"/>
      <c r="F16" s="31"/>
      <c r="G16" s="31"/>
      <c r="H16" s="31"/>
      <c r="I16" s="31"/>
      <c r="J16" s="31"/>
      <c r="K16" s="31"/>
      <c r="L16" s="33"/>
      <c r="M16" s="33"/>
      <c r="N16" s="33"/>
      <c r="O16" s="33"/>
      <c r="P16" s="31"/>
      <c r="Q16" s="34"/>
      <c r="R16" s="31"/>
      <c r="S16" s="31"/>
      <c r="T16" s="31"/>
      <c r="U16" s="31"/>
      <c r="V16" s="31"/>
      <c r="W16" s="31"/>
      <c r="X16" s="35"/>
      <c r="Y16" s="33"/>
      <c r="Z16" s="35"/>
      <c r="AA16" s="31"/>
      <c r="AB16" s="31"/>
      <c r="AC16" s="31"/>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6"/>
      <c r="B28" s="36"/>
      <c r="C28" s="36"/>
      <c r="D28" s="36"/>
      <c r="E28" s="36"/>
      <c r="F28" s="36"/>
      <c r="G28" s="36"/>
      <c r="H28" s="36"/>
      <c r="I28" s="36"/>
      <c r="J28" s="36"/>
      <c r="K28" s="36"/>
      <c r="L28" s="37"/>
      <c r="M28" s="37"/>
      <c r="N28" s="37"/>
      <c r="O28" s="37"/>
      <c r="P28" s="36"/>
      <c r="Q28" s="38"/>
      <c r="R28" s="36"/>
      <c r="S28" s="36"/>
      <c r="T28" s="36"/>
      <c r="U28" s="36"/>
      <c r="V28" s="36"/>
      <c r="W28" s="36"/>
      <c r="X28" s="39"/>
      <c r="Y28" s="37"/>
      <c r="Z28" s="39"/>
      <c r="AA28" s="36"/>
      <c r="AB28" s="36"/>
      <c r="AC28" s="36"/>
    </row>
    <row r="29" spans="1:29" x14ac:dyDescent="0.25">
      <c r="A29" s="36"/>
      <c r="B29" s="36"/>
      <c r="C29" s="36"/>
      <c r="D29" s="36"/>
      <c r="E29" s="36"/>
      <c r="F29" s="36"/>
      <c r="G29" s="36"/>
      <c r="H29" s="36"/>
      <c r="I29" s="36"/>
      <c r="J29" s="36"/>
      <c r="K29" s="36"/>
      <c r="L29" s="37"/>
      <c r="M29" s="37"/>
      <c r="N29" s="37"/>
      <c r="O29" s="37"/>
      <c r="P29" s="36"/>
      <c r="Q29" s="38"/>
      <c r="R29" s="36"/>
      <c r="S29" s="36"/>
      <c r="T29" s="36"/>
      <c r="U29" s="36"/>
      <c r="V29" s="36"/>
      <c r="W29" s="36"/>
      <c r="X29" s="39"/>
      <c r="Y29" s="37"/>
      <c r="Z29" s="39"/>
      <c r="AA29" s="36"/>
      <c r="AB29" s="36"/>
      <c r="AC29" s="36"/>
    </row>
    <row r="30" spans="1:29" x14ac:dyDescent="0.25">
      <c r="A30" s="36"/>
      <c r="B30" s="36"/>
      <c r="C30" s="36"/>
      <c r="D30" s="36"/>
      <c r="E30" s="36"/>
      <c r="F30" s="36"/>
      <c r="G30" s="36"/>
      <c r="H30" s="36"/>
      <c r="I30" s="36"/>
      <c r="J30" s="36"/>
      <c r="K30" s="36"/>
      <c r="L30" s="37"/>
      <c r="M30" s="37"/>
      <c r="N30" s="37"/>
      <c r="O30" s="37"/>
      <c r="P30" s="36"/>
      <c r="Q30" s="38"/>
      <c r="R30" s="36"/>
      <c r="S30" s="36"/>
      <c r="T30" s="36"/>
      <c r="U30" s="36"/>
      <c r="V30" s="36"/>
      <c r="W30" s="36"/>
      <c r="X30" s="39"/>
      <c r="Y30" s="37"/>
      <c r="Z30" s="39"/>
      <c r="AA30" s="36"/>
      <c r="AB30" s="36"/>
      <c r="AC30" s="36"/>
    </row>
    <row r="31" spans="1:29" x14ac:dyDescent="0.25">
      <c r="A31" s="36"/>
      <c r="B31" s="36"/>
      <c r="C31" s="36"/>
      <c r="D31" s="36"/>
      <c r="E31" s="36"/>
      <c r="F31" s="36"/>
      <c r="G31" s="36"/>
      <c r="H31" s="36"/>
      <c r="I31" s="36"/>
      <c r="J31" s="36"/>
      <c r="K31" s="36"/>
      <c r="L31" s="37"/>
      <c r="M31" s="37"/>
      <c r="N31" s="37"/>
      <c r="O31" s="37"/>
      <c r="P31" s="36"/>
      <c r="Q31" s="38"/>
      <c r="R31" s="36"/>
      <c r="S31" s="36"/>
      <c r="T31" s="36"/>
      <c r="U31" s="36"/>
      <c r="V31" s="36"/>
      <c r="W31" s="36"/>
      <c r="X31" s="39"/>
      <c r="Y31" s="37"/>
      <c r="Z31" s="39"/>
      <c r="AA31" s="36"/>
      <c r="AB31" s="36"/>
      <c r="AC31" s="36"/>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2" xr:uid="{00000000-0009-0000-0000-00000E000000}"/>
  <mergeCells count="7">
    <mergeCell ref="V3:W3"/>
    <mergeCell ref="X3:AC3"/>
    <mergeCell ref="A3:C3"/>
    <mergeCell ref="D3:H3"/>
    <mergeCell ref="I3:O3"/>
    <mergeCell ref="P3:R3"/>
    <mergeCell ref="S3:U3"/>
  </mergeCells>
  <conditionalFormatting sqref="P5:P300">
    <cfRule type="expression" dxfId="19" priority="2">
      <formula>$P5="AVL"</formula>
    </cfRule>
    <cfRule type="expression" dxfId="18" priority="3">
      <formula>$P5="Qualified"</formula>
    </cfRule>
    <cfRule type="expression" dxfId="17" priority="4">
      <formula>$P5="Prequalified"</formula>
    </cfRule>
    <cfRule type="expression" dxfId="16" priority="5">
      <formula>$P5="On Hold"</formula>
    </cfRule>
    <cfRule type="expression" dxfId="15" priority="6">
      <formula>$P5="Disqualified"</formula>
    </cfRule>
  </conditionalFormatting>
  <conditionalFormatting sqref="W5:W300">
    <cfRule type="expression" dxfId="14" priority="7">
      <formula>$W5="High"</formula>
    </cfRule>
    <cfRule type="expression" dxfId="13" priority="8">
      <formula>$W5="FEOC Review"</formula>
    </cfRule>
    <cfRule type="expression" dxfId="12" priority="9">
      <formula>$W5="Medium"</formula>
    </cfRule>
    <cfRule type="expression" dxfId="11" priority="10">
      <formula>$W5="Low"</formula>
    </cfRule>
  </conditionalFormatting>
  <conditionalFormatting sqref="Z5:Z300">
    <cfRule type="expression" dxfId="10" priority="11">
      <formula>AND($Z5&lt;&gt;"",$Z5&lt;TODAY())</formula>
    </cfRule>
  </conditionalFormatting>
  <dataValidations count="6">
    <dataValidation type="list" allowBlank="1" showErrorMessage="1" errorTitle="Invalid entry" error="Pick a value from the list (edit the Lists tab to change options)." sqref="P5:P300" xr:uid="{00000000-0002-0000-0E00-000000000000}">
      <formula1>lst_status</formula1>
      <formula2>0</formula2>
    </dataValidation>
    <dataValidation type="list" allowBlank="1" showErrorMessage="1" errorTitle="Invalid entry" error="Pick a value from the list (edit the Lists tab to change options)." sqref="R5:R300" xr:uid="{00000000-0002-0000-0E00-000001000000}">
      <formula1>lst_rfx</formula1>
      <formula2>0</formula2>
    </dataValidation>
    <dataValidation type="list" allowBlank="1" showErrorMessage="1" errorTitle="Invalid entry" error="Pick a value from the list (edit the Lists tab to change options)." sqref="T5:T300" xr:uid="{00000000-0002-0000-0E00-000002000000}">
      <formula1>lst_fin</formula1>
      <formula2>0</formula2>
    </dataValidation>
    <dataValidation type="list" allowBlank="1" showErrorMessage="1" errorTitle="Invalid entry" error="Pick a value from the list (edit the Lists tab to change options)." sqref="W5:W300" xr:uid="{00000000-0002-0000-0E00-000003000000}">
      <formula1>lst_scr</formula1>
      <formula2>0</formula2>
    </dataValidation>
    <dataValidation type="list" allowBlank="1" showErrorMessage="1" errorTitle="Invalid entry" error="Pick a value from the list (edit the Lists tab to change options)." sqref="AB5:AB300" xr:uid="{00000000-0002-0000-0E00-000004000000}">
      <formula1>lst_ver</formula1>
      <formula2>0</formula2>
    </dataValidation>
    <dataValidation type="date" operator="greaterThan" allowBlank="1" showErrorMessage="1" error="Enter a date (yyyy-mm-dd)." sqref="Q5:Q300 X5:X300 Z5:Z300" xr:uid="{00000000-0002-0000-0E00-000005000000}">
      <formula1>DATE(2020,1,1)</formula1>
      <formula2>0</formula2>
    </dataValidation>
  </dataValidations>
  <hyperlinks>
    <hyperlink ref="I5" r:id="rId1" xr:uid="{00000000-0004-0000-0E00-000000000000}"/>
    <hyperlink ref="K5" r:id="rId2" xr:uid="{00000000-0004-0000-0E00-000001000000}"/>
    <hyperlink ref="AC5" r:id="rId3" xr:uid="{00000000-0004-0000-0E00-000002000000}"/>
    <hyperlink ref="I6" r:id="rId4" xr:uid="{00000000-0004-0000-0E00-000003000000}"/>
    <hyperlink ref="K6" r:id="rId5" xr:uid="{00000000-0004-0000-0E00-000004000000}"/>
    <hyperlink ref="AC6" r:id="rId6" xr:uid="{00000000-0004-0000-0E00-000005000000}"/>
    <hyperlink ref="I7" r:id="rId7" xr:uid="{00000000-0004-0000-0E00-000006000000}"/>
    <hyperlink ref="K7" r:id="rId8" xr:uid="{00000000-0004-0000-0E00-000007000000}"/>
    <hyperlink ref="AC7" r:id="rId9" xr:uid="{00000000-0004-0000-0E00-000008000000}"/>
    <hyperlink ref="I8" r:id="rId10" xr:uid="{00000000-0004-0000-0E00-000009000000}"/>
    <hyperlink ref="K8" r:id="rId11" xr:uid="{00000000-0004-0000-0E00-00000A000000}"/>
    <hyperlink ref="AC8" r:id="rId12" xr:uid="{00000000-0004-0000-0E00-00000B000000}"/>
    <hyperlink ref="I9" r:id="rId13" xr:uid="{00000000-0004-0000-0E00-00000C000000}"/>
    <hyperlink ref="K9" r:id="rId14" xr:uid="{00000000-0004-0000-0E00-00000D000000}"/>
    <hyperlink ref="AC9" r:id="rId15" xr:uid="{00000000-0004-0000-0E00-00000E000000}"/>
    <hyperlink ref="I10" r:id="rId16" xr:uid="{00000000-0004-0000-0E00-00000F000000}"/>
    <hyperlink ref="K10" r:id="rId17" xr:uid="{00000000-0004-0000-0E00-000010000000}"/>
    <hyperlink ref="AC10" r:id="rId18" xr:uid="{00000000-0004-0000-0E00-000011000000}"/>
    <hyperlink ref="I11" r:id="rId19" xr:uid="{00000000-0004-0000-0E00-000012000000}"/>
    <hyperlink ref="K11" r:id="rId20" xr:uid="{00000000-0004-0000-0E00-000013000000}"/>
    <hyperlink ref="AC11" r:id="rId21" xr:uid="{00000000-0004-0000-0E00-000014000000}"/>
    <hyperlink ref="I12" r:id="rId22" xr:uid="{00000000-0004-0000-0E00-000015000000}"/>
    <hyperlink ref="AC12" r:id="rId23" xr:uid="{00000000-0004-0000-0E00-000016000000}"/>
  </hyperlinks>
  <pageMargins left="0.75" right="0.75" top="1" bottom="1" header="0.511811023622047" footer="0.511811023622047"/>
  <pageSetup paperSize="9" orientation="portrait" horizontalDpi="300" verticalDpi="300"/>
  <legacyDrawing r:id="rId2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5C8A"/>
  </sheetPr>
  <dimension ref="A1:AC300"/>
  <sheetViews>
    <sheetView zoomScale="90" zoomScaleNormal="90" workbookViewId="0">
      <pane xSplit="2" ySplit="4" topLeftCell="C5" activePane="bottomRight" state="frozen"/>
      <selection pane="topRight" activeCell="C1" sqref="C1"/>
      <selection pane="bottomLeft" activeCell="A5" sqref="A5"/>
      <selection pane="bottomRight"/>
    </sheetView>
  </sheetViews>
  <sheetFormatPr defaultColWidth="8.7109375" defaultRowHeight="15" x14ac:dyDescent="0.25"/>
  <cols>
    <col min="1" max="1" width="10" customWidth="1"/>
    <col min="2" max="2" width="30" customWidth="1"/>
    <col min="3" max="3" width="40" customWidth="1"/>
    <col min="4" max="4" width="15" customWidth="1"/>
    <col min="5" max="5" width="11" customWidth="1"/>
    <col min="6" max="6" width="13" customWidth="1"/>
    <col min="7" max="7" width="18" customWidth="1"/>
    <col min="8" max="9" width="28" customWidth="1"/>
    <col min="10" max="10" width="18" customWidth="1"/>
    <col min="11" max="11" width="28" customWidth="1"/>
    <col min="12" max="12" width="20" customWidth="1"/>
    <col min="13" max="13" width="18" customWidth="1"/>
    <col min="14" max="14" width="24" customWidth="1"/>
    <col min="15" max="16" width="15" customWidth="1"/>
    <col min="17" max="17" width="12" customWidth="1"/>
    <col min="18" max="18" width="14" customWidth="1"/>
    <col min="19" max="19" width="24" customWidth="1"/>
    <col min="20" max="20" width="13" customWidth="1"/>
    <col min="21" max="22" width="45" customWidth="1"/>
    <col min="23" max="23" width="13" customWidth="1"/>
    <col min="24" max="24" width="12" customWidth="1"/>
    <col min="25" max="25" width="24" customWidth="1"/>
    <col min="26" max="26" width="12" customWidth="1"/>
    <col min="27" max="27" width="30" customWidth="1"/>
    <col min="28" max="28" width="14" customWidth="1"/>
    <col min="29" max="29" width="30" customWidth="1"/>
  </cols>
  <sheetData>
    <row r="1" spans="1:29" ht="18" x14ac:dyDescent="0.25">
      <c r="A1" s="24" t="s">
        <v>1021</v>
      </c>
    </row>
    <row r="2" spans="1:29" x14ac:dyDescent="0.25">
      <c r="A2" s="9" t="s">
        <v>90</v>
      </c>
    </row>
    <row r="3" spans="1:29" x14ac:dyDescent="0.25">
      <c r="A3" s="7" t="s">
        <v>58</v>
      </c>
      <c r="B3" s="7"/>
      <c r="C3" s="7"/>
      <c r="D3" s="6" t="s">
        <v>60</v>
      </c>
      <c r="E3" s="6"/>
      <c r="F3" s="6"/>
      <c r="G3" s="6"/>
      <c r="H3" s="6"/>
      <c r="I3" s="5" t="s">
        <v>61</v>
      </c>
      <c r="J3" s="5"/>
      <c r="K3" s="5"/>
      <c r="L3" s="5"/>
      <c r="M3" s="5"/>
      <c r="N3" s="5"/>
      <c r="O3" s="5"/>
      <c r="P3" s="4" t="s">
        <v>62</v>
      </c>
      <c r="Q3" s="4"/>
      <c r="R3" s="4"/>
      <c r="S3" s="3" t="s">
        <v>32</v>
      </c>
      <c r="T3" s="3"/>
      <c r="U3" s="3"/>
      <c r="V3" s="2" t="s">
        <v>34</v>
      </c>
      <c r="W3" s="2"/>
      <c r="X3" s="1" t="s">
        <v>63</v>
      </c>
      <c r="Y3" s="1"/>
      <c r="Z3" s="1"/>
      <c r="AA3" s="1"/>
      <c r="AB3" s="1"/>
      <c r="AC3" s="1"/>
    </row>
    <row r="4" spans="1:29" ht="31.5" customHeight="1" x14ac:dyDescent="0.25">
      <c r="A4" s="30" t="s">
        <v>91</v>
      </c>
      <c r="B4" s="30" t="s">
        <v>92</v>
      </c>
      <c r="C4" s="30" t="s">
        <v>1022</v>
      </c>
      <c r="D4" s="30" t="s">
        <v>94</v>
      </c>
      <c r="E4" s="30" t="s">
        <v>95</v>
      </c>
      <c r="F4" s="30" t="s">
        <v>96</v>
      </c>
      <c r="G4" s="30" t="s">
        <v>97</v>
      </c>
      <c r="H4" s="30" t="s">
        <v>98</v>
      </c>
      <c r="I4" s="30" t="s">
        <v>99</v>
      </c>
      <c r="J4" s="30" t="s">
        <v>100</v>
      </c>
      <c r="K4" s="30" t="s">
        <v>101</v>
      </c>
      <c r="L4" s="30" t="s">
        <v>102</v>
      </c>
      <c r="M4" s="30" t="s">
        <v>103</v>
      </c>
      <c r="N4" s="30" t="s">
        <v>104</v>
      </c>
      <c r="O4" s="30" t="s">
        <v>105</v>
      </c>
      <c r="P4" s="30" t="s">
        <v>106</v>
      </c>
      <c r="Q4" s="30" t="s">
        <v>107</v>
      </c>
      <c r="R4" s="30" t="s">
        <v>108</v>
      </c>
      <c r="S4" s="30" t="s">
        <v>109</v>
      </c>
      <c r="T4" s="30" t="s">
        <v>41</v>
      </c>
      <c r="U4" s="30" t="s">
        <v>110</v>
      </c>
      <c r="V4" s="30" t="s">
        <v>1023</v>
      </c>
      <c r="W4" s="30" t="s">
        <v>112</v>
      </c>
      <c r="X4" s="30" t="s">
        <v>113</v>
      </c>
      <c r="Y4" s="30" t="s">
        <v>114</v>
      </c>
      <c r="Z4" s="30" t="s">
        <v>115</v>
      </c>
      <c r="AA4" s="30" t="s">
        <v>116</v>
      </c>
      <c r="AB4" s="30" t="s">
        <v>117</v>
      </c>
      <c r="AC4" s="30" t="s">
        <v>118</v>
      </c>
    </row>
    <row r="5" spans="1:29" ht="96" x14ac:dyDescent="0.25">
      <c r="A5" s="31" t="s">
        <v>1024</v>
      </c>
      <c r="B5" s="31" t="s">
        <v>1025</v>
      </c>
      <c r="C5" s="31" t="s">
        <v>1026</v>
      </c>
      <c r="D5" s="31" t="s">
        <v>359</v>
      </c>
      <c r="E5" s="31" t="s">
        <v>198</v>
      </c>
      <c r="F5" s="31" t="s">
        <v>138</v>
      </c>
      <c r="G5" s="31"/>
      <c r="H5" s="31" t="s">
        <v>1027</v>
      </c>
      <c r="I5" s="32" t="s">
        <v>1028</v>
      </c>
      <c r="J5" s="31"/>
      <c r="K5" s="32" t="s">
        <v>1029</v>
      </c>
      <c r="L5" s="33"/>
      <c r="M5" s="33"/>
      <c r="N5" s="33"/>
      <c r="O5" s="33"/>
      <c r="P5" s="31" t="s">
        <v>19</v>
      </c>
      <c r="Q5" s="34">
        <v>46300</v>
      </c>
      <c r="R5" s="31" t="s">
        <v>126</v>
      </c>
      <c r="S5" s="31" t="s">
        <v>617</v>
      </c>
      <c r="T5" s="31" t="s">
        <v>128</v>
      </c>
      <c r="U5" s="31" t="s">
        <v>1030</v>
      </c>
      <c r="V5" s="31" t="s">
        <v>1031</v>
      </c>
      <c r="W5" s="31" t="s">
        <v>128</v>
      </c>
      <c r="X5" s="35"/>
      <c r="Y5" s="33"/>
      <c r="Z5" s="35"/>
      <c r="AA5" s="31"/>
      <c r="AB5" s="31" t="s">
        <v>131</v>
      </c>
      <c r="AC5" s="32" t="s">
        <v>1028</v>
      </c>
    </row>
    <row r="6" spans="1:29" ht="48" x14ac:dyDescent="0.25">
      <c r="A6" s="31" t="s">
        <v>1032</v>
      </c>
      <c r="B6" s="31" t="s">
        <v>1033</v>
      </c>
      <c r="C6" s="31" t="s">
        <v>1034</v>
      </c>
      <c r="D6" s="31" t="s">
        <v>623</v>
      </c>
      <c r="E6" s="31" t="s">
        <v>260</v>
      </c>
      <c r="F6" s="31" t="s">
        <v>138</v>
      </c>
      <c r="G6" s="31"/>
      <c r="H6" s="31" t="s">
        <v>1035</v>
      </c>
      <c r="I6" s="32" t="s">
        <v>624</v>
      </c>
      <c r="J6" s="31"/>
      <c r="K6" s="32" t="s">
        <v>1036</v>
      </c>
      <c r="L6" s="33"/>
      <c r="M6" s="33"/>
      <c r="N6" s="33"/>
      <c r="O6" s="33"/>
      <c r="P6" s="31" t="s">
        <v>19</v>
      </c>
      <c r="Q6" s="34">
        <v>46300</v>
      </c>
      <c r="R6" s="31" t="s">
        <v>126</v>
      </c>
      <c r="S6" s="31" t="s">
        <v>1037</v>
      </c>
      <c r="T6" s="31" t="s">
        <v>128</v>
      </c>
      <c r="U6" s="31" t="s">
        <v>1038</v>
      </c>
      <c r="V6" s="31" t="s">
        <v>1039</v>
      </c>
      <c r="W6" s="31" t="s">
        <v>128</v>
      </c>
      <c r="X6" s="35"/>
      <c r="Y6" s="33"/>
      <c r="Z6" s="35"/>
      <c r="AA6" s="31"/>
      <c r="AB6" s="31" t="s">
        <v>131</v>
      </c>
      <c r="AC6" s="32" t="s">
        <v>1036</v>
      </c>
    </row>
    <row r="7" spans="1:29" ht="48" x14ac:dyDescent="0.25">
      <c r="A7" s="31" t="s">
        <v>1040</v>
      </c>
      <c r="B7" s="31" t="s">
        <v>1041</v>
      </c>
      <c r="C7" s="31" t="s">
        <v>1042</v>
      </c>
      <c r="D7" s="31" t="s">
        <v>1043</v>
      </c>
      <c r="E7" s="31" t="s">
        <v>503</v>
      </c>
      <c r="F7" s="31" t="s">
        <v>138</v>
      </c>
      <c r="G7" s="31"/>
      <c r="H7" s="31"/>
      <c r="I7" s="32" t="s">
        <v>1044</v>
      </c>
      <c r="J7" s="31" t="s">
        <v>1045</v>
      </c>
      <c r="K7" s="32" t="s">
        <v>1046</v>
      </c>
      <c r="L7" s="33"/>
      <c r="M7" s="33"/>
      <c r="N7" s="33"/>
      <c r="O7" s="33"/>
      <c r="P7" s="31" t="s">
        <v>19</v>
      </c>
      <c r="Q7" s="34">
        <v>46300</v>
      </c>
      <c r="R7" s="31" t="s">
        <v>126</v>
      </c>
      <c r="S7" s="31" t="s">
        <v>1047</v>
      </c>
      <c r="T7" s="31" t="s">
        <v>128</v>
      </c>
      <c r="U7" s="31" t="s">
        <v>1048</v>
      </c>
      <c r="V7" s="31"/>
      <c r="W7" s="31" t="s">
        <v>128</v>
      </c>
      <c r="X7" s="35"/>
      <c r="Y7" s="33"/>
      <c r="Z7" s="35"/>
      <c r="AA7" s="31"/>
      <c r="AB7" s="31" t="s">
        <v>131</v>
      </c>
      <c r="AC7" s="32" t="s">
        <v>1049</v>
      </c>
    </row>
    <row r="8" spans="1:29" ht="60" x14ac:dyDescent="0.25">
      <c r="A8" s="31" t="s">
        <v>1050</v>
      </c>
      <c r="B8" s="31" t="s">
        <v>1051</v>
      </c>
      <c r="C8" s="31" t="s">
        <v>1052</v>
      </c>
      <c r="D8" s="31" t="s">
        <v>1053</v>
      </c>
      <c r="E8" s="31" t="s">
        <v>1054</v>
      </c>
      <c r="F8" s="31" t="s">
        <v>138</v>
      </c>
      <c r="G8" s="31"/>
      <c r="H8" s="31"/>
      <c r="I8" s="32" t="s">
        <v>1055</v>
      </c>
      <c r="J8" s="31" t="s">
        <v>1056</v>
      </c>
      <c r="K8" s="32" t="s">
        <v>1057</v>
      </c>
      <c r="L8" s="33"/>
      <c r="M8" s="33"/>
      <c r="N8" s="33"/>
      <c r="O8" s="33"/>
      <c r="P8" s="31" t="s">
        <v>19</v>
      </c>
      <c r="Q8" s="34">
        <v>46300</v>
      </c>
      <c r="R8" s="31" t="s">
        <v>126</v>
      </c>
      <c r="S8" s="31" t="s">
        <v>1058</v>
      </c>
      <c r="T8" s="31" t="s">
        <v>128</v>
      </c>
      <c r="U8" s="31" t="s">
        <v>1059</v>
      </c>
      <c r="V8" s="31" t="s">
        <v>1060</v>
      </c>
      <c r="W8" s="31" t="s">
        <v>128</v>
      </c>
      <c r="X8" s="35"/>
      <c r="Y8" s="33"/>
      <c r="Z8" s="35"/>
      <c r="AA8" s="31"/>
      <c r="AB8" s="31" t="s">
        <v>131</v>
      </c>
      <c r="AC8" s="32" t="s">
        <v>1057</v>
      </c>
    </row>
    <row r="9" spans="1:29" ht="48" x14ac:dyDescent="0.25">
      <c r="A9" s="31" t="s">
        <v>1061</v>
      </c>
      <c r="B9" s="31" t="s">
        <v>1062</v>
      </c>
      <c r="C9" s="31" t="s">
        <v>1063</v>
      </c>
      <c r="D9" s="31" t="s">
        <v>1043</v>
      </c>
      <c r="E9" s="31" t="s">
        <v>503</v>
      </c>
      <c r="F9" s="31" t="s">
        <v>138</v>
      </c>
      <c r="G9" s="31"/>
      <c r="H9" s="31"/>
      <c r="I9" s="32" t="s">
        <v>1064</v>
      </c>
      <c r="J9" s="31" t="s">
        <v>1065</v>
      </c>
      <c r="K9" s="32" t="s">
        <v>1066</v>
      </c>
      <c r="L9" s="33"/>
      <c r="M9" s="33"/>
      <c r="N9" s="33"/>
      <c r="O9" s="33"/>
      <c r="P9" s="31" t="s">
        <v>19</v>
      </c>
      <c r="Q9" s="34">
        <v>46300</v>
      </c>
      <c r="R9" s="31" t="s">
        <v>126</v>
      </c>
      <c r="S9" s="31" t="s">
        <v>1067</v>
      </c>
      <c r="T9" s="31" t="s">
        <v>128</v>
      </c>
      <c r="U9" s="31" t="s">
        <v>1068</v>
      </c>
      <c r="V9" s="31"/>
      <c r="W9" s="31" t="s">
        <v>128</v>
      </c>
      <c r="X9" s="35"/>
      <c r="Y9" s="33"/>
      <c r="Z9" s="35"/>
      <c r="AA9" s="31"/>
      <c r="AB9" s="31" t="s">
        <v>131</v>
      </c>
      <c r="AC9" s="32" t="s">
        <v>1069</v>
      </c>
    </row>
    <row r="10" spans="1:29" ht="108" x14ac:dyDescent="0.25">
      <c r="A10" s="31" t="s">
        <v>1070</v>
      </c>
      <c r="B10" s="31" t="s">
        <v>1071</v>
      </c>
      <c r="C10" s="31" t="s">
        <v>1072</v>
      </c>
      <c r="D10" s="31" t="s">
        <v>359</v>
      </c>
      <c r="E10" s="31" t="s">
        <v>198</v>
      </c>
      <c r="F10" s="31" t="s">
        <v>138</v>
      </c>
      <c r="G10" s="31"/>
      <c r="H10" s="31" t="s">
        <v>1073</v>
      </c>
      <c r="I10" s="32" t="s">
        <v>1074</v>
      </c>
      <c r="J10" s="31" t="s">
        <v>1075</v>
      </c>
      <c r="K10" s="32" t="s">
        <v>1076</v>
      </c>
      <c r="L10" s="33"/>
      <c r="M10" s="33"/>
      <c r="N10" s="33"/>
      <c r="O10" s="33"/>
      <c r="P10" s="31" t="s">
        <v>19</v>
      </c>
      <c r="Q10" s="34">
        <v>46300</v>
      </c>
      <c r="R10" s="31" t="s">
        <v>126</v>
      </c>
      <c r="S10" s="31" t="s">
        <v>1077</v>
      </c>
      <c r="T10" s="31" t="s">
        <v>128</v>
      </c>
      <c r="U10" s="31" t="s">
        <v>1078</v>
      </c>
      <c r="V10" s="31"/>
      <c r="W10" s="31" t="s">
        <v>128</v>
      </c>
      <c r="X10" s="35"/>
      <c r="Y10" s="33"/>
      <c r="Z10" s="35"/>
      <c r="AA10" s="31"/>
      <c r="AB10" s="31" t="s">
        <v>131</v>
      </c>
      <c r="AC10" s="32" t="s">
        <v>1076</v>
      </c>
    </row>
    <row r="11" spans="1:29" ht="60" x14ac:dyDescent="0.25">
      <c r="A11" s="31" t="s">
        <v>1079</v>
      </c>
      <c r="B11" s="31" t="s">
        <v>1080</v>
      </c>
      <c r="C11" s="31" t="s">
        <v>1081</v>
      </c>
      <c r="D11" s="31" t="s">
        <v>1082</v>
      </c>
      <c r="E11" s="31" t="s">
        <v>137</v>
      </c>
      <c r="F11" s="31" t="s">
        <v>138</v>
      </c>
      <c r="G11" s="31"/>
      <c r="H11" s="31"/>
      <c r="I11" s="32" t="s">
        <v>1083</v>
      </c>
      <c r="J11" s="31" t="s">
        <v>1084</v>
      </c>
      <c r="K11" s="32" t="s">
        <v>1085</v>
      </c>
      <c r="L11" s="33"/>
      <c r="M11" s="33"/>
      <c r="N11" s="33"/>
      <c r="O11" s="33"/>
      <c r="P11" s="31" t="s">
        <v>19</v>
      </c>
      <c r="Q11" s="34">
        <v>46300</v>
      </c>
      <c r="R11" s="31" t="s">
        <v>126</v>
      </c>
      <c r="S11" s="31" t="s">
        <v>1086</v>
      </c>
      <c r="T11" s="31" t="s">
        <v>128</v>
      </c>
      <c r="U11" s="31" t="s">
        <v>1087</v>
      </c>
      <c r="V11" s="31" t="s">
        <v>1088</v>
      </c>
      <c r="W11" s="31" t="s">
        <v>128</v>
      </c>
      <c r="X11" s="35"/>
      <c r="Y11" s="33"/>
      <c r="Z11" s="35"/>
      <c r="AA11" s="31"/>
      <c r="AB11" s="31" t="s">
        <v>131</v>
      </c>
      <c r="AC11" s="32" t="s">
        <v>1089</v>
      </c>
    </row>
    <row r="12" spans="1:29" ht="48" x14ac:dyDescent="0.25">
      <c r="A12" s="31" t="s">
        <v>1090</v>
      </c>
      <c r="B12" s="31" t="s">
        <v>1091</v>
      </c>
      <c r="C12" s="31" t="s">
        <v>1092</v>
      </c>
      <c r="D12" s="31" t="s">
        <v>1093</v>
      </c>
      <c r="E12" s="31" t="s">
        <v>1094</v>
      </c>
      <c r="F12" s="31" t="s">
        <v>123</v>
      </c>
      <c r="G12" s="31"/>
      <c r="H12" s="31" t="s">
        <v>1095</v>
      </c>
      <c r="I12" s="32" t="s">
        <v>1096</v>
      </c>
      <c r="J12" s="31"/>
      <c r="K12" s="32" t="s">
        <v>1097</v>
      </c>
      <c r="L12" s="33"/>
      <c r="M12" s="33"/>
      <c r="N12" s="33"/>
      <c r="O12" s="33"/>
      <c r="P12" s="31" t="s">
        <v>19</v>
      </c>
      <c r="Q12" s="34">
        <v>46300</v>
      </c>
      <c r="R12" s="31" t="s">
        <v>126</v>
      </c>
      <c r="S12" s="31" t="s">
        <v>1098</v>
      </c>
      <c r="T12" s="31" t="s">
        <v>128</v>
      </c>
      <c r="U12" s="31" t="s">
        <v>1099</v>
      </c>
      <c r="V12" s="31"/>
      <c r="W12" s="31" t="s">
        <v>128</v>
      </c>
      <c r="X12" s="35"/>
      <c r="Y12" s="33"/>
      <c r="Z12" s="35"/>
      <c r="AA12" s="31"/>
      <c r="AB12" s="31" t="s">
        <v>131</v>
      </c>
      <c r="AC12" s="32" t="s">
        <v>1097</v>
      </c>
    </row>
    <row r="13" spans="1:29" ht="36" x14ac:dyDescent="0.25">
      <c r="A13" s="31" t="s">
        <v>1100</v>
      </c>
      <c r="B13" s="31" t="s">
        <v>1101</v>
      </c>
      <c r="C13" s="31" t="s">
        <v>1102</v>
      </c>
      <c r="D13" s="31" t="s">
        <v>1082</v>
      </c>
      <c r="E13" s="31" t="s">
        <v>137</v>
      </c>
      <c r="F13" s="31" t="s">
        <v>138</v>
      </c>
      <c r="G13" s="31"/>
      <c r="H13" s="31"/>
      <c r="I13" s="32" t="s">
        <v>1103</v>
      </c>
      <c r="J13" s="31"/>
      <c r="K13" s="32" t="s">
        <v>1104</v>
      </c>
      <c r="L13" s="33"/>
      <c r="M13" s="33"/>
      <c r="N13" s="33"/>
      <c r="O13" s="33"/>
      <c r="P13" s="31" t="s">
        <v>19</v>
      </c>
      <c r="Q13" s="34">
        <v>46300</v>
      </c>
      <c r="R13" s="31" t="s">
        <v>126</v>
      </c>
      <c r="S13" s="31" t="s">
        <v>1105</v>
      </c>
      <c r="T13" s="31" t="s">
        <v>128</v>
      </c>
      <c r="U13" s="31" t="s">
        <v>1106</v>
      </c>
      <c r="V13" s="31"/>
      <c r="W13" s="31" t="s">
        <v>128</v>
      </c>
      <c r="X13" s="35"/>
      <c r="Y13" s="33"/>
      <c r="Z13" s="35"/>
      <c r="AA13" s="31"/>
      <c r="AB13" s="31" t="s">
        <v>131</v>
      </c>
      <c r="AC13" s="32" t="s">
        <v>1107</v>
      </c>
    </row>
    <row r="14" spans="1:29" ht="36" x14ac:dyDescent="0.25">
      <c r="A14" s="31" t="s">
        <v>1108</v>
      </c>
      <c r="B14" s="31" t="s">
        <v>1109</v>
      </c>
      <c r="C14" s="31" t="s">
        <v>1110</v>
      </c>
      <c r="D14" s="31" t="s">
        <v>122</v>
      </c>
      <c r="E14" s="31" t="s">
        <v>1094</v>
      </c>
      <c r="F14" s="31" t="s">
        <v>123</v>
      </c>
      <c r="G14" s="31"/>
      <c r="H14" s="31"/>
      <c r="I14" s="32" t="s">
        <v>1111</v>
      </c>
      <c r="J14" s="31"/>
      <c r="K14" s="31"/>
      <c r="L14" s="33"/>
      <c r="M14" s="33"/>
      <c r="N14" s="33"/>
      <c r="O14" s="33"/>
      <c r="P14" s="31" t="s">
        <v>19</v>
      </c>
      <c r="Q14" s="34">
        <v>46300</v>
      </c>
      <c r="R14" s="31" t="s">
        <v>126</v>
      </c>
      <c r="S14" s="31" t="s">
        <v>1112</v>
      </c>
      <c r="T14" s="31" t="s">
        <v>128</v>
      </c>
      <c r="U14" s="31" t="s">
        <v>1113</v>
      </c>
      <c r="V14" s="31" t="s">
        <v>1114</v>
      </c>
      <c r="W14" s="31" t="s">
        <v>128</v>
      </c>
      <c r="X14" s="35"/>
      <c r="Y14" s="33"/>
      <c r="Z14" s="35"/>
      <c r="AA14" s="31"/>
      <c r="AB14" s="31" t="s">
        <v>131</v>
      </c>
      <c r="AC14" s="32" t="s">
        <v>1115</v>
      </c>
    </row>
    <row r="15" spans="1:29" ht="36" x14ac:dyDescent="0.25">
      <c r="A15" s="31" t="s">
        <v>1116</v>
      </c>
      <c r="B15" s="31" t="s">
        <v>1117</v>
      </c>
      <c r="C15" s="31" t="s">
        <v>1118</v>
      </c>
      <c r="D15" s="31" t="s">
        <v>289</v>
      </c>
      <c r="E15" s="31" t="s">
        <v>198</v>
      </c>
      <c r="F15" s="31" t="s">
        <v>138</v>
      </c>
      <c r="G15" s="31"/>
      <c r="H15" s="31" t="s">
        <v>1119</v>
      </c>
      <c r="I15" s="32" t="s">
        <v>1120</v>
      </c>
      <c r="J15" s="31" t="s">
        <v>1121</v>
      </c>
      <c r="K15" s="32" t="s">
        <v>1122</v>
      </c>
      <c r="L15" s="33"/>
      <c r="M15" s="33"/>
      <c r="N15" s="33"/>
      <c r="O15" s="33"/>
      <c r="P15" s="31" t="s">
        <v>19</v>
      </c>
      <c r="Q15" s="34">
        <v>46300</v>
      </c>
      <c r="R15" s="31" t="s">
        <v>126</v>
      </c>
      <c r="S15" s="31" t="s">
        <v>1123</v>
      </c>
      <c r="T15" s="31" t="s">
        <v>128</v>
      </c>
      <c r="U15" s="31" t="s">
        <v>1124</v>
      </c>
      <c r="V15" s="31" t="s">
        <v>1125</v>
      </c>
      <c r="W15" s="31" t="s">
        <v>128</v>
      </c>
      <c r="X15" s="35"/>
      <c r="Y15" s="33"/>
      <c r="Z15" s="35"/>
      <c r="AA15" s="31"/>
      <c r="AB15" s="31" t="s">
        <v>131</v>
      </c>
      <c r="AC15" s="32" t="s">
        <v>1122</v>
      </c>
    </row>
    <row r="16" spans="1:29" ht="48" x14ac:dyDescent="0.25">
      <c r="A16" s="31" t="s">
        <v>1126</v>
      </c>
      <c r="B16" s="31" t="s">
        <v>1127</v>
      </c>
      <c r="C16" s="31" t="s">
        <v>1128</v>
      </c>
      <c r="D16" s="31" t="s">
        <v>1129</v>
      </c>
      <c r="E16" s="31" t="s">
        <v>198</v>
      </c>
      <c r="F16" s="31" t="s">
        <v>138</v>
      </c>
      <c r="G16" s="31"/>
      <c r="H16" s="31" t="s">
        <v>1130</v>
      </c>
      <c r="I16" s="32" t="s">
        <v>1131</v>
      </c>
      <c r="J16" s="31" t="s">
        <v>1132</v>
      </c>
      <c r="K16" s="32" t="s">
        <v>1133</v>
      </c>
      <c r="L16" s="33"/>
      <c r="M16" s="33"/>
      <c r="N16" s="33"/>
      <c r="O16" s="33"/>
      <c r="P16" s="31" t="s">
        <v>19</v>
      </c>
      <c r="Q16" s="34">
        <v>46300</v>
      </c>
      <c r="R16" s="31" t="s">
        <v>126</v>
      </c>
      <c r="S16" s="31" t="s">
        <v>1134</v>
      </c>
      <c r="T16" s="31" t="s">
        <v>128</v>
      </c>
      <c r="U16" s="31" t="s">
        <v>1135</v>
      </c>
      <c r="V16" s="31" t="s">
        <v>1136</v>
      </c>
      <c r="W16" s="31" t="s">
        <v>128</v>
      </c>
      <c r="X16" s="35"/>
      <c r="Y16" s="33"/>
      <c r="Z16" s="35"/>
      <c r="AA16" s="31"/>
      <c r="AB16" s="31" t="s">
        <v>131</v>
      </c>
      <c r="AC16" s="32" t="s">
        <v>1131</v>
      </c>
    </row>
    <row r="17" spans="1:29" x14ac:dyDescent="0.25">
      <c r="A17" s="31"/>
      <c r="B17" s="31"/>
      <c r="C17" s="31"/>
      <c r="D17" s="31"/>
      <c r="E17" s="31"/>
      <c r="F17" s="31"/>
      <c r="G17" s="31"/>
      <c r="H17" s="31"/>
      <c r="I17" s="31"/>
      <c r="J17" s="31"/>
      <c r="K17" s="31"/>
      <c r="L17" s="33"/>
      <c r="M17" s="33"/>
      <c r="N17" s="33"/>
      <c r="O17" s="33"/>
      <c r="P17" s="31"/>
      <c r="Q17" s="34"/>
      <c r="R17" s="31"/>
      <c r="S17" s="31"/>
      <c r="T17" s="31"/>
      <c r="U17" s="31"/>
      <c r="V17" s="31"/>
      <c r="W17" s="31"/>
      <c r="X17" s="35"/>
      <c r="Y17" s="33"/>
      <c r="Z17" s="35"/>
      <c r="AA17" s="31"/>
      <c r="AB17" s="31"/>
      <c r="AC17" s="31"/>
    </row>
    <row r="18" spans="1:29" x14ac:dyDescent="0.25">
      <c r="A18" s="31"/>
      <c r="B18" s="31"/>
      <c r="C18" s="31"/>
      <c r="D18" s="31"/>
      <c r="E18" s="31"/>
      <c r="F18" s="31"/>
      <c r="G18" s="31"/>
      <c r="H18" s="31"/>
      <c r="I18" s="31"/>
      <c r="J18" s="31"/>
      <c r="K18" s="31"/>
      <c r="L18" s="33"/>
      <c r="M18" s="33"/>
      <c r="N18" s="33"/>
      <c r="O18" s="33"/>
      <c r="P18" s="31"/>
      <c r="Q18" s="34"/>
      <c r="R18" s="31"/>
      <c r="S18" s="31"/>
      <c r="T18" s="31"/>
      <c r="U18" s="31"/>
      <c r="V18" s="31"/>
      <c r="W18" s="31"/>
      <c r="X18" s="35"/>
      <c r="Y18" s="33"/>
      <c r="Z18" s="35"/>
      <c r="AA18" s="31"/>
      <c r="AB18" s="31"/>
      <c r="AC18" s="31"/>
    </row>
    <row r="19" spans="1:29" x14ac:dyDescent="0.25">
      <c r="A19" s="31"/>
      <c r="B19" s="31"/>
      <c r="C19" s="31"/>
      <c r="D19" s="31"/>
      <c r="E19" s="31"/>
      <c r="F19" s="31"/>
      <c r="G19" s="31"/>
      <c r="H19" s="31"/>
      <c r="I19" s="31"/>
      <c r="J19" s="31"/>
      <c r="K19" s="31"/>
      <c r="L19" s="33"/>
      <c r="M19" s="33"/>
      <c r="N19" s="33"/>
      <c r="O19" s="33"/>
      <c r="P19" s="31"/>
      <c r="Q19" s="34"/>
      <c r="R19" s="31"/>
      <c r="S19" s="31"/>
      <c r="T19" s="31"/>
      <c r="U19" s="31"/>
      <c r="V19" s="31"/>
      <c r="W19" s="31"/>
      <c r="X19" s="35"/>
      <c r="Y19" s="33"/>
      <c r="Z19" s="35"/>
      <c r="AA19" s="31"/>
      <c r="AB19" s="31"/>
      <c r="AC19" s="31"/>
    </row>
    <row r="20" spans="1:29" x14ac:dyDescent="0.25">
      <c r="A20" s="31"/>
      <c r="B20" s="31"/>
      <c r="C20" s="31"/>
      <c r="D20" s="31"/>
      <c r="E20" s="31"/>
      <c r="F20" s="31"/>
      <c r="G20" s="31"/>
      <c r="H20" s="31"/>
      <c r="I20" s="31"/>
      <c r="J20" s="31"/>
      <c r="K20" s="31"/>
      <c r="L20" s="33"/>
      <c r="M20" s="33"/>
      <c r="N20" s="33"/>
      <c r="O20" s="33"/>
      <c r="P20" s="31"/>
      <c r="Q20" s="34"/>
      <c r="R20" s="31"/>
      <c r="S20" s="31"/>
      <c r="T20" s="31"/>
      <c r="U20" s="31"/>
      <c r="V20" s="31"/>
      <c r="W20" s="31"/>
      <c r="X20" s="35"/>
      <c r="Y20" s="33"/>
      <c r="Z20" s="35"/>
      <c r="AA20" s="31"/>
      <c r="AB20" s="31"/>
      <c r="AC20" s="31"/>
    </row>
    <row r="21" spans="1:29" x14ac:dyDescent="0.25">
      <c r="A21" s="31"/>
      <c r="B21" s="31"/>
      <c r="C21" s="31"/>
      <c r="D21" s="31"/>
      <c r="E21" s="31"/>
      <c r="F21" s="31"/>
      <c r="G21" s="31"/>
      <c r="H21" s="31"/>
      <c r="I21" s="31"/>
      <c r="J21" s="31"/>
      <c r="K21" s="31"/>
      <c r="L21" s="33"/>
      <c r="M21" s="33"/>
      <c r="N21" s="33"/>
      <c r="O21" s="33"/>
      <c r="P21" s="31"/>
      <c r="Q21" s="34"/>
      <c r="R21" s="31"/>
      <c r="S21" s="31"/>
      <c r="T21" s="31"/>
      <c r="U21" s="31"/>
      <c r="V21" s="31"/>
      <c r="W21" s="31"/>
      <c r="X21" s="35"/>
      <c r="Y21" s="33"/>
      <c r="Z21" s="35"/>
      <c r="AA21" s="31"/>
      <c r="AB21" s="31"/>
      <c r="AC21" s="31"/>
    </row>
    <row r="22" spans="1:29" x14ac:dyDescent="0.25">
      <c r="A22" s="31"/>
      <c r="B22" s="31"/>
      <c r="C22" s="31"/>
      <c r="D22" s="31"/>
      <c r="E22" s="31"/>
      <c r="F22" s="31"/>
      <c r="G22" s="31"/>
      <c r="H22" s="31"/>
      <c r="I22" s="31"/>
      <c r="J22" s="31"/>
      <c r="K22" s="31"/>
      <c r="L22" s="33"/>
      <c r="M22" s="33"/>
      <c r="N22" s="33"/>
      <c r="O22" s="33"/>
      <c r="P22" s="31"/>
      <c r="Q22" s="34"/>
      <c r="R22" s="31"/>
      <c r="S22" s="31"/>
      <c r="T22" s="31"/>
      <c r="U22" s="31"/>
      <c r="V22" s="31"/>
      <c r="W22" s="31"/>
      <c r="X22" s="35"/>
      <c r="Y22" s="33"/>
      <c r="Z22" s="35"/>
      <c r="AA22" s="31"/>
      <c r="AB22" s="31"/>
      <c r="AC22" s="31"/>
    </row>
    <row r="23" spans="1:29" x14ac:dyDescent="0.25">
      <c r="A23" s="31"/>
      <c r="B23" s="31"/>
      <c r="C23" s="31"/>
      <c r="D23" s="31"/>
      <c r="E23" s="31"/>
      <c r="F23" s="31"/>
      <c r="G23" s="31"/>
      <c r="H23" s="31"/>
      <c r="I23" s="31"/>
      <c r="J23" s="31"/>
      <c r="K23" s="31"/>
      <c r="L23" s="33"/>
      <c r="M23" s="33"/>
      <c r="N23" s="33"/>
      <c r="O23" s="33"/>
      <c r="P23" s="31"/>
      <c r="Q23" s="34"/>
      <c r="R23" s="31"/>
      <c r="S23" s="31"/>
      <c r="T23" s="31"/>
      <c r="U23" s="31"/>
      <c r="V23" s="31"/>
      <c r="W23" s="31"/>
      <c r="X23" s="35"/>
      <c r="Y23" s="33"/>
      <c r="Z23" s="35"/>
      <c r="AA23" s="31"/>
      <c r="AB23" s="31"/>
      <c r="AC23" s="31"/>
    </row>
    <row r="24" spans="1:29" x14ac:dyDescent="0.25">
      <c r="A24" s="31"/>
      <c r="B24" s="31"/>
      <c r="C24" s="31"/>
      <c r="D24" s="31"/>
      <c r="E24" s="31"/>
      <c r="F24" s="31"/>
      <c r="G24" s="31"/>
      <c r="H24" s="31"/>
      <c r="I24" s="31"/>
      <c r="J24" s="31"/>
      <c r="K24" s="31"/>
      <c r="L24" s="33"/>
      <c r="M24" s="33"/>
      <c r="N24" s="33"/>
      <c r="O24" s="33"/>
      <c r="P24" s="31"/>
      <c r="Q24" s="34"/>
      <c r="R24" s="31"/>
      <c r="S24" s="31"/>
      <c r="T24" s="31"/>
      <c r="U24" s="31"/>
      <c r="V24" s="31"/>
      <c r="W24" s="31"/>
      <c r="X24" s="35"/>
      <c r="Y24" s="33"/>
      <c r="Z24" s="35"/>
      <c r="AA24" s="31"/>
      <c r="AB24" s="31"/>
      <c r="AC24" s="31"/>
    </row>
    <row r="25" spans="1:29" x14ac:dyDescent="0.25">
      <c r="A25" s="31"/>
      <c r="B25" s="31"/>
      <c r="C25" s="31"/>
      <c r="D25" s="31"/>
      <c r="E25" s="31"/>
      <c r="F25" s="31"/>
      <c r="G25" s="31"/>
      <c r="H25" s="31"/>
      <c r="I25" s="31"/>
      <c r="J25" s="31"/>
      <c r="K25" s="31"/>
      <c r="L25" s="33"/>
      <c r="M25" s="33"/>
      <c r="N25" s="33"/>
      <c r="O25" s="33"/>
      <c r="P25" s="31"/>
      <c r="Q25" s="34"/>
      <c r="R25" s="31"/>
      <c r="S25" s="31"/>
      <c r="T25" s="31"/>
      <c r="U25" s="31"/>
      <c r="V25" s="31"/>
      <c r="W25" s="31"/>
      <c r="X25" s="35"/>
      <c r="Y25" s="33"/>
      <c r="Z25" s="35"/>
      <c r="AA25" s="31"/>
      <c r="AB25" s="31"/>
      <c r="AC25" s="31"/>
    </row>
    <row r="26" spans="1:29" x14ac:dyDescent="0.25">
      <c r="A26" s="31"/>
      <c r="B26" s="31"/>
      <c r="C26" s="31"/>
      <c r="D26" s="31"/>
      <c r="E26" s="31"/>
      <c r="F26" s="31"/>
      <c r="G26" s="31"/>
      <c r="H26" s="31"/>
      <c r="I26" s="31"/>
      <c r="J26" s="31"/>
      <c r="K26" s="31"/>
      <c r="L26" s="33"/>
      <c r="M26" s="33"/>
      <c r="N26" s="33"/>
      <c r="O26" s="33"/>
      <c r="P26" s="31"/>
      <c r="Q26" s="34"/>
      <c r="R26" s="31"/>
      <c r="S26" s="31"/>
      <c r="T26" s="31"/>
      <c r="U26" s="31"/>
      <c r="V26" s="31"/>
      <c r="W26" s="31"/>
      <c r="X26" s="35"/>
      <c r="Y26" s="33"/>
      <c r="Z26" s="35"/>
      <c r="AA26" s="31"/>
      <c r="AB26" s="31"/>
      <c r="AC26" s="31"/>
    </row>
    <row r="27" spans="1:29" x14ac:dyDescent="0.25">
      <c r="A27" s="31"/>
      <c r="B27" s="31"/>
      <c r="C27" s="31"/>
      <c r="D27" s="31"/>
      <c r="E27" s="31"/>
      <c r="F27" s="31"/>
      <c r="G27" s="31"/>
      <c r="H27" s="31"/>
      <c r="I27" s="31"/>
      <c r="J27" s="31"/>
      <c r="K27" s="31"/>
      <c r="L27" s="33"/>
      <c r="M27" s="33"/>
      <c r="N27" s="33"/>
      <c r="O27" s="33"/>
      <c r="P27" s="31"/>
      <c r="Q27" s="34"/>
      <c r="R27" s="31"/>
      <c r="S27" s="31"/>
      <c r="T27" s="31"/>
      <c r="U27" s="31"/>
      <c r="V27" s="31"/>
      <c r="W27" s="31"/>
      <c r="X27" s="35"/>
      <c r="Y27" s="33"/>
      <c r="Z27" s="35"/>
      <c r="AA27" s="31"/>
      <c r="AB27" s="31"/>
      <c r="AC27" s="31"/>
    </row>
    <row r="28" spans="1:29" x14ac:dyDescent="0.25">
      <c r="A28" s="31"/>
      <c r="B28" s="31"/>
      <c r="C28" s="31"/>
      <c r="D28" s="31"/>
      <c r="E28" s="31"/>
      <c r="F28" s="31"/>
      <c r="G28" s="31"/>
      <c r="H28" s="31"/>
      <c r="I28" s="31"/>
      <c r="J28" s="31"/>
      <c r="K28" s="31"/>
      <c r="L28" s="33"/>
      <c r="M28" s="33"/>
      <c r="N28" s="33"/>
      <c r="O28" s="33"/>
      <c r="P28" s="31"/>
      <c r="Q28" s="34"/>
      <c r="R28" s="31"/>
      <c r="S28" s="31"/>
      <c r="T28" s="31"/>
      <c r="U28" s="31"/>
      <c r="V28" s="31"/>
      <c r="W28" s="31"/>
      <c r="X28" s="35"/>
      <c r="Y28" s="33"/>
      <c r="Z28" s="35"/>
      <c r="AA28" s="31"/>
      <c r="AB28" s="31"/>
      <c r="AC28" s="31"/>
    </row>
    <row r="29" spans="1:29" x14ac:dyDescent="0.25">
      <c r="A29" s="31"/>
      <c r="B29" s="31"/>
      <c r="C29" s="31"/>
      <c r="D29" s="31"/>
      <c r="E29" s="31"/>
      <c r="F29" s="31"/>
      <c r="G29" s="31"/>
      <c r="H29" s="31"/>
      <c r="I29" s="31"/>
      <c r="J29" s="31"/>
      <c r="K29" s="31"/>
      <c r="L29" s="33"/>
      <c r="M29" s="33"/>
      <c r="N29" s="33"/>
      <c r="O29" s="33"/>
      <c r="P29" s="31"/>
      <c r="Q29" s="34"/>
      <c r="R29" s="31"/>
      <c r="S29" s="31"/>
      <c r="T29" s="31"/>
      <c r="U29" s="31"/>
      <c r="V29" s="31"/>
      <c r="W29" s="31"/>
      <c r="X29" s="35"/>
      <c r="Y29" s="33"/>
      <c r="Z29" s="35"/>
      <c r="AA29" s="31"/>
      <c r="AB29" s="31"/>
      <c r="AC29" s="31"/>
    </row>
    <row r="30" spans="1:29" x14ac:dyDescent="0.25">
      <c r="A30" s="31"/>
      <c r="B30" s="31"/>
      <c r="C30" s="31"/>
      <c r="D30" s="31"/>
      <c r="E30" s="31"/>
      <c r="F30" s="31"/>
      <c r="G30" s="31"/>
      <c r="H30" s="31"/>
      <c r="I30" s="31"/>
      <c r="J30" s="31"/>
      <c r="K30" s="31"/>
      <c r="L30" s="33"/>
      <c r="M30" s="33"/>
      <c r="N30" s="33"/>
      <c r="O30" s="33"/>
      <c r="P30" s="31"/>
      <c r="Q30" s="34"/>
      <c r="R30" s="31"/>
      <c r="S30" s="31"/>
      <c r="T30" s="31"/>
      <c r="U30" s="31"/>
      <c r="V30" s="31"/>
      <c r="W30" s="31"/>
      <c r="X30" s="35"/>
      <c r="Y30" s="33"/>
      <c r="Z30" s="35"/>
      <c r="AA30" s="31"/>
      <c r="AB30" s="31"/>
      <c r="AC30" s="31"/>
    </row>
    <row r="31" spans="1:29" x14ac:dyDescent="0.25">
      <c r="A31" s="31"/>
      <c r="B31" s="31"/>
      <c r="C31" s="31"/>
      <c r="D31" s="31"/>
      <c r="E31" s="31"/>
      <c r="F31" s="31"/>
      <c r="G31" s="31"/>
      <c r="H31" s="31"/>
      <c r="I31" s="31"/>
      <c r="J31" s="31"/>
      <c r="K31" s="31"/>
      <c r="L31" s="33"/>
      <c r="M31" s="33"/>
      <c r="N31" s="33"/>
      <c r="O31" s="33"/>
      <c r="P31" s="31"/>
      <c r="Q31" s="34"/>
      <c r="R31" s="31"/>
      <c r="S31" s="31"/>
      <c r="T31" s="31"/>
      <c r="U31" s="31"/>
      <c r="V31" s="31"/>
      <c r="W31" s="31"/>
      <c r="X31" s="35"/>
      <c r="Y31" s="33"/>
      <c r="Z31" s="35"/>
      <c r="AA31" s="31"/>
      <c r="AB31" s="31"/>
      <c r="AC31" s="31"/>
    </row>
    <row r="32" spans="1:29" x14ac:dyDescent="0.25">
      <c r="A32" s="36"/>
      <c r="B32" s="36"/>
      <c r="C32" s="36"/>
      <c r="D32" s="36"/>
      <c r="E32" s="36"/>
      <c r="F32" s="36"/>
      <c r="G32" s="36"/>
      <c r="H32" s="36"/>
      <c r="I32" s="36"/>
      <c r="J32" s="36"/>
      <c r="K32" s="36"/>
      <c r="L32" s="37"/>
      <c r="M32" s="37"/>
      <c r="N32" s="37"/>
      <c r="O32" s="37"/>
      <c r="P32" s="36"/>
      <c r="Q32" s="38"/>
      <c r="R32" s="36"/>
      <c r="S32" s="36"/>
      <c r="T32" s="36"/>
      <c r="U32" s="36"/>
      <c r="V32" s="36"/>
      <c r="W32" s="36"/>
      <c r="X32" s="39"/>
      <c r="Y32" s="37"/>
      <c r="Z32" s="39"/>
      <c r="AA32" s="36"/>
      <c r="AB32" s="36"/>
      <c r="AC32" s="36"/>
    </row>
    <row r="33" spans="1:29" x14ac:dyDescent="0.25">
      <c r="A33" s="36"/>
      <c r="B33" s="36"/>
      <c r="C33" s="36"/>
      <c r="D33" s="36"/>
      <c r="E33" s="36"/>
      <c r="F33" s="36"/>
      <c r="G33" s="36"/>
      <c r="H33" s="36"/>
      <c r="I33" s="36"/>
      <c r="J33" s="36"/>
      <c r="K33" s="36"/>
      <c r="L33" s="37"/>
      <c r="M33" s="37"/>
      <c r="N33" s="37"/>
      <c r="O33" s="37"/>
      <c r="P33" s="36"/>
      <c r="Q33" s="38"/>
      <c r="R33" s="36"/>
      <c r="S33" s="36"/>
      <c r="T33" s="36"/>
      <c r="U33" s="36"/>
      <c r="V33" s="36"/>
      <c r="W33" s="36"/>
      <c r="X33" s="39"/>
      <c r="Y33" s="37"/>
      <c r="Z33" s="39"/>
      <c r="AA33" s="36"/>
      <c r="AB33" s="36"/>
      <c r="AC33" s="36"/>
    </row>
    <row r="34" spans="1:29" x14ac:dyDescent="0.25">
      <c r="A34" s="36"/>
      <c r="B34" s="36"/>
      <c r="C34" s="36"/>
      <c r="D34" s="36"/>
      <c r="E34" s="36"/>
      <c r="F34" s="36"/>
      <c r="G34" s="36"/>
      <c r="H34" s="36"/>
      <c r="I34" s="36"/>
      <c r="J34" s="36"/>
      <c r="K34" s="36"/>
      <c r="L34" s="37"/>
      <c r="M34" s="37"/>
      <c r="N34" s="37"/>
      <c r="O34" s="37"/>
      <c r="P34" s="36"/>
      <c r="Q34" s="38"/>
      <c r="R34" s="36"/>
      <c r="S34" s="36"/>
      <c r="T34" s="36"/>
      <c r="U34" s="36"/>
      <c r="V34" s="36"/>
      <c r="W34" s="36"/>
      <c r="X34" s="39"/>
      <c r="Y34" s="37"/>
      <c r="Z34" s="39"/>
      <c r="AA34" s="36"/>
      <c r="AB34" s="36"/>
      <c r="AC34" s="36"/>
    </row>
    <row r="35" spans="1:29" x14ac:dyDescent="0.25">
      <c r="A35" s="36"/>
      <c r="B35" s="36"/>
      <c r="C35" s="36"/>
      <c r="D35" s="36"/>
      <c r="E35" s="36"/>
      <c r="F35" s="36"/>
      <c r="G35" s="36"/>
      <c r="H35" s="36"/>
      <c r="I35" s="36"/>
      <c r="J35" s="36"/>
      <c r="K35" s="36"/>
      <c r="L35" s="37"/>
      <c r="M35" s="37"/>
      <c r="N35" s="37"/>
      <c r="O35" s="37"/>
      <c r="P35" s="36"/>
      <c r="Q35" s="38"/>
      <c r="R35" s="36"/>
      <c r="S35" s="36"/>
      <c r="T35" s="36"/>
      <c r="U35" s="36"/>
      <c r="V35" s="36"/>
      <c r="W35" s="36"/>
      <c r="X35" s="39"/>
      <c r="Y35" s="37"/>
      <c r="Z35" s="39"/>
      <c r="AA35" s="36"/>
      <c r="AB35" s="36"/>
      <c r="AC35" s="36"/>
    </row>
    <row r="36" spans="1:29" x14ac:dyDescent="0.25">
      <c r="A36" s="36"/>
      <c r="B36" s="36"/>
      <c r="C36" s="36"/>
      <c r="D36" s="36"/>
      <c r="E36" s="36"/>
      <c r="F36" s="36"/>
      <c r="G36" s="36"/>
      <c r="H36" s="36"/>
      <c r="I36" s="36"/>
      <c r="J36" s="36"/>
      <c r="K36" s="36"/>
      <c r="L36" s="37"/>
      <c r="M36" s="37"/>
      <c r="N36" s="37"/>
      <c r="O36" s="37"/>
      <c r="P36" s="36"/>
      <c r="Q36" s="38"/>
      <c r="R36" s="36"/>
      <c r="S36" s="36"/>
      <c r="T36" s="36"/>
      <c r="U36" s="36"/>
      <c r="V36" s="36"/>
      <c r="W36" s="36"/>
      <c r="X36" s="39"/>
      <c r="Y36" s="37"/>
      <c r="Z36" s="39"/>
      <c r="AA36" s="36"/>
      <c r="AB36" s="36"/>
      <c r="AC36" s="36"/>
    </row>
    <row r="37" spans="1:29" x14ac:dyDescent="0.25">
      <c r="A37" s="36"/>
      <c r="B37" s="36"/>
      <c r="C37" s="36"/>
      <c r="D37" s="36"/>
      <c r="E37" s="36"/>
      <c r="F37" s="36"/>
      <c r="G37" s="36"/>
      <c r="H37" s="36"/>
      <c r="I37" s="36"/>
      <c r="J37" s="36"/>
      <c r="K37" s="36"/>
      <c r="L37" s="37"/>
      <c r="M37" s="37"/>
      <c r="N37" s="37"/>
      <c r="O37" s="37"/>
      <c r="P37" s="36"/>
      <c r="Q37" s="38"/>
      <c r="R37" s="36"/>
      <c r="S37" s="36"/>
      <c r="T37" s="36"/>
      <c r="U37" s="36"/>
      <c r="V37" s="36"/>
      <c r="W37" s="36"/>
      <c r="X37" s="39"/>
      <c r="Y37" s="37"/>
      <c r="Z37" s="39"/>
      <c r="AA37" s="36"/>
      <c r="AB37" s="36"/>
      <c r="AC37" s="36"/>
    </row>
    <row r="38" spans="1:29" x14ac:dyDescent="0.25">
      <c r="A38" s="36"/>
      <c r="B38" s="36"/>
      <c r="C38" s="36"/>
      <c r="D38" s="36"/>
      <c r="E38" s="36"/>
      <c r="F38" s="36"/>
      <c r="G38" s="36"/>
      <c r="H38" s="36"/>
      <c r="I38" s="36"/>
      <c r="J38" s="36"/>
      <c r="K38" s="36"/>
      <c r="L38" s="37"/>
      <c r="M38" s="37"/>
      <c r="N38" s="37"/>
      <c r="O38" s="37"/>
      <c r="P38" s="36"/>
      <c r="Q38" s="38"/>
      <c r="R38" s="36"/>
      <c r="S38" s="36"/>
      <c r="T38" s="36"/>
      <c r="U38" s="36"/>
      <c r="V38" s="36"/>
      <c r="W38" s="36"/>
      <c r="X38" s="39"/>
      <c r="Y38" s="37"/>
      <c r="Z38" s="39"/>
      <c r="AA38" s="36"/>
      <c r="AB38" s="36"/>
      <c r="AC38" s="36"/>
    </row>
    <row r="39" spans="1:29" x14ac:dyDescent="0.25">
      <c r="A39" s="36"/>
      <c r="B39" s="36"/>
      <c r="C39" s="36"/>
      <c r="D39" s="36"/>
      <c r="E39" s="36"/>
      <c r="F39" s="36"/>
      <c r="G39" s="36"/>
      <c r="H39" s="36"/>
      <c r="I39" s="36"/>
      <c r="J39" s="36"/>
      <c r="K39" s="36"/>
      <c r="L39" s="37"/>
      <c r="M39" s="37"/>
      <c r="N39" s="37"/>
      <c r="O39" s="37"/>
      <c r="P39" s="36"/>
      <c r="Q39" s="38"/>
      <c r="R39" s="36"/>
      <c r="S39" s="36"/>
      <c r="T39" s="36"/>
      <c r="U39" s="36"/>
      <c r="V39" s="36"/>
      <c r="W39" s="36"/>
      <c r="X39" s="39"/>
      <c r="Y39" s="37"/>
      <c r="Z39" s="39"/>
      <c r="AA39" s="36"/>
      <c r="AB39" s="36"/>
      <c r="AC39" s="36"/>
    </row>
    <row r="40" spans="1:29" x14ac:dyDescent="0.25">
      <c r="A40" s="36"/>
      <c r="B40" s="36"/>
      <c r="C40" s="36"/>
      <c r="D40" s="36"/>
      <c r="E40" s="36"/>
      <c r="F40" s="36"/>
      <c r="G40" s="36"/>
      <c r="H40" s="36"/>
      <c r="I40" s="36"/>
      <c r="J40" s="36"/>
      <c r="K40" s="36"/>
      <c r="L40" s="37"/>
      <c r="M40" s="37"/>
      <c r="N40" s="37"/>
      <c r="O40" s="37"/>
      <c r="P40" s="36"/>
      <c r="Q40" s="38"/>
      <c r="R40" s="36"/>
      <c r="S40" s="36"/>
      <c r="T40" s="36"/>
      <c r="U40" s="36"/>
      <c r="V40" s="36"/>
      <c r="W40" s="36"/>
      <c r="X40" s="39"/>
      <c r="Y40" s="37"/>
      <c r="Z40" s="39"/>
      <c r="AA40" s="36"/>
      <c r="AB40" s="36"/>
      <c r="AC40" s="36"/>
    </row>
    <row r="41" spans="1:29" x14ac:dyDescent="0.25">
      <c r="A41" s="36"/>
      <c r="B41" s="36"/>
      <c r="C41" s="36"/>
      <c r="D41" s="36"/>
      <c r="E41" s="36"/>
      <c r="F41" s="36"/>
      <c r="G41" s="36"/>
      <c r="H41" s="36"/>
      <c r="I41" s="36"/>
      <c r="J41" s="36"/>
      <c r="K41" s="36"/>
      <c r="L41" s="37"/>
      <c r="M41" s="37"/>
      <c r="N41" s="37"/>
      <c r="O41" s="37"/>
      <c r="P41" s="36"/>
      <c r="Q41" s="38"/>
      <c r="R41" s="36"/>
      <c r="S41" s="36"/>
      <c r="T41" s="36"/>
      <c r="U41" s="36"/>
      <c r="V41" s="36"/>
      <c r="W41" s="36"/>
      <c r="X41" s="39"/>
      <c r="Y41" s="37"/>
      <c r="Z41" s="39"/>
      <c r="AA41" s="36"/>
      <c r="AB41" s="36"/>
      <c r="AC41" s="36"/>
    </row>
    <row r="42" spans="1:29" x14ac:dyDescent="0.25">
      <c r="A42" s="36"/>
      <c r="B42" s="36"/>
      <c r="C42" s="36"/>
      <c r="D42" s="36"/>
      <c r="E42" s="36"/>
      <c r="F42" s="36"/>
      <c r="G42" s="36"/>
      <c r="H42" s="36"/>
      <c r="I42" s="36"/>
      <c r="J42" s="36"/>
      <c r="K42" s="36"/>
      <c r="L42" s="37"/>
      <c r="M42" s="37"/>
      <c r="N42" s="37"/>
      <c r="O42" s="37"/>
      <c r="P42" s="36"/>
      <c r="Q42" s="38"/>
      <c r="R42" s="36"/>
      <c r="S42" s="36"/>
      <c r="T42" s="36"/>
      <c r="U42" s="36"/>
      <c r="V42" s="36"/>
      <c r="W42" s="36"/>
      <c r="X42" s="39"/>
      <c r="Y42" s="37"/>
      <c r="Z42" s="39"/>
      <c r="AA42" s="36"/>
      <c r="AB42" s="36"/>
      <c r="AC42" s="36"/>
    </row>
    <row r="43" spans="1:29" x14ac:dyDescent="0.25">
      <c r="A43" s="36"/>
      <c r="B43" s="36"/>
      <c r="C43" s="36"/>
      <c r="D43" s="36"/>
      <c r="E43" s="36"/>
      <c r="F43" s="36"/>
      <c r="G43" s="36"/>
      <c r="H43" s="36"/>
      <c r="I43" s="36"/>
      <c r="J43" s="36"/>
      <c r="K43" s="36"/>
      <c r="L43" s="37"/>
      <c r="M43" s="37"/>
      <c r="N43" s="37"/>
      <c r="O43" s="37"/>
      <c r="P43" s="36"/>
      <c r="Q43" s="38"/>
      <c r="R43" s="36"/>
      <c r="S43" s="36"/>
      <c r="T43" s="36"/>
      <c r="U43" s="36"/>
      <c r="V43" s="36"/>
      <c r="W43" s="36"/>
      <c r="X43" s="39"/>
      <c r="Y43" s="37"/>
      <c r="Z43" s="39"/>
      <c r="AA43" s="36"/>
      <c r="AB43" s="36"/>
      <c r="AC43" s="36"/>
    </row>
    <row r="44" spans="1:29" x14ac:dyDescent="0.25">
      <c r="A44" s="36"/>
      <c r="B44" s="36"/>
      <c r="C44" s="36"/>
      <c r="D44" s="36"/>
      <c r="E44" s="36"/>
      <c r="F44" s="36"/>
      <c r="G44" s="36"/>
      <c r="H44" s="36"/>
      <c r="I44" s="36"/>
      <c r="J44" s="36"/>
      <c r="K44" s="36"/>
      <c r="L44" s="37"/>
      <c r="M44" s="37"/>
      <c r="N44" s="37"/>
      <c r="O44" s="37"/>
      <c r="P44" s="36"/>
      <c r="Q44" s="38"/>
      <c r="R44" s="36"/>
      <c r="S44" s="36"/>
      <c r="T44" s="36"/>
      <c r="U44" s="36"/>
      <c r="V44" s="36"/>
      <c r="W44" s="36"/>
      <c r="X44" s="39"/>
      <c r="Y44" s="37"/>
      <c r="Z44" s="39"/>
      <c r="AA44" s="36"/>
      <c r="AB44" s="36"/>
      <c r="AC44" s="36"/>
    </row>
    <row r="45" spans="1:29" x14ac:dyDescent="0.25">
      <c r="A45" s="36"/>
      <c r="B45" s="36"/>
      <c r="C45" s="36"/>
      <c r="D45" s="36"/>
      <c r="E45" s="36"/>
      <c r="F45" s="36"/>
      <c r="G45" s="36"/>
      <c r="H45" s="36"/>
      <c r="I45" s="36"/>
      <c r="J45" s="36"/>
      <c r="K45" s="36"/>
      <c r="L45" s="37"/>
      <c r="M45" s="37"/>
      <c r="N45" s="37"/>
      <c r="O45" s="37"/>
      <c r="P45" s="36"/>
      <c r="Q45" s="38"/>
      <c r="R45" s="36"/>
      <c r="S45" s="36"/>
      <c r="T45" s="36"/>
      <c r="U45" s="36"/>
      <c r="V45" s="36"/>
      <c r="W45" s="36"/>
      <c r="X45" s="39"/>
      <c r="Y45" s="37"/>
      <c r="Z45" s="39"/>
      <c r="AA45" s="36"/>
      <c r="AB45" s="36"/>
      <c r="AC45" s="36"/>
    </row>
    <row r="46" spans="1:29" x14ac:dyDescent="0.25">
      <c r="A46" s="36"/>
      <c r="B46" s="36"/>
      <c r="C46" s="36"/>
      <c r="D46" s="36"/>
      <c r="E46" s="36"/>
      <c r="F46" s="36"/>
      <c r="G46" s="36"/>
      <c r="H46" s="36"/>
      <c r="I46" s="36"/>
      <c r="J46" s="36"/>
      <c r="K46" s="36"/>
      <c r="L46" s="37"/>
      <c r="M46" s="37"/>
      <c r="N46" s="37"/>
      <c r="O46" s="37"/>
      <c r="P46" s="36"/>
      <c r="Q46" s="38"/>
      <c r="R46" s="36"/>
      <c r="S46" s="36"/>
      <c r="T46" s="36"/>
      <c r="U46" s="36"/>
      <c r="V46" s="36"/>
      <c r="W46" s="36"/>
      <c r="X46" s="39"/>
      <c r="Y46" s="37"/>
      <c r="Z46" s="39"/>
      <c r="AA46" s="36"/>
      <c r="AB46" s="36"/>
      <c r="AC46" s="36"/>
    </row>
    <row r="47" spans="1:29" x14ac:dyDescent="0.25">
      <c r="A47" s="36"/>
      <c r="B47" s="36"/>
      <c r="C47" s="36"/>
      <c r="D47" s="36"/>
      <c r="E47" s="36"/>
      <c r="F47" s="36"/>
      <c r="G47" s="36"/>
      <c r="H47" s="36"/>
      <c r="I47" s="36"/>
      <c r="J47" s="36"/>
      <c r="K47" s="36"/>
      <c r="L47" s="37"/>
      <c r="M47" s="37"/>
      <c r="N47" s="37"/>
      <c r="O47" s="37"/>
      <c r="P47" s="36"/>
      <c r="Q47" s="38"/>
      <c r="R47" s="36"/>
      <c r="S47" s="36"/>
      <c r="T47" s="36"/>
      <c r="U47" s="36"/>
      <c r="V47" s="36"/>
      <c r="W47" s="36"/>
      <c r="X47" s="39"/>
      <c r="Y47" s="37"/>
      <c r="Z47" s="39"/>
      <c r="AA47" s="36"/>
      <c r="AB47" s="36"/>
      <c r="AC47" s="36"/>
    </row>
    <row r="48" spans="1:29" x14ac:dyDescent="0.25">
      <c r="A48" s="36"/>
      <c r="B48" s="36"/>
      <c r="C48" s="36"/>
      <c r="D48" s="36"/>
      <c r="E48" s="36"/>
      <c r="F48" s="36"/>
      <c r="G48" s="36"/>
      <c r="H48" s="36"/>
      <c r="I48" s="36"/>
      <c r="J48" s="36"/>
      <c r="K48" s="36"/>
      <c r="L48" s="37"/>
      <c r="M48" s="37"/>
      <c r="N48" s="37"/>
      <c r="O48" s="37"/>
      <c r="P48" s="36"/>
      <c r="Q48" s="38"/>
      <c r="R48" s="36"/>
      <c r="S48" s="36"/>
      <c r="T48" s="36"/>
      <c r="U48" s="36"/>
      <c r="V48" s="36"/>
      <c r="W48" s="36"/>
      <c r="X48" s="39"/>
      <c r="Y48" s="37"/>
      <c r="Z48" s="39"/>
      <c r="AA48" s="36"/>
      <c r="AB48" s="36"/>
      <c r="AC48" s="36"/>
    </row>
    <row r="49" spans="1:29" x14ac:dyDescent="0.25">
      <c r="A49" s="36"/>
      <c r="B49" s="36"/>
      <c r="C49" s="36"/>
      <c r="D49" s="36"/>
      <c r="E49" s="36"/>
      <c r="F49" s="36"/>
      <c r="G49" s="36"/>
      <c r="H49" s="36"/>
      <c r="I49" s="36"/>
      <c r="J49" s="36"/>
      <c r="K49" s="36"/>
      <c r="L49" s="37"/>
      <c r="M49" s="37"/>
      <c r="N49" s="37"/>
      <c r="O49" s="37"/>
      <c r="P49" s="36"/>
      <c r="Q49" s="38"/>
      <c r="R49" s="36"/>
      <c r="S49" s="36"/>
      <c r="T49" s="36"/>
      <c r="U49" s="36"/>
      <c r="V49" s="36"/>
      <c r="W49" s="36"/>
      <c r="X49" s="39"/>
      <c r="Y49" s="37"/>
      <c r="Z49" s="39"/>
      <c r="AA49" s="36"/>
      <c r="AB49" s="36"/>
      <c r="AC49" s="36"/>
    </row>
    <row r="50" spans="1:29" x14ac:dyDescent="0.25">
      <c r="A50" s="36"/>
      <c r="B50" s="36"/>
      <c r="C50" s="36"/>
      <c r="D50" s="36"/>
      <c r="E50" s="36"/>
      <c r="F50" s="36"/>
      <c r="G50" s="36"/>
      <c r="H50" s="36"/>
      <c r="I50" s="36"/>
      <c r="J50" s="36"/>
      <c r="K50" s="36"/>
      <c r="L50" s="37"/>
      <c r="M50" s="37"/>
      <c r="N50" s="37"/>
      <c r="O50" s="37"/>
      <c r="P50" s="36"/>
      <c r="Q50" s="38"/>
      <c r="R50" s="36"/>
      <c r="S50" s="36"/>
      <c r="T50" s="36"/>
      <c r="U50" s="36"/>
      <c r="V50" s="36"/>
      <c r="W50" s="36"/>
      <c r="X50" s="39"/>
      <c r="Y50" s="37"/>
      <c r="Z50" s="39"/>
      <c r="AA50" s="36"/>
      <c r="AB50" s="36"/>
      <c r="AC50" s="36"/>
    </row>
    <row r="51" spans="1:29" x14ac:dyDescent="0.25">
      <c r="A51" s="36"/>
      <c r="B51" s="36"/>
      <c r="C51" s="36"/>
      <c r="D51" s="36"/>
      <c r="E51" s="36"/>
      <c r="F51" s="36"/>
      <c r="G51" s="36"/>
      <c r="H51" s="36"/>
      <c r="I51" s="36"/>
      <c r="J51" s="36"/>
      <c r="K51" s="36"/>
      <c r="L51" s="37"/>
      <c r="M51" s="37"/>
      <c r="N51" s="37"/>
      <c r="O51" s="37"/>
      <c r="P51" s="36"/>
      <c r="Q51" s="38"/>
      <c r="R51" s="36"/>
      <c r="S51" s="36"/>
      <c r="T51" s="36"/>
      <c r="U51" s="36"/>
      <c r="V51" s="36"/>
      <c r="W51" s="36"/>
      <c r="X51" s="39"/>
      <c r="Y51" s="37"/>
      <c r="Z51" s="39"/>
      <c r="AA51" s="36"/>
      <c r="AB51" s="36"/>
      <c r="AC51" s="36"/>
    </row>
    <row r="52" spans="1:29" x14ac:dyDescent="0.25">
      <c r="A52" s="36"/>
      <c r="B52" s="36"/>
      <c r="C52" s="36"/>
      <c r="D52" s="36"/>
      <c r="E52" s="36"/>
      <c r="F52" s="36"/>
      <c r="G52" s="36"/>
      <c r="H52" s="36"/>
      <c r="I52" s="36"/>
      <c r="J52" s="36"/>
      <c r="K52" s="36"/>
      <c r="L52" s="37"/>
      <c r="M52" s="37"/>
      <c r="N52" s="37"/>
      <c r="O52" s="37"/>
      <c r="P52" s="36"/>
      <c r="Q52" s="38"/>
      <c r="R52" s="36"/>
      <c r="S52" s="36"/>
      <c r="T52" s="36"/>
      <c r="U52" s="36"/>
      <c r="V52" s="36"/>
      <c r="W52" s="36"/>
      <c r="X52" s="39"/>
      <c r="Y52" s="37"/>
      <c r="Z52" s="39"/>
      <c r="AA52" s="36"/>
      <c r="AB52" s="36"/>
      <c r="AC52" s="36"/>
    </row>
    <row r="53" spans="1:29" x14ac:dyDescent="0.25">
      <c r="A53" s="36"/>
      <c r="B53" s="36"/>
      <c r="C53" s="36"/>
      <c r="D53" s="36"/>
      <c r="E53" s="36"/>
      <c r="F53" s="36"/>
      <c r="G53" s="36"/>
      <c r="H53" s="36"/>
      <c r="I53" s="36"/>
      <c r="J53" s="36"/>
      <c r="K53" s="36"/>
      <c r="L53" s="37"/>
      <c r="M53" s="37"/>
      <c r="N53" s="37"/>
      <c r="O53" s="37"/>
      <c r="P53" s="36"/>
      <c r="Q53" s="38"/>
      <c r="R53" s="36"/>
      <c r="S53" s="36"/>
      <c r="T53" s="36"/>
      <c r="U53" s="36"/>
      <c r="V53" s="36"/>
      <c r="W53" s="36"/>
      <c r="X53" s="39"/>
      <c r="Y53" s="37"/>
      <c r="Z53" s="39"/>
      <c r="AA53" s="36"/>
      <c r="AB53" s="36"/>
      <c r="AC53" s="36"/>
    </row>
    <row r="54" spans="1:29" x14ac:dyDescent="0.25">
      <c r="A54" s="36"/>
      <c r="B54" s="36"/>
      <c r="C54" s="36"/>
      <c r="D54" s="36"/>
      <c r="E54" s="36"/>
      <c r="F54" s="36"/>
      <c r="G54" s="36"/>
      <c r="H54" s="36"/>
      <c r="I54" s="36"/>
      <c r="J54" s="36"/>
      <c r="K54" s="36"/>
      <c r="L54" s="37"/>
      <c r="M54" s="37"/>
      <c r="N54" s="37"/>
      <c r="O54" s="37"/>
      <c r="P54" s="36"/>
      <c r="Q54" s="38"/>
      <c r="R54" s="36"/>
      <c r="S54" s="36"/>
      <c r="T54" s="36"/>
      <c r="U54" s="36"/>
      <c r="V54" s="36"/>
      <c r="W54" s="36"/>
      <c r="X54" s="39"/>
      <c r="Y54" s="37"/>
      <c r="Z54" s="39"/>
      <c r="AA54" s="36"/>
      <c r="AB54" s="36"/>
      <c r="AC54" s="36"/>
    </row>
    <row r="55" spans="1:29" x14ac:dyDescent="0.25">
      <c r="A55" s="36"/>
      <c r="B55" s="36"/>
      <c r="C55" s="36"/>
      <c r="D55" s="36"/>
      <c r="E55" s="36"/>
      <c r="F55" s="36"/>
      <c r="G55" s="36"/>
      <c r="H55" s="36"/>
      <c r="I55" s="36"/>
      <c r="J55" s="36"/>
      <c r="K55" s="36"/>
      <c r="L55" s="37"/>
      <c r="M55" s="37"/>
      <c r="N55" s="37"/>
      <c r="O55" s="37"/>
      <c r="P55" s="36"/>
      <c r="Q55" s="38"/>
      <c r="R55" s="36"/>
      <c r="S55" s="36"/>
      <c r="T55" s="36"/>
      <c r="U55" s="36"/>
      <c r="V55" s="36"/>
      <c r="W55" s="36"/>
      <c r="X55" s="39"/>
      <c r="Y55" s="37"/>
      <c r="Z55" s="39"/>
      <c r="AA55" s="36"/>
      <c r="AB55" s="36"/>
      <c r="AC55" s="36"/>
    </row>
    <row r="56" spans="1:29" x14ac:dyDescent="0.25">
      <c r="A56" s="36"/>
      <c r="B56" s="36"/>
      <c r="C56" s="36"/>
      <c r="D56" s="36"/>
      <c r="E56" s="36"/>
      <c r="F56" s="36"/>
      <c r="G56" s="36"/>
      <c r="H56" s="36"/>
      <c r="I56" s="36"/>
      <c r="J56" s="36"/>
      <c r="K56" s="36"/>
      <c r="L56" s="37"/>
      <c r="M56" s="37"/>
      <c r="N56" s="37"/>
      <c r="O56" s="37"/>
      <c r="P56" s="36"/>
      <c r="Q56" s="38"/>
      <c r="R56" s="36"/>
      <c r="S56" s="36"/>
      <c r="T56" s="36"/>
      <c r="U56" s="36"/>
      <c r="V56" s="36"/>
      <c r="W56" s="36"/>
      <c r="X56" s="39"/>
      <c r="Y56" s="37"/>
      <c r="Z56" s="39"/>
      <c r="AA56" s="36"/>
      <c r="AB56" s="36"/>
      <c r="AC56" s="36"/>
    </row>
    <row r="57" spans="1:29" x14ac:dyDescent="0.25">
      <c r="A57" s="36"/>
      <c r="B57" s="36"/>
      <c r="C57" s="36"/>
      <c r="D57" s="36"/>
      <c r="E57" s="36"/>
      <c r="F57" s="36"/>
      <c r="G57" s="36"/>
      <c r="H57" s="36"/>
      <c r="I57" s="36"/>
      <c r="J57" s="36"/>
      <c r="K57" s="36"/>
      <c r="L57" s="37"/>
      <c r="M57" s="37"/>
      <c r="N57" s="37"/>
      <c r="O57" s="37"/>
      <c r="P57" s="36"/>
      <c r="Q57" s="38"/>
      <c r="R57" s="36"/>
      <c r="S57" s="36"/>
      <c r="T57" s="36"/>
      <c r="U57" s="36"/>
      <c r="V57" s="36"/>
      <c r="W57" s="36"/>
      <c r="X57" s="39"/>
      <c r="Y57" s="37"/>
      <c r="Z57" s="39"/>
      <c r="AA57" s="36"/>
      <c r="AB57" s="36"/>
      <c r="AC57" s="36"/>
    </row>
    <row r="58" spans="1:29" x14ac:dyDescent="0.25">
      <c r="A58" s="36"/>
      <c r="B58" s="36"/>
      <c r="C58" s="36"/>
      <c r="D58" s="36"/>
      <c r="E58" s="36"/>
      <c r="F58" s="36"/>
      <c r="G58" s="36"/>
      <c r="H58" s="36"/>
      <c r="I58" s="36"/>
      <c r="J58" s="36"/>
      <c r="K58" s="36"/>
      <c r="L58" s="37"/>
      <c r="M58" s="37"/>
      <c r="N58" s="37"/>
      <c r="O58" s="37"/>
      <c r="P58" s="36"/>
      <c r="Q58" s="38"/>
      <c r="R58" s="36"/>
      <c r="S58" s="36"/>
      <c r="T58" s="36"/>
      <c r="U58" s="36"/>
      <c r="V58" s="36"/>
      <c r="W58" s="36"/>
      <c r="X58" s="39"/>
      <c r="Y58" s="37"/>
      <c r="Z58" s="39"/>
      <c r="AA58" s="36"/>
      <c r="AB58" s="36"/>
      <c r="AC58" s="36"/>
    </row>
    <row r="59" spans="1:29" x14ac:dyDescent="0.25">
      <c r="A59" s="36"/>
      <c r="B59" s="36"/>
      <c r="C59" s="36"/>
      <c r="D59" s="36"/>
      <c r="E59" s="36"/>
      <c r="F59" s="36"/>
      <c r="G59" s="36"/>
      <c r="H59" s="36"/>
      <c r="I59" s="36"/>
      <c r="J59" s="36"/>
      <c r="K59" s="36"/>
      <c r="L59" s="37"/>
      <c r="M59" s="37"/>
      <c r="N59" s="37"/>
      <c r="O59" s="37"/>
      <c r="P59" s="36"/>
      <c r="Q59" s="38"/>
      <c r="R59" s="36"/>
      <c r="S59" s="36"/>
      <c r="T59" s="36"/>
      <c r="U59" s="36"/>
      <c r="V59" s="36"/>
      <c r="W59" s="36"/>
      <c r="X59" s="39"/>
      <c r="Y59" s="37"/>
      <c r="Z59" s="39"/>
      <c r="AA59" s="36"/>
      <c r="AB59" s="36"/>
      <c r="AC59" s="36"/>
    </row>
    <row r="60" spans="1:29" x14ac:dyDescent="0.25">
      <c r="A60" s="36"/>
      <c r="B60" s="36"/>
      <c r="C60" s="36"/>
      <c r="D60" s="36"/>
      <c r="E60" s="36"/>
      <c r="F60" s="36"/>
      <c r="G60" s="36"/>
      <c r="H60" s="36"/>
      <c r="I60" s="36"/>
      <c r="J60" s="36"/>
      <c r="K60" s="36"/>
      <c r="L60" s="37"/>
      <c r="M60" s="37"/>
      <c r="N60" s="37"/>
      <c r="O60" s="37"/>
      <c r="P60" s="36"/>
      <c r="Q60" s="38"/>
      <c r="R60" s="36"/>
      <c r="S60" s="36"/>
      <c r="T60" s="36"/>
      <c r="U60" s="36"/>
      <c r="V60" s="36"/>
      <c r="W60" s="36"/>
      <c r="X60" s="39"/>
      <c r="Y60" s="37"/>
      <c r="Z60" s="39"/>
      <c r="AA60" s="36"/>
      <c r="AB60" s="36"/>
      <c r="AC60" s="36"/>
    </row>
    <row r="61" spans="1:29" x14ac:dyDescent="0.25">
      <c r="A61" s="36"/>
      <c r="B61" s="36"/>
      <c r="C61" s="36"/>
      <c r="D61" s="36"/>
      <c r="E61" s="36"/>
      <c r="F61" s="36"/>
      <c r="G61" s="36"/>
      <c r="H61" s="36"/>
      <c r="I61" s="36"/>
      <c r="J61" s="36"/>
      <c r="K61" s="36"/>
      <c r="L61" s="37"/>
      <c r="M61" s="37"/>
      <c r="N61" s="37"/>
      <c r="O61" s="37"/>
      <c r="P61" s="36"/>
      <c r="Q61" s="38"/>
      <c r="R61" s="36"/>
      <c r="S61" s="36"/>
      <c r="T61" s="36"/>
      <c r="U61" s="36"/>
      <c r="V61" s="36"/>
      <c r="W61" s="36"/>
      <c r="X61" s="39"/>
      <c r="Y61" s="37"/>
      <c r="Z61" s="39"/>
      <c r="AA61" s="36"/>
      <c r="AB61" s="36"/>
      <c r="AC61" s="36"/>
    </row>
    <row r="62" spans="1:29" x14ac:dyDescent="0.25">
      <c r="A62" s="36"/>
      <c r="B62" s="36"/>
      <c r="C62" s="36"/>
      <c r="D62" s="36"/>
      <c r="E62" s="36"/>
      <c r="F62" s="36"/>
      <c r="G62" s="36"/>
      <c r="H62" s="36"/>
      <c r="I62" s="36"/>
      <c r="J62" s="36"/>
      <c r="K62" s="36"/>
      <c r="L62" s="37"/>
      <c r="M62" s="37"/>
      <c r="N62" s="37"/>
      <c r="O62" s="37"/>
      <c r="P62" s="36"/>
      <c r="Q62" s="38"/>
      <c r="R62" s="36"/>
      <c r="S62" s="36"/>
      <c r="T62" s="36"/>
      <c r="U62" s="36"/>
      <c r="V62" s="36"/>
      <c r="W62" s="36"/>
      <c r="X62" s="39"/>
      <c r="Y62" s="37"/>
      <c r="Z62" s="39"/>
      <c r="AA62" s="36"/>
      <c r="AB62" s="36"/>
      <c r="AC62" s="36"/>
    </row>
    <row r="63" spans="1:29" x14ac:dyDescent="0.25">
      <c r="A63" s="36"/>
      <c r="B63" s="36"/>
      <c r="C63" s="36"/>
      <c r="D63" s="36"/>
      <c r="E63" s="36"/>
      <c r="F63" s="36"/>
      <c r="G63" s="36"/>
      <c r="H63" s="36"/>
      <c r="I63" s="36"/>
      <c r="J63" s="36"/>
      <c r="K63" s="36"/>
      <c r="L63" s="37"/>
      <c r="M63" s="37"/>
      <c r="N63" s="37"/>
      <c r="O63" s="37"/>
      <c r="P63" s="36"/>
      <c r="Q63" s="38"/>
      <c r="R63" s="36"/>
      <c r="S63" s="36"/>
      <c r="T63" s="36"/>
      <c r="U63" s="36"/>
      <c r="V63" s="36"/>
      <c r="W63" s="36"/>
      <c r="X63" s="39"/>
      <c r="Y63" s="37"/>
      <c r="Z63" s="39"/>
      <c r="AA63" s="36"/>
      <c r="AB63" s="36"/>
      <c r="AC63" s="36"/>
    </row>
    <row r="64" spans="1:29" x14ac:dyDescent="0.25">
      <c r="A64" s="36"/>
      <c r="B64" s="36"/>
      <c r="C64" s="36"/>
      <c r="D64" s="36"/>
      <c r="E64" s="36"/>
      <c r="F64" s="36"/>
      <c r="G64" s="36"/>
      <c r="H64" s="36"/>
      <c r="I64" s="36"/>
      <c r="J64" s="36"/>
      <c r="K64" s="36"/>
      <c r="L64" s="37"/>
      <c r="M64" s="37"/>
      <c r="N64" s="37"/>
      <c r="O64" s="37"/>
      <c r="P64" s="36"/>
      <c r="Q64" s="38"/>
      <c r="R64" s="36"/>
      <c r="S64" s="36"/>
      <c r="T64" s="36"/>
      <c r="U64" s="36"/>
      <c r="V64" s="36"/>
      <c r="W64" s="36"/>
      <c r="X64" s="39"/>
      <c r="Y64" s="37"/>
      <c r="Z64" s="39"/>
      <c r="AA64" s="36"/>
      <c r="AB64" s="36"/>
      <c r="AC64" s="36"/>
    </row>
    <row r="65" spans="1:29" x14ac:dyDescent="0.25">
      <c r="A65" s="36"/>
      <c r="B65" s="36"/>
      <c r="C65" s="36"/>
      <c r="D65" s="36"/>
      <c r="E65" s="36"/>
      <c r="F65" s="36"/>
      <c r="G65" s="36"/>
      <c r="H65" s="36"/>
      <c r="I65" s="36"/>
      <c r="J65" s="36"/>
      <c r="K65" s="36"/>
      <c r="L65" s="37"/>
      <c r="M65" s="37"/>
      <c r="N65" s="37"/>
      <c r="O65" s="37"/>
      <c r="P65" s="36"/>
      <c r="Q65" s="38"/>
      <c r="R65" s="36"/>
      <c r="S65" s="36"/>
      <c r="T65" s="36"/>
      <c r="U65" s="36"/>
      <c r="V65" s="36"/>
      <c r="W65" s="36"/>
      <c r="X65" s="39"/>
      <c r="Y65" s="37"/>
      <c r="Z65" s="39"/>
      <c r="AA65" s="36"/>
      <c r="AB65" s="36"/>
      <c r="AC65" s="36"/>
    </row>
    <row r="66" spans="1:29" x14ac:dyDescent="0.25">
      <c r="A66" s="36"/>
      <c r="B66" s="36"/>
      <c r="C66" s="36"/>
      <c r="D66" s="36"/>
      <c r="E66" s="36"/>
      <c r="F66" s="36"/>
      <c r="G66" s="36"/>
      <c r="H66" s="36"/>
      <c r="I66" s="36"/>
      <c r="J66" s="36"/>
      <c r="K66" s="36"/>
      <c r="L66" s="37"/>
      <c r="M66" s="37"/>
      <c r="N66" s="37"/>
      <c r="O66" s="37"/>
      <c r="P66" s="36"/>
      <c r="Q66" s="38"/>
      <c r="R66" s="36"/>
      <c r="S66" s="36"/>
      <c r="T66" s="36"/>
      <c r="U66" s="36"/>
      <c r="V66" s="36"/>
      <c r="W66" s="36"/>
      <c r="X66" s="39"/>
      <c r="Y66" s="37"/>
      <c r="Z66" s="39"/>
      <c r="AA66" s="36"/>
      <c r="AB66" s="36"/>
      <c r="AC66" s="36"/>
    </row>
    <row r="67" spans="1:29" x14ac:dyDescent="0.25">
      <c r="A67" s="36"/>
      <c r="B67" s="36"/>
      <c r="C67" s="36"/>
      <c r="D67" s="36"/>
      <c r="E67" s="36"/>
      <c r="F67" s="36"/>
      <c r="G67" s="36"/>
      <c r="H67" s="36"/>
      <c r="I67" s="36"/>
      <c r="J67" s="36"/>
      <c r="K67" s="36"/>
      <c r="L67" s="37"/>
      <c r="M67" s="37"/>
      <c r="N67" s="37"/>
      <c r="O67" s="37"/>
      <c r="P67" s="36"/>
      <c r="Q67" s="38"/>
      <c r="R67" s="36"/>
      <c r="S67" s="36"/>
      <c r="T67" s="36"/>
      <c r="U67" s="36"/>
      <c r="V67" s="36"/>
      <c r="W67" s="36"/>
      <c r="X67" s="39"/>
      <c r="Y67" s="37"/>
      <c r="Z67" s="39"/>
      <c r="AA67" s="36"/>
      <c r="AB67" s="36"/>
      <c r="AC67" s="36"/>
    </row>
    <row r="68" spans="1:29" x14ac:dyDescent="0.25">
      <c r="A68" s="36"/>
      <c r="B68" s="36"/>
      <c r="C68" s="36"/>
      <c r="D68" s="36"/>
      <c r="E68" s="36"/>
      <c r="F68" s="36"/>
      <c r="G68" s="36"/>
      <c r="H68" s="36"/>
      <c r="I68" s="36"/>
      <c r="J68" s="36"/>
      <c r="K68" s="36"/>
      <c r="L68" s="37"/>
      <c r="M68" s="37"/>
      <c r="N68" s="37"/>
      <c r="O68" s="37"/>
      <c r="P68" s="36"/>
      <c r="Q68" s="38"/>
      <c r="R68" s="36"/>
      <c r="S68" s="36"/>
      <c r="T68" s="36"/>
      <c r="U68" s="36"/>
      <c r="V68" s="36"/>
      <c r="W68" s="36"/>
      <c r="X68" s="39"/>
      <c r="Y68" s="37"/>
      <c r="Z68" s="39"/>
      <c r="AA68" s="36"/>
      <c r="AB68" s="36"/>
      <c r="AC68" s="36"/>
    </row>
    <row r="69" spans="1:29" x14ac:dyDescent="0.25">
      <c r="A69" s="36"/>
      <c r="B69" s="36"/>
      <c r="C69" s="36"/>
      <c r="D69" s="36"/>
      <c r="E69" s="36"/>
      <c r="F69" s="36"/>
      <c r="G69" s="36"/>
      <c r="H69" s="36"/>
      <c r="I69" s="36"/>
      <c r="J69" s="36"/>
      <c r="K69" s="36"/>
      <c r="L69" s="37"/>
      <c r="M69" s="37"/>
      <c r="N69" s="37"/>
      <c r="O69" s="37"/>
      <c r="P69" s="36"/>
      <c r="Q69" s="38"/>
      <c r="R69" s="36"/>
      <c r="S69" s="36"/>
      <c r="T69" s="36"/>
      <c r="U69" s="36"/>
      <c r="V69" s="36"/>
      <c r="W69" s="36"/>
      <c r="X69" s="39"/>
      <c r="Y69" s="37"/>
      <c r="Z69" s="39"/>
      <c r="AA69" s="36"/>
      <c r="AB69" s="36"/>
      <c r="AC69" s="36"/>
    </row>
    <row r="70" spans="1:29" x14ac:dyDescent="0.25">
      <c r="A70" s="36"/>
      <c r="B70" s="36"/>
      <c r="C70" s="36"/>
      <c r="D70" s="36"/>
      <c r="E70" s="36"/>
      <c r="F70" s="36"/>
      <c r="G70" s="36"/>
      <c r="H70" s="36"/>
      <c r="I70" s="36"/>
      <c r="J70" s="36"/>
      <c r="K70" s="36"/>
      <c r="L70" s="37"/>
      <c r="M70" s="37"/>
      <c r="N70" s="37"/>
      <c r="O70" s="37"/>
      <c r="P70" s="36"/>
      <c r="Q70" s="38"/>
      <c r="R70" s="36"/>
      <c r="S70" s="36"/>
      <c r="T70" s="36"/>
      <c r="U70" s="36"/>
      <c r="V70" s="36"/>
      <c r="W70" s="36"/>
      <c r="X70" s="39"/>
      <c r="Y70" s="37"/>
      <c r="Z70" s="39"/>
      <c r="AA70" s="36"/>
      <c r="AB70" s="36"/>
      <c r="AC70" s="36"/>
    </row>
    <row r="71" spans="1:29" x14ac:dyDescent="0.25">
      <c r="A71" s="36"/>
      <c r="B71" s="36"/>
      <c r="C71" s="36"/>
      <c r="D71" s="36"/>
      <c r="E71" s="36"/>
      <c r="F71" s="36"/>
      <c r="G71" s="36"/>
      <c r="H71" s="36"/>
      <c r="I71" s="36"/>
      <c r="J71" s="36"/>
      <c r="K71" s="36"/>
      <c r="L71" s="37"/>
      <c r="M71" s="37"/>
      <c r="N71" s="37"/>
      <c r="O71" s="37"/>
      <c r="P71" s="36"/>
      <c r="Q71" s="38"/>
      <c r="R71" s="36"/>
      <c r="S71" s="36"/>
      <c r="T71" s="36"/>
      <c r="U71" s="36"/>
      <c r="V71" s="36"/>
      <c r="W71" s="36"/>
      <c r="X71" s="39"/>
      <c r="Y71" s="37"/>
      <c r="Z71" s="39"/>
      <c r="AA71" s="36"/>
      <c r="AB71" s="36"/>
      <c r="AC71" s="36"/>
    </row>
    <row r="72" spans="1:29" x14ac:dyDescent="0.25">
      <c r="A72" s="36"/>
      <c r="B72" s="36"/>
      <c r="C72" s="36"/>
      <c r="D72" s="36"/>
      <c r="E72" s="36"/>
      <c r="F72" s="36"/>
      <c r="G72" s="36"/>
      <c r="H72" s="36"/>
      <c r="I72" s="36"/>
      <c r="J72" s="36"/>
      <c r="K72" s="36"/>
      <c r="L72" s="37"/>
      <c r="M72" s="37"/>
      <c r="N72" s="37"/>
      <c r="O72" s="37"/>
      <c r="P72" s="36"/>
      <c r="Q72" s="38"/>
      <c r="R72" s="36"/>
      <c r="S72" s="36"/>
      <c r="T72" s="36"/>
      <c r="U72" s="36"/>
      <c r="V72" s="36"/>
      <c r="W72" s="36"/>
      <c r="X72" s="39"/>
      <c r="Y72" s="37"/>
      <c r="Z72" s="39"/>
      <c r="AA72" s="36"/>
      <c r="AB72" s="36"/>
      <c r="AC72" s="36"/>
    </row>
    <row r="73" spans="1:29" x14ac:dyDescent="0.25">
      <c r="A73" s="36"/>
      <c r="B73" s="36"/>
      <c r="C73" s="36"/>
      <c r="D73" s="36"/>
      <c r="E73" s="36"/>
      <c r="F73" s="36"/>
      <c r="G73" s="36"/>
      <c r="H73" s="36"/>
      <c r="I73" s="36"/>
      <c r="J73" s="36"/>
      <c r="K73" s="36"/>
      <c r="L73" s="37"/>
      <c r="M73" s="37"/>
      <c r="N73" s="37"/>
      <c r="O73" s="37"/>
      <c r="P73" s="36"/>
      <c r="Q73" s="38"/>
      <c r="R73" s="36"/>
      <c r="S73" s="36"/>
      <c r="T73" s="36"/>
      <c r="U73" s="36"/>
      <c r="V73" s="36"/>
      <c r="W73" s="36"/>
      <c r="X73" s="39"/>
      <c r="Y73" s="37"/>
      <c r="Z73" s="39"/>
      <c r="AA73" s="36"/>
      <c r="AB73" s="36"/>
      <c r="AC73" s="36"/>
    </row>
    <row r="74" spans="1:29" x14ac:dyDescent="0.25">
      <c r="A74" s="36"/>
      <c r="B74" s="36"/>
      <c r="C74" s="36"/>
      <c r="D74" s="36"/>
      <c r="E74" s="36"/>
      <c r="F74" s="36"/>
      <c r="G74" s="36"/>
      <c r="H74" s="36"/>
      <c r="I74" s="36"/>
      <c r="J74" s="36"/>
      <c r="K74" s="36"/>
      <c r="L74" s="37"/>
      <c r="M74" s="37"/>
      <c r="N74" s="37"/>
      <c r="O74" s="37"/>
      <c r="P74" s="36"/>
      <c r="Q74" s="38"/>
      <c r="R74" s="36"/>
      <c r="S74" s="36"/>
      <c r="T74" s="36"/>
      <c r="U74" s="36"/>
      <c r="V74" s="36"/>
      <c r="W74" s="36"/>
      <c r="X74" s="39"/>
      <c r="Y74" s="37"/>
      <c r="Z74" s="39"/>
      <c r="AA74" s="36"/>
      <c r="AB74" s="36"/>
      <c r="AC74" s="36"/>
    </row>
    <row r="75" spans="1:29" x14ac:dyDescent="0.25">
      <c r="A75" s="36"/>
      <c r="B75" s="36"/>
      <c r="C75" s="36"/>
      <c r="D75" s="36"/>
      <c r="E75" s="36"/>
      <c r="F75" s="36"/>
      <c r="G75" s="36"/>
      <c r="H75" s="36"/>
      <c r="I75" s="36"/>
      <c r="J75" s="36"/>
      <c r="K75" s="36"/>
      <c r="L75" s="37"/>
      <c r="M75" s="37"/>
      <c r="N75" s="37"/>
      <c r="O75" s="37"/>
      <c r="P75" s="36"/>
      <c r="Q75" s="38"/>
      <c r="R75" s="36"/>
      <c r="S75" s="36"/>
      <c r="T75" s="36"/>
      <c r="U75" s="36"/>
      <c r="V75" s="36"/>
      <c r="W75" s="36"/>
      <c r="X75" s="39"/>
      <c r="Y75" s="37"/>
      <c r="Z75" s="39"/>
      <c r="AA75" s="36"/>
      <c r="AB75" s="36"/>
      <c r="AC75" s="36"/>
    </row>
    <row r="76" spans="1:29" x14ac:dyDescent="0.25">
      <c r="A76" s="36"/>
      <c r="B76" s="36"/>
      <c r="C76" s="36"/>
      <c r="D76" s="36"/>
      <c r="E76" s="36"/>
      <c r="F76" s="36"/>
      <c r="G76" s="36"/>
      <c r="H76" s="36"/>
      <c r="I76" s="36"/>
      <c r="J76" s="36"/>
      <c r="K76" s="36"/>
      <c r="L76" s="37"/>
      <c r="M76" s="37"/>
      <c r="N76" s="37"/>
      <c r="O76" s="37"/>
      <c r="P76" s="36"/>
      <c r="Q76" s="38"/>
      <c r="R76" s="36"/>
      <c r="S76" s="36"/>
      <c r="T76" s="36"/>
      <c r="U76" s="36"/>
      <c r="V76" s="36"/>
      <c r="W76" s="36"/>
      <c r="X76" s="39"/>
      <c r="Y76" s="37"/>
      <c r="Z76" s="39"/>
      <c r="AA76" s="36"/>
      <c r="AB76" s="36"/>
      <c r="AC76" s="36"/>
    </row>
    <row r="77" spans="1:29" x14ac:dyDescent="0.25">
      <c r="A77" s="36"/>
      <c r="B77" s="36"/>
      <c r="C77" s="36"/>
      <c r="D77" s="36"/>
      <c r="E77" s="36"/>
      <c r="F77" s="36"/>
      <c r="G77" s="36"/>
      <c r="H77" s="36"/>
      <c r="I77" s="36"/>
      <c r="J77" s="36"/>
      <c r="K77" s="36"/>
      <c r="L77" s="37"/>
      <c r="M77" s="37"/>
      <c r="N77" s="37"/>
      <c r="O77" s="37"/>
      <c r="P77" s="36"/>
      <c r="Q77" s="38"/>
      <c r="R77" s="36"/>
      <c r="S77" s="36"/>
      <c r="T77" s="36"/>
      <c r="U77" s="36"/>
      <c r="V77" s="36"/>
      <c r="W77" s="36"/>
      <c r="X77" s="39"/>
      <c r="Y77" s="37"/>
      <c r="Z77" s="39"/>
      <c r="AA77" s="36"/>
      <c r="AB77" s="36"/>
      <c r="AC77" s="36"/>
    </row>
    <row r="78" spans="1:29" x14ac:dyDescent="0.25">
      <c r="A78" s="36"/>
      <c r="B78" s="36"/>
      <c r="C78" s="36"/>
      <c r="D78" s="36"/>
      <c r="E78" s="36"/>
      <c r="F78" s="36"/>
      <c r="G78" s="36"/>
      <c r="H78" s="36"/>
      <c r="I78" s="36"/>
      <c r="J78" s="36"/>
      <c r="K78" s="36"/>
      <c r="L78" s="37"/>
      <c r="M78" s="37"/>
      <c r="N78" s="37"/>
      <c r="O78" s="37"/>
      <c r="P78" s="36"/>
      <c r="Q78" s="38"/>
      <c r="R78" s="36"/>
      <c r="S78" s="36"/>
      <c r="T78" s="36"/>
      <c r="U78" s="36"/>
      <c r="V78" s="36"/>
      <c r="W78" s="36"/>
      <c r="X78" s="39"/>
      <c r="Y78" s="37"/>
      <c r="Z78" s="39"/>
      <c r="AA78" s="36"/>
      <c r="AB78" s="36"/>
      <c r="AC78" s="36"/>
    </row>
    <row r="79" spans="1:29" x14ac:dyDescent="0.25">
      <c r="A79" s="36"/>
      <c r="B79" s="36"/>
      <c r="C79" s="36"/>
      <c r="D79" s="36"/>
      <c r="E79" s="36"/>
      <c r="F79" s="36"/>
      <c r="G79" s="36"/>
      <c r="H79" s="36"/>
      <c r="I79" s="36"/>
      <c r="J79" s="36"/>
      <c r="K79" s="36"/>
      <c r="L79" s="37"/>
      <c r="M79" s="37"/>
      <c r="N79" s="37"/>
      <c r="O79" s="37"/>
      <c r="P79" s="36"/>
      <c r="Q79" s="38"/>
      <c r="R79" s="36"/>
      <c r="S79" s="36"/>
      <c r="T79" s="36"/>
      <c r="U79" s="36"/>
      <c r="V79" s="36"/>
      <c r="W79" s="36"/>
      <c r="X79" s="39"/>
      <c r="Y79" s="37"/>
      <c r="Z79" s="39"/>
      <c r="AA79" s="36"/>
      <c r="AB79" s="36"/>
      <c r="AC79" s="36"/>
    </row>
    <row r="80" spans="1:29" x14ac:dyDescent="0.25">
      <c r="A80" s="36"/>
      <c r="B80" s="36"/>
      <c r="C80" s="36"/>
      <c r="D80" s="36"/>
      <c r="E80" s="36"/>
      <c r="F80" s="36"/>
      <c r="G80" s="36"/>
      <c r="H80" s="36"/>
      <c r="I80" s="36"/>
      <c r="J80" s="36"/>
      <c r="K80" s="36"/>
      <c r="L80" s="37"/>
      <c r="M80" s="37"/>
      <c r="N80" s="37"/>
      <c r="O80" s="37"/>
      <c r="P80" s="36"/>
      <c r="Q80" s="38"/>
      <c r="R80" s="36"/>
      <c r="S80" s="36"/>
      <c r="T80" s="36"/>
      <c r="U80" s="36"/>
      <c r="V80" s="36"/>
      <c r="W80" s="36"/>
      <c r="X80" s="39"/>
      <c r="Y80" s="37"/>
      <c r="Z80" s="39"/>
      <c r="AA80" s="36"/>
      <c r="AB80" s="36"/>
      <c r="AC80" s="36"/>
    </row>
    <row r="81" spans="1:29" x14ac:dyDescent="0.25">
      <c r="A81" s="36"/>
      <c r="B81" s="36"/>
      <c r="C81" s="36"/>
      <c r="D81" s="36"/>
      <c r="E81" s="36"/>
      <c r="F81" s="36"/>
      <c r="G81" s="36"/>
      <c r="H81" s="36"/>
      <c r="I81" s="36"/>
      <c r="J81" s="36"/>
      <c r="K81" s="36"/>
      <c r="L81" s="37"/>
      <c r="M81" s="37"/>
      <c r="N81" s="37"/>
      <c r="O81" s="37"/>
      <c r="P81" s="36"/>
      <c r="Q81" s="38"/>
      <c r="R81" s="36"/>
      <c r="S81" s="36"/>
      <c r="T81" s="36"/>
      <c r="U81" s="36"/>
      <c r="V81" s="36"/>
      <c r="W81" s="36"/>
      <c r="X81" s="39"/>
      <c r="Y81" s="37"/>
      <c r="Z81" s="39"/>
      <c r="AA81" s="36"/>
      <c r="AB81" s="36"/>
      <c r="AC81" s="36"/>
    </row>
    <row r="82" spans="1:29" x14ac:dyDescent="0.25">
      <c r="A82" s="36"/>
      <c r="B82" s="36"/>
      <c r="C82" s="36"/>
      <c r="D82" s="36"/>
      <c r="E82" s="36"/>
      <c r="F82" s="36"/>
      <c r="G82" s="36"/>
      <c r="H82" s="36"/>
      <c r="I82" s="36"/>
      <c r="J82" s="36"/>
      <c r="K82" s="36"/>
      <c r="L82" s="37"/>
      <c r="M82" s="37"/>
      <c r="N82" s="37"/>
      <c r="O82" s="37"/>
      <c r="P82" s="36"/>
      <c r="Q82" s="38"/>
      <c r="R82" s="36"/>
      <c r="S82" s="36"/>
      <c r="T82" s="36"/>
      <c r="U82" s="36"/>
      <c r="V82" s="36"/>
      <c r="W82" s="36"/>
      <c r="X82" s="39"/>
      <c r="Y82" s="37"/>
      <c r="Z82" s="39"/>
      <c r="AA82" s="36"/>
      <c r="AB82" s="36"/>
      <c r="AC82" s="36"/>
    </row>
    <row r="83" spans="1:29" x14ac:dyDescent="0.25">
      <c r="A83" s="36"/>
      <c r="B83" s="36"/>
      <c r="C83" s="36"/>
      <c r="D83" s="36"/>
      <c r="E83" s="36"/>
      <c r="F83" s="36"/>
      <c r="G83" s="36"/>
      <c r="H83" s="36"/>
      <c r="I83" s="36"/>
      <c r="J83" s="36"/>
      <c r="K83" s="36"/>
      <c r="L83" s="37"/>
      <c r="M83" s="37"/>
      <c r="N83" s="37"/>
      <c r="O83" s="37"/>
      <c r="P83" s="36"/>
      <c r="Q83" s="38"/>
      <c r="R83" s="36"/>
      <c r="S83" s="36"/>
      <c r="T83" s="36"/>
      <c r="U83" s="36"/>
      <c r="V83" s="36"/>
      <c r="W83" s="36"/>
      <c r="X83" s="39"/>
      <c r="Y83" s="37"/>
      <c r="Z83" s="39"/>
      <c r="AA83" s="36"/>
      <c r="AB83" s="36"/>
      <c r="AC83" s="36"/>
    </row>
    <row r="84" spans="1:29" x14ac:dyDescent="0.25">
      <c r="A84" s="36"/>
      <c r="B84" s="36"/>
      <c r="C84" s="36"/>
      <c r="D84" s="36"/>
      <c r="E84" s="36"/>
      <c r="F84" s="36"/>
      <c r="G84" s="36"/>
      <c r="H84" s="36"/>
      <c r="I84" s="36"/>
      <c r="J84" s="36"/>
      <c r="K84" s="36"/>
      <c r="L84" s="37"/>
      <c r="M84" s="37"/>
      <c r="N84" s="37"/>
      <c r="O84" s="37"/>
      <c r="P84" s="36"/>
      <c r="Q84" s="38"/>
      <c r="R84" s="36"/>
      <c r="S84" s="36"/>
      <c r="T84" s="36"/>
      <c r="U84" s="36"/>
      <c r="V84" s="36"/>
      <c r="W84" s="36"/>
      <c r="X84" s="39"/>
      <c r="Y84" s="37"/>
      <c r="Z84" s="39"/>
      <c r="AA84" s="36"/>
      <c r="AB84" s="36"/>
      <c r="AC84" s="36"/>
    </row>
    <row r="85" spans="1:29" x14ac:dyDescent="0.25">
      <c r="A85" s="36"/>
      <c r="B85" s="36"/>
      <c r="C85" s="36"/>
      <c r="D85" s="36"/>
      <c r="E85" s="36"/>
      <c r="F85" s="36"/>
      <c r="G85" s="36"/>
      <c r="H85" s="36"/>
      <c r="I85" s="36"/>
      <c r="J85" s="36"/>
      <c r="K85" s="36"/>
      <c r="L85" s="37"/>
      <c r="M85" s="37"/>
      <c r="N85" s="37"/>
      <c r="O85" s="37"/>
      <c r="P85" s="36"/>
      <c r="Q85" s="38"/>
      <c r="R85" s="36"/>
      <c r="S85" s="36"/>
      <c r="T85" s="36"/>
      <c r="U85" s="36"/>
      <c r="V85" s="36"/>
      <c r="W85" s="36"/>
      <c r="X85" s="39"/>
      <c r="Y85" s="37"/>
      <c r="Z85" s="39"/>
      <c r="AA85" s="36"/>
      <c r="AB85" s="36"/>
      <c r="AC85" s="36"/>
    </row>
    <row r="86" spans="1:29" x14ac:dyDescent="0.25">
      <c r="A86" s="36"/>
      <c r="B86" s="36"/>
      <c r="C86" s="36"/>
      <c r="D86" s="36"/>
      <c r="E86" s="36"/>
      <c r="F86" s="36"/>
      <c r="G86" s="36"/>
      <c r="H86" s="36"/>
      <c r="I86" s="36"/>
      <c r="J86" s="36"/>
      <c r="K86" s="36"/>
      <c r="L86" s="37"/>
      <c r="M86" s="37"/>
      <c r="N86" s="37"/>
      <c r="O86" s="37"/>
      <c r="P86" s="36"/>
      <c r="Q86" s="38"/>
      <c r="R86" s="36"/>
      <c r="S86" s="36"/>
      <c r="T86" s="36"/>
      <c r="U86" s="36"/>
      <c r="V86" s="36"/>
      <c r="W86" s="36"/>
      <c r="X86" s="39"/>
      <c r="Y86" s="37"/>
      <c r="Z86" s="39"/>
      <c r="AA86" s="36"/>
      <c r="AB86" s="36"/>
      <c r="AC86" s="36"/>
    </row>
    <row r="87" spans="1:29" x14ac:dyDescent="0.25">
      <c r="A87" s="36"/>
      <c r="B87" s="36"/>
      <c r="C87" s="36"/>
      <c r="D87" s="36"/>
      <c r="E87" s="36"/>
      <c r="F87" s="36"/>
      <c r="G87" s="36"/>
      <c r="H87" s="36"/>
      <c r="I87" s="36"/>
      <c r="J87" s="36"/>
      <c r="K87" s="36"/>
      <c r="L87" s="37"/>
      <c r="M87" s="37"/>
      <c r="N87" s="37"/>
      <c r="O87" s="37"/>
      <c r="P87" s="36"/>
      <c r="Q87" s="38"/>
      <c r="R87" s="36"/>
      <c r="S87" s="36"/>
      <c r="T87" s="36"/>
      <c r="U87" s="36"/>
      <c r="V87" s="36"/>
      <c r="W87" s="36"/>
      <c r="X87" s="39"/>
      <c r="Y87" s="37"/>
      <c r="Z87" s="39"/>
      <c r="AA87" s="36"/>
      <c r="AB87" s="36"/>
      <c r="AC87" s="36"/>
    </row>
    <row r="88" spans="1:29" x14ac:dyDescent="0.25">
      <c r="A88" s="36"/>
      <c r="B88" s="36"/>
      <c r="C88" s="36"/>
      <c r="D88" s="36"/>
      <c r="E88" s="36"/>
      <c r="F88" s="36"/>
      <c r="G88" s="36"/>
      <c r="H88" s="36"/>
      <c r="I88" s="36"/>
      <c r="J88" s="36"/>
      <c r="K88" s="36"/>
      <c r="L88" s="37"/>
      <c r="M88" s="37"/>
      <c r="N88" s="37"/>
      <c r="O88" s="37"/>
      <c r="P88" s="36"/>
      <c r="Q88" s="38"/>
      <c r="R88" s="36"/>
      <c r="S88" s="36"/>
      <c r="T88" s="36"/>
      <c r="U88" s="36"/>
      <c r="V88" s="36"/>
      <c r="W88" s="36"/>
      <c r="X88" s="39"/>
      <c r="Y88" s="37"/>
      <c r="Z88" s="39"/>
      <c r="AA88" s="36"/>
      <c r="AB88" s="36"/>
      <c r="AC88" s="36"/>
    </row>
    <row r="89" spans="1:29" x14ac:dyDescent="0.25">
      <c r="A89" s="36"/>
      <c r="B89" s="36"/>
      <c r="C89" s="36"/>
      <c r="D89" s="36"/>
      <c r="E89" s="36"/>
      <c r="F89" s="36"/>
      <c r="G89" s="36"/>
      <c r="H89" s="36"/>
      <c r="I89" s="36"/>
      <c r="J89" s="36"/>
      <c r="K89" s="36"/>
      <c r="L89" s="37"/>
      <c r="M89" s="37"/>
      <c r="N89" s="37"/>
      <c r="O89" s="37"/>
      <c r="P89" s="36"/>
      <c r="Q89" s="38"/>
      <c r="R89" s="36"/>
      <c r="S89" s="36"/>
      <c r="T89" s="36"/>
      <c r="U89" s="36"/>
      <c r="V89" s="36"/>
      <c r="W89" s="36"/>
      <c r="X89" s="39"/>
      <c r="Y89" s="37"/>
      <c r="Z89" s="39"/>
      <c r="AA89" s="36"/>
      <c r="AB89" s="36"/>
      <c r="AC89" s="36"/>
    </row>
    <row r="90" spans="1:29" x14ac:dyDescent="0.25">
      <c r="A90" s="36"/>
      <c r="B90" s="36"/>
      <c r="C90" s="36"/>
      <c r="D90" s="36"/>
      <c r="E90" s="36"/>
      <c r="F90" s="36"/>
      <c r="G90" s="36"/>
      <c r="H90" s="36"/>
      <c r="I90" s="36"/>
      <c r="J90" s="36"/>
      <c r="K90" s="36"/>
      <c r="L90" s="37"/>
      <c r="M90" s="37"/>
      <c r="N90" s="37"/>
      <c r="O90" s="37"/>
      <c r="P90" s="36"/>
      <c r="Q90" s="38"/>
      <c r="R90" s="36"/>
      <c r="S90" s="36"/>
      <c r="T90" s="36"/>
      <c r="U90" s="36"/>
      <c r="V90" s="36"/>
      <c r="W90" s="36"/>
      <c r="X90" s="39"/>
      <c r="Y90" s="37"/>
      <c r="Z90" s="39"/>
      <c r="AA90" s="36"/>
      <c r="AB90" s="36"/>
      <c r="AC90" s="36"/>
    </row>
    <row r="91" spans="1:29" x14ac:dyDescent="0.25">
      <c r="A91" s="36"/>
      <c r="B91" s="36"/>
      <c r="C91" s="36"/>
      <c r="D91" s="36"/>
      <c r="E91" s="36"/>
      <c r="F91" s="36"/>
      <c r="G91" s="36"/>
      <c r="H91" s="36"/>
      <c r="I91" s="36"/>
      <c r="J91" s="36"/>
      <c r="K91" s="36"/>
      <c r="L91" s="37"/>
      <c r="M91" s="37"/>
      <c r="N91" s="37"/>
      <c r="O91" s="37"/>
      <c r="P91" s="36"/>
      <c r="Q91" s="38"/>
      <c r="R91" s="36"/>
      <c r="S91" s="36"/>
      <c r="T91" s="36"/>
      <c r="U91" s="36"/>
      <c r="V91" s="36"/>
      <c r="W91" s="36"/>
      <c r="X91" s="39"/>
      <c r="Y91" s="37"/>
      <c r="Z91" s="39"/>
      <c r="AA91" s="36"/>
      <c r="AB91" s="36"/>
      <c r="AC91" s="36"/>
    </row>
    <row r="92" spans="1:29" x14ac:dyDescent="0.25">
      <c r="A92" s="36"/>
      <c r="B92" s="36"/>
      <c r="C92" s="36"/>
      <c r="D92" s="36"/>
      <c r="E92" s="36"/>
      <c r="F92" s="36"/>
      <c r="G92" s="36"/>
      <c r="H92" s="36"/>
      <c r="I92" s="36"/>
      <c r="J92" s="36"/>
      <c r="K92" s="36"/>
      <c r="L92" s="37"/>
      <c r="M92" s="37"/>
      <c r="N92" s="37"/>
      <c r="O92" s="37"/>
      <c r="P92" s="36"/>
      <c r="Q92" s="38"/>
      <c r="R92" s="36"/>
      <c r="S92" s="36"/>
      <c r="T92" s="36"/>
      <c r="U92" s="36"/>
      <c r="V92" s="36"/>
      <c r="W92" s="36"/>
      <c r="X92" s="39"/>
      <c r="Y92" s="37"/>
      <c r="Z92" s="39"/>
      <c r="AA92" s="36"/>
      <c r="AB92" s="36"/>
      <c r="AC92" s="36"/>
    </row>
    <row r="93" spans="1:29" x14ac:dyDescent="0.25">
      <c r="A93" s="36"/>
      <c r="B93" s="36"/>
      <c r="C93" s="36"/>
      <c r="D93" s="36"/>
      <c r="E93" s="36"/>
      <c r="F93" s="36"/>
      <c r="G93" s="36"/>
      <c r="H93" s="36"/>
      <c r="I93" s="36"/>
      <c r="J93" s="36"/>
      <c r="K93" s="36"/>
      <c r="L93" s="37"/>
      <c r="M93" s="37"/>
      <c r="N93" s="37"/>
      <c r="O93" s="37"/>
      <c r="P93" s="36"/>
      <c r="Q93" s="38"/>
      <c r="R93" s="36"/>
      <c r="S93" s="36"/>
      <c r="T93" s="36"/>
      <c r="U93" s="36"/>
      <c r="V93" s="36"/>
      <c r="W93" s="36"/>
      <c r="X93" s="39"/>
      <c r="Y93" s="37"/>
      <c r="Z93" s="39"/>
      <c r="AA93" s="36"/>
      <c r="AB93" s="36"/>
      <c r="AC93" s="36"/>
    </row>
    <row r="94" spans="1:29" x14ac:dyDescent="0.25">
      <c r="A94" s="36"/>
      <c r="B94" s="36"/>
      <c r="C94" s="36"/>
      <c r="D94" s="36"/>
      <c r="E94" s="36"/>
      <c r="F94" s="36"/>
      <c r="G94" s="36"/>
      <c r="H94" s="36"/>
      <c r="I94" s="36"/>
      <c r="J94" s="36"/>
      <c r="K94" s="36"/>
      <c r="L94" s="37"/>
      <c r="M94" s="37"/>
      <c r="N94" s="37"/>
      <c r="O94" s="37"/>
      <c r="P94" s="36"/>
      <c r="Q94" s="38"/>
      <c r="R94" s="36"/>
      <c r="S94" s="36"/>
      <c r="T94" s="36"/>
      <c r="U94" s="36"/>
      <c r="V94" s="36"/>
      <c r="W94" s="36"/>
      <c r="X94" s="39"/>
      <c r="Y94" s="37"/>
      <c r="Z94" s="39"/>
      <c r="AA94" s="36"/>
      <c r="AB94" s="36"/>
      <c r="AC94" s="36"/>
    </row>
    <row r="95" spans="1:29" x14ac:dyDescent="0.25">
      <c r="A95" s="36"/>
      <c r="B95" s="36"/>
      <c r="C95" s="36"/>
      <c r="D95" s="36"/>
      <c r="E95" s="36"/>
      <c r="F95" s="36"/>
      <c r="G95" s="36"/>
      <c r="H95" s="36"/>
      <c r="I95" s="36"/>
      <c r="J95" s="36"/>
      <c r="K95" s="36"/>
      <c r="L95" s="37"/>
      <c r="M95" s="37"/>
      <c r="N95" s="37"/>
      <c r="O95" s="37"/>
      <c r="P95" s="36"/>
      <c r="Q95" s="38"/>
      <c r="R95" s="36"/>
      <c r="S95" s="36"/>
      <c r="T95" s="36"/>
      <c r="U95" s="36"/>
      <c r="V95" s="36"/>
      <c r="W95" s="36"/>
      <c r="X95" s="39"/>
      <c r="Y95" s="37"/>
      <c r="Z95" s="39"/>
      <c r="AA95" s="36"/>
      <c r="AB95" s="36"/>
      <c r="AC95" s="36"/>
    </row>
    <row r="96" spans="1:29" x14ac:dyDescent="0.25">
      <c r="A96" s="36"/>
      <c r="B96" s="36"/>
      <c r="C96" s="36"/>
      <c r="D96" s="36"/>
      <c r="E96" s="36"/>
      <c r="F96" s="36"/>
      <c r="G96" s="36"/>
      <c r="H96" s="36"/>
      <c r="I96" s="36"/>
      <c r="J96" s="36"/>
      <c r="K96" s="36"/>
      <c r="L96" s="37"/>
      <c r="M96" s="37"/>
      <c r="N96" s="37"/>
      <c r="O96" s="37"/>
      <c r="P96" s="36"/>
      <c r="Q96" s="38"/>
      <c r="R96" s="36"/>
      <c r="S96" s="36"/>
      <c r="T96" s="36"/>
      <c r="U96" s="36"/>
      <c r="V96" s="36"/>
      <c r="W96" s="36"/>
      <c r="X96" s="39"/>
      <c r="Y96" s="37"/>
      <c r="Z96" s="39"/>
      <c r="AA96" s="36"/>
      <c r="AB96" s="36"/>
      <c r="AC96" s="36"/>
    </row>
    <row r="97" spans="1:29" x14ac:dyDescent="0.25">
      <c r="A97" s="36"/>
      <c r="B97" s="36"/>
      <c r="C97" s="36"/>
      <c r="D97" s="36"/>
      <c r="E97" s="36"/>
      <c r="F97" s="36"/>
      <c r="G97" s="36"/>
      <c r="H97" s="36"/>
      <c r="I97" s="36"/>
      <c r="J97" s="36"/>
      <c r="K97" s="36"/>
      <c r="L97" s="37"/>
      <c r="M97" s="37"/>
      <c r="N97" s="37"/>
      <c r="O97" s="37"/>
      <c r="P97" s="36"/>
      <c r="Q97" s="38"/>
      <c r="R97" s="36"/>
      <c r="S97" s="36"/>
      <c r="T97" s="36"/>
      <c r="U97" s="36"/>
      <c r="V97" s="36"/>
      <c r="W97" s="36"/>
      <c r="X97" s="39"/>
      <c r="Y97" s="37"/>
      <c r="Z97" s="39"/>
      <c r="AA97" s="36"/>
      <c r="AB97" s="36"/>
      <c r="AC97" s="36"/>
    </row>
    <row r="98" spans="1:29" x14ac:dyDescent="0.25">
      <c r="A98" s="36"/>
      <c r="B98" s="36"/>
      <c r="C98" s="36"/>
      <c r="D98" s="36"/>
      <c r="E98" s="36"/>
      <c r="F98" s="36"/>
      <c r="G98" s="36"/>
      <c r="H98" s="36"/>
      <c r="I98" s="36"/>
      <c r="J98" s="36"/>
      <c r="K98" s="36"/>
      <c r="L98" s="37"/>
      <c r="M98" s="37"/>
      <c r="N98" s="37"/>
      <c r="O98" s="37"/>
      <c r="P98" s="36"/>
      <c r="Q98" s="38"/>
      <c r="R98" s="36"/>
      <c r="S98" s="36"/>
      <c r="T98" s="36"/>
      <c r="U98" s="36"/>
      <c r="V98" s="36"/>
      <c r="W98" s="36"/>
      <c r="X98" s="39"/>
      <c r="Y98" s="37"/>
      <c r="Z98" s="39"/>
      <c r="AA98" s="36"/>
      <c r="AB98" s="36"/>
      <c r="AC98" s="36"/>
    </row>
    <row r="99" spans="1:29" x14ac:dyDescent="0.25">
      <c r="A99" s="36"/>
      <c r="B99" s="36"/>
      <c r="C99" s="36"/>
      <c r="D99" s="36"/>
      <c r="E99" s="36"/>
      <c r="F99" s="36"/>
      <c r="G99" s="36"/>
      <c r="H99" s="36"/>
      <c r="I99" s="36"/>
      <c r="J99" s="36"/>
      <c r="K99" s="36"/>
      <c r="L99" s="37"/>
      <c r="M99" s="37"/>
      <c r="N99" s="37"/>
      <c r="O99" s="37"/>
      <c r="P99" s="36"/>
      <c r="Q99" s="38"/>
      <c r="R99" s="36"/>
      <c r="S99" s="36"/>
      <c r="T99" s="36"/>
      <c r="U99" s="36"/>
      <c r="V99" s="36"/>
      <c r="W99" s="36"/>
      <c r="X99" s="39"/>
      <c r="Y99" s="37"/>
      <c r="Z99" s="39"/>
      <c r="AA99" s="36"/>
      <c r="AB99" s="36"/>
      <c r="AC99" s="36"/>
    </row>
    <row r="100" spans="1:29" x14ac:dyDescent="0.25">
      <c r="A100" s="36"/>
      <c r="B100" s="36"/>
      <c r="C100" s="36"/>
      <c r="D100" s="36"/>
      <c r="E100" s="36"/>
      <c r="F100" s="36"/>
      <c r="G100" s="36"/>
      <c r="H100" s="36"/>
      <c r="I100" s="36"/>
      <c r="J100" s="36"/>
      <c r="K100" s="36"/>
      <c r="L100" s="37"/>
      <c r="M100" s="37"/>
      <c r="N100" s="37"/>
      <c r="O100" s="37"/>
      <c r="P100" s="36"/>
      <c r="Q100" s="38"/>
      <c r="R100" s="36"/>
      <c r="S100" s="36"/>
      <c r="T100" s="36"/>
      <c r="U100" s="36"/>
      <c r="V100" s="36"/>
      <c r="W100" s="36"/>
      <c r="X100" s="39"/>
      <c r="Y100" s="37"/>
      <c r="Z100" s="39"/>
      <c r="AA100" s="36"/>
      <c r="AB100" s="36"/>
      <c r="AC100" s="36"/>
    </row>
    <row r="101" spans="1:29" x14ac:dyDescent="0.25">
      <c r="A101" s="36"/>
      <c r="B101" s="36"/>
      <c r="C101" s="36"/>
      <c r="D101" s="36"/>
      <c r="E101" s="36"/>
      <c r="F101" s="36"/>
      <c r="G101" s="36"/>
      <c r="H101" s="36"/>
      <c r="I101" s="36"/>
      <c r="J101" s="36"/>
      <c r="K101" s="36"/>
      <c r="L101" s="37"/>
      <c r="M101" s="37"/>
      <c r="N101" s="37"/>
      <c r="O101" s="37"/>
      <c r="P101" s="36"/>
      <c r="Q101" s="38"/>
      <c r="R101" s="36"/>
      <c r="S101" s="36"/>
      <c r="T101" s="36"/>
      <c r="U101" s="36"/>
      <c r="V101" s="36"/>
      <c r="W101" s="36"/>
      <c r="X101" s="39"/>
      <c r="Y101" s="37"/>
      <c r="Z101" s="39"/>
      <c r="AA101" s="36"/>
      <c r="AB101" s="36"/>
      <c r="AC101" s="36"/>
    </row>
    <row r="102" spans="1:29" x14ac:dyDescent="0.25">
      <c r="A102" s="36"/>
      <c r="B102" s="36"/>
      <c r="C102" s="36"/>
      <c r="D102" s="36"/>
      <c r="E102" s="36"/>
      <c r="F102" s="36"/>
      <c r="G102" s="36"/>
      <c r="H102" s="36"/>
      <c r="I102" s="36"/>
      <c r="J102" s="36"/>
      <c r="K102" s="36"/>
      <c r="L102" s="37"/>
      <c r="M102" s="37"/>
      <c r="N102" s="37"/>
      <c r="O102" s="37"/>
      <c r="P102" s="36"/>
      <c r="Q102" s="38"/>
      <c r="R102" s="36"/>
      <c r="S102" s="36"/>
      <c r="T102" s="36"/>
      <c r="U102" s="36"/>
      <c r="V102" s="36"/>
      <c r="W102" s="36"/>
      <c r="X102" s="39"/>
      <c r="Y102" s="37"/>
      <c r="Z102" s="39"/>
      <c r="AA102" s="36"/>
      <c r="AB102" s="36"/>
      <c r="AC102" s="36"/>
    </row>
    <row r="103" spans="1:29" x14ac:dyDescent="0.25">
      <c r="A103" s="36"/>
      <c r="B103" s="36"/>
      <c r="C103" s="36"/>
      <c r="D103" s="36"/>
      <c r="E103" s="36"/>
      <c r="F103" s="36"/>
      <c r="G103" s="36"/>
      <c r="H103" s="36"/>
      <c r="I103" s="36"/>
      <c r="J103" s="36"/>
      <c r="K103" s="36"/>
      <c r="L103" s="37"/>
      <c r="M103" s="37"/>
      <c r="N103" s="37"/>
      <c r="O103" s="37"/>
      <c r="P103" s="36"/>
      <c r="Q103" s="38"/>
      <c r="R103" s="36"/>
      <c r="S103" s="36"/>
      <c r="T103" s="36"/>
      <c r="U103" s="36"/>
      <c r="V103" s="36"/>
      <c r="W103" s="36"/>
      <c r="X103" s="39"/>
      <c r="Y103" s="37"/>
      <c r="Z103" s="39"/>
      <c r="AA103" s="36"/>
      <c r="AB103" s="36"/>
      <c r="AC103" s="36"/>
    </row>
    <row r="104" spans="1:29" x14ac:dyDescent="0.25">
      <c r="A104" s="36"/>
      <c r="B104" s="36"/>
      <c r="C104" s="36"/>
      <c r="D104" s="36"/>
      <c r="E104" s="36"/>
      <c r="F104" s="36"/>
      <c r="G104" s="36"/>
      <c r="H104" s="36"/>
      <c r="I104" s="36"/>
      <c r="J104" s="36"/>
      <c r="K104" s="36"/>
      <c r="L104" s="37"/>
      <c r="M104" s="37"/>
      <c r="N104" s="37"/>
      <c r="O104" s="37"/>
      <c r="P104" s="36"/>
      <c r="Q104" s="38"/>
      <c r="R104" s="36"/>
      <c r="S104" s="36"/>
      <c r="T104" s="36"/>
      <c r="U104" s="36"/>
      <c r="V104" s="36"/>
      <c r="W104" s="36"/>
      <c r="X104" s="39"/>
      <c r="Y104" s="37"/>
      <c r="Z104" s="39"/>
      <c r="AA104" s="36"/>
      <c r="AB104" s="36"/>
      <c r="AC104" s="36"/>
    </row>
    <row r="105" spans="1:29" x14ac:dyDescent="0.25">
      <c r="A105" s="36"/>
      <c r="B105" s="36"/>
      <c r="C105" s="36"/>
      <c r="D105" s="36"/>
      <c r="E105" s="36"/>
      <c r="F105" s="36"/>
      <c r="G105" s="36"/>
      <c r="H105" s="36"/>
      <c r="I105" s="36"/>
      <c r="J105" s="36"/>
      <c r="K105" s="36"/>
      <c r="L105" s="37"/>
      <c r="M105" s="37"/>
      <c r="N105" s="37"/>
      <c r="O105" s="37"/>
      <c r="P105" s="36"/>
      <c r="Q105" s="38"/>
      <c r="R105" s="36"/>
      <c r="S105" s="36"/>
      <c r="T105" s="36"/>
      <c r="U105" s="36"/>
      <c r="V105" s="36"/>
      <c r="W105" s="36"/>
      <c r="X105" s="39"/>
      <c r="Y105" s="37"/>
      <c r="Z105" s="39"/>
      <c r="AA105" s="36"/>
      <c r="AB105" s="36"/>
      <c r="AC105" s="36"/>
    </row>
    <row r="106" spans="1:29" x14ac:dyDescent="0.25">
      <c r="A106" s="36"/>
      <c r="B106" s="36"/>
      <c r="C106" s="36"/>
      <c r="D106" s="36"/>
      <c r="E106" s="36"/>
      <c r="F106" s="36"/>
      <c r="G106" s="36"/>
      <c r="H106" s="36"/>
      <c r="I106" s="36"/>
      <c r="J106" s="36"/>
      <c r="K106" s="36"/>
      <c r="L106" s="37"/>
      <c r="M106" s="37"/>
      <c r="N106" s="37"/>
      <c r="O106" s="37"/>
      <c r="P106" s="36"/>
      <c r="Q106" s="38"/>
      <c r="R106" s="36"/>
      <c r="S106" s="36"/>
      <c r="T106" s="36"/>
      <c r="U106" s="36"/>
      <c r="V106" s="36"/>
      <c r="W106" s="36"/>
      <c r="X106" s="39"/>
      <c r="Y106" s="37"/>
      <c r="Z106" s="39"/>
      <c r="AA106" s="36"/>
      <c r="AB106" s="36"/>
      <c r="AC106" s="36"/>
    </row>
    <row r="107" spans="1:29" x14ac:dyDescent="0.25">
      <c r="A107" s="36"/>
      <c r="B107" s="36"/>
      <c r="C107" s="36"/>
      <c r="D107" s="36"/>
      <c r="E107" s="36"/>
      <c r="F107" s="36"/>
      <c r="G107" s="36"/>
      <c r="H107" s="36"/>
      <c r="I107" s="36"/>
      <c r="J107" s="36"/>
      <c r="K107" s="36"/>
      <c r="L107" s="37"/>
      <c r="M107" s="37"/>
      <c r="N107" s="37"/>
      <c r="O107" s="37"/>
      <c r="P107" s="36"/>
      <c r="Q107" s="38"/>
      <c r="R107" s="36"/>
      <c r="S107" s="36"/>
      <c r="T107" s="36"/>
      <c r="U107" s="36"/>
      <c r="V107" s="36"/>
      <c r="W107" s="36"/>
      <c r="X107" s="39"/>
      <c r="Y107" s="37"/>
      <c r="Z107" s="39"/>
      <c r="AA107" s="36"/>
      <c r="AB107" s="36"/>
      <c r="AC107" s="36"/>
    </row>
    <row r="108" spans="1:29" x14ac:dyDescent="0.25">
      <c r="A108" s="36"/>
      <c r="B108" s="36"/>
      <c r="C108" s="36"/>
      <c r="D108" s="36"/>
      <c r="E108" s="36"/>
      <c r="F108" s="36"/>
      <c r="G108" s="36"/>
      <c r="H108" s="36"/>
      <c r="I108" s="36"/>
      <c r="J108" s="36"/>
      <c r="K108" s="36"/>
      <c r="L108" s="37"/>
      <c r="M108" s="37"/>
      <c r="N108" s="37"/>
      <c r="O108" s="37"/>
      <c r="P108" s="36"/>
      <c r="Q108" s="38"/>
      <c r="R108" s="36"/>
      <c r="S108" s="36"/>
      <c r="T108" s="36"/>
      <c r="U108" s="36"/>
      <c r="V108" s="36"/>
      <c r="W108" s="36"/>
      <c r="X108" s="39"/>
      <c r="Y108" s="37"/>
      <c r="Z108" s="39"/>
      <c r="AA108" s="36"/>
      <c r="AB108" s="36"/>
      <c r="AC108" s="36"/>
    </row>
    <row r="109" spans="1:29" x14ac:dyDescent="0.25">
      <c r="A109" s="36"/>
      <c r="B109" s="36"/>
      <c r="C109" s="36"/>
      <c r="D109" s="36"/>
      <c r="E109" s="36"/>
      <c r="F109" s="36"/>
      <c r="G109" s="36"/>
      <c r="H109" s="36"/>
      <c r="I109" s="36"/>
      <c r="J109" s="36"/>
      <c r="K109" s="36"/>
      <c r="L109" s="37"/>
      <c r="M109" s="37"/>
      <c r="N109" s="37"/>
      <c r="O109" s="37"/>
      <c r="P109" s="36"/>
      <c r="Q109" s="38"/>
      <c r="R109" s="36"/>
      <c r="S109" s="36"/>
      <c r="T109" s="36"/>
      <c r="U109" s="36"/>
      <c r="V109" s="36"/>
      <c r="W109" s="36"/>
      <c r="X109" s="39"/>
      <c r="Y109" s="37"/>
      <c r="Z109" s="39"/>
      <c r="AA109" s="36"/>
      <c r="AB109" s="36"/>
      <c r="AC109" s="36"/>
    </row>
    <row r="110" spans="1:29" x14ac:dyDescent="0.25">
      <c r="A110" s="36"/>
      <c r="B110" s="36"/>
      <c r="C110" s="36"/>
      <c r="D110" s="36"/>
      <c r="E110" s="36"/>
      <c r="F110" s="36"/>
      <c r="G110" s="36"/>
      <c r="H110" s="36"/>
      <c r="I110" s="36"/>
      <c r="J110" s="36"/>
      <c r="K110" s="36"/>
      <c r="L110" s="37"/>
      <c r="M110" s="37"/>
      <c r="N110" s="37"/>
      <c r="O110" s="37"/>
      <c r="P110" s="36"/>
      <c r="Q110" s="38"/>
      <c r="R110" s="36"/>
      <c r="S110" s="36"/>
      <c r="T110" s="36"/>
      <c r="U110" s="36"/>
      <c r="V110" s="36"/>
      <c r="W110" s="36"/>
      <c r="X110" s="39"/>
      <c r="Y110" s="37"/>
      <c r="Z110" s="39"/>
      <c r="AA110" s="36"/>
      <c r="AB110" s="36"/>
      <c r="AC110" s="36"/>
    </row>
    <row r="111" spans="1:29" x14ac:dyDescent="0.25">
      <c r="A111" s="36"/>
      <c r="B111" s="36"/>
      <c r="C111" s="36"/>
      <c r="D111" s="36"/>
      <c r="E111" s="36"/>
      <c r="F111" s="36"/>
      <c r="G111" s="36"/>
      <c r="H111" s="36"/>
      <c r="I111" s="36"/>
      <c r="J111" s="36"/>
      <c r="K111" s="36"/>
      <c r="L111" s="37"/>
      <c r="M111" s="37"/>
      <c r="N111" s="37"/>
      <c r="O111" s="37"/>
      <c r="P111" s="36"/>
      <c r="Q111" s="38"/>
      <c r="R111" s="36"/>
      <c r="S111" s="36"/>
      <c r="T111" s="36"/>
      <c r="U111" s="36"/>
      <c r="V111" s="36"/>
      <c r="W111" s="36"/>
      <c r="X111" s="39"/>
      <c r="Y111" s="37"/>
      <c r="Z111" s="39"/>
      <c r="AA111" s="36"/>
      <c r="AB111" s="36"/>
      <c r="AC111" s="36"/>
    </row>
    <row r="112" spans="1:29" x14ac:dyDescent="0.25">
      <c r="A112" s="36"/>
      <c r="B112" s="36"/>
      <c r="C112" s="36"/>
      <c r="D112" s="36"/>
      <c r="E112" s="36"/>
      <c r="F112" s="36"/>
      <c r="G112" s="36"/>
      <c r="H112" s="36"/>
      <c r="I112" s="36"/>
      <c r="J112" s="36"/>
      <c r="K112" s="36"/>
      <c r="L112" s="37"/>
      <c r="M112" s="37"/>
      <c r="N112" s="37"/>
      <c r="O112" s="37"/>
      <c r="P112" s="36"/>
      <c r="Q112" s="38"/>
      <c r="R112" s="36"/>
      <c r="S112" s="36"/>
      <c r="T112" s="36"/>
      <c r="U112" s="36"/>
      <c r="V112" s="36"/>
      <c r="W112" s="36"/>
      <c r="X112" s="39"/>
      <c r="Y112" s="37"/>
      <c r="Z112" s="39"/>
      <c r="AA112" s="36"/>
      <c r="AB112" s="36"/>
      <c r="AC112" s="36"/>
    </row>
    <row r="113" spans="1:29" x14ac:dyDescent="0.25">
      <c r="A113" s="36"/>
      <c r="B113" s="36"/>
      <c r="C113" s="36"/>
      <c r="D113" s="36"/>
      <c r="E113" s="36"/>
      <c r="F113" s="36"/>
      <c r="G113" s="36"/>
      <c r="H113" s="36"/>
      <c r="I113" s="36"/>
      <c r="J113" s="36"/>
      <c r="K113" s="36"/>
      <c r="L113" s="37"/>
      <c r="M113" s="37"/>
      <c r="N113" s="37"/>
      <c r="O113" s="37"/>
      <c r="P113" s="36"/>
      <c r="Q113" s="38"/>
      <c r="R113" s="36"/>
      <c r="S113" s="36"/>
      <c r="T113" s="36"/>
      <c r="U113" s="36"/>
      <c r="V113" s="36"/>
      <c r="W113" s="36"/>
      <c r="X113" s="39"/>
      <c r="Y113" s="37"/>
      <c r="Z113" s="39"/>
      <c r="AA113" s="36"/>
      <c r="AB113" s="36"/>
      <c r="AC113" s="36"/>
    </row>
    <row r="114" spans="1:29" x14ac:dyDescent="0.25">
      <c r="A114" s="36"/>
      <c r="B114" s="36"/>
      <c r="C114" s="36"/>
      <c r="D114" s="36"/>
      <c r="E114" s="36"/>
      <c r="F114" s="36"/>
      <c r="G114" s="36"/>
      <c r="H114" s="36"/>
      <c r="I114" s="36"/>
      <c r="J114" s="36"/>
      <c r="K114" s="36"/>
      <c r="L114" s="37"/>
      <c r="M114" s="37"/>
      <c r="N114" s="37"/>
      <c r="O114" s="37"/>
      <c r="P114" s="36"/>
      <c r="Q114" s="38"/>
      <c r="R114" s="36"/>
      <c r="S114" s="36"/>
      <c r="T114" s="36"/>
      <c r="U114" s="36"/>
      <c r="V114" s="36"/>
      <c r="W114" s="36"/>
      <c r="X114" s="39"/>
      <c r="Y114" s="37"/>
      <c r="Z114" s="39"/>
      <c r="AA114" s="36"/>
      <c r="AB114" s="36"/>
      <c r="AC114" s="36"/>
    </row>
    <row r="115" spans="1:29" x14ac:dyDescent="0.25">
      <c r="A115" s="36"/>
      <c r="B115" s="36"/>
      <c r="C115" s="36"/>
      <c r="D115" s="36"/>
      <c r="E115" s="36"/>
      <c r="F115" s="36"/>
      <c r="G115" s="36"/>
      <c r="H115" s="36"/>
      <c r="I115" s="36"/>
      <c r="J115" s="36"/>
      <c r="K115" s="36"/>
      <c r="L115" s="37"/>
      <c r="M115" s="37"/>
      <c r="N115" s="37"/>
      <c r="O115" s="37"/>
      <c r="P115" s="36"/>
      <c r="Q115" s="38"/>
      <c r="R115" s="36"/>
      <c r="S115" s="36"/>
      <c r="T115" s="36"/>
      <c r="U115" s="36"/>
      <c r="V115" s="36"/>
      <c r="W115" s="36"/>
      <c r="X115" s="39"/>
      <c r="Y115" s="37"/>
      <c r="Z115" s="39"/>
      <c r="AA115" s="36"/>
      <c r="AB115" s="36"/>
      <c r="AC115" s="36"/>
    </row>
    <row r="116" spans="1:29" x14ac:dyDescent="0.25">
      <c r="A116" s="36"/>
      <c r="B116" s="36"/>
      <c r="C116" s="36"/>
      <c r="D116" s="36"/>
      <c r="E116" s="36"/>
      <c r="F116" s="36"/>
      <c r="G116" s="36"/>
      <c r="H116" s="36"/>
      <c r="I116" s="36"/>
      <c r="J116" s="36"/>
      <c r="K116" s="36"/>
      <c r="L116" s="37"/>
      <c r="M116" s="37"/>
      <c r="N116" s="37"/>
      <c r="O116" s="37"/>
      <c r="P116" s="36"/>
      <c r="Q116" s="38"/>
      <c r="R116" s="36"/>
      <c r="S116" s="36"/>
      <c r="T116" s="36"/>
      <c r="U116" s="36"/>
      <c r="V116" s="36"/>
      <c r="W116" s="36"/>
      <c r="X116" s="39"/>
      <c r="Y116" s="37"/>
      <c r="Z116" s="39"/>
      <c r="AA116" s="36"/>
      <c r="AB116" s="36"/>
      <c r="AC116" s="36"/>
    </row>
    <row r="117" spans="1:29" x14ac:dyDescent="0.25">
      <c r="A117" s="36"/>
      <c r="B117" s="36"/>
      <c r="C117" s="36"/>
      <c r="D117" s="36"/>
      <c r="E117" s="36"/>
      <c r="F117" s="36"/>
      <c r="G117" s="36"/>
      <c r="H117" s="36"/>
      <c r="I117" s="36"/>
      <c r="J117" s="36"/>
      <c r="K117" s="36"/>
      <c r="L117" s="37"/>
      <c r="M117" s="37"/>
      <c r="N117" s="37"/>
      <c r="O117" s="37"/>
      <c r="P117" s="36"/>
      <c r="Q117" s="38"/>
      <c r="R117" s="36"/>
      <c r="S117" s="36"/>
      <c r="T117" s="36"/>
      <c r="U117" s="36"/>
      <c r="V117" s="36"/>
      <c r="W117" s="36"/>
      <c r="X117" s="39"/>
      <c r="Y117" s="37"/>
      <c r="Z117" s="39"/>
      <c r="AA117" s="36"/>
      <c r="AB117" s="36"/>
      <c r="AC117" s="36"/>
    </row>
    <row r="118" spans="1:29" x14ac:dyDescent="0.25">
      <c r="A118" s="36"/>
      <c r="B118" s="36"/>
      <c r="C118" s="36"/>
      <c r="D118" s="36"/>
      <c r="E118" s="36"/>
      <c r="F118" s="36"/>
      <c r="G118" s="36"/>
      <c r="H118" s="36"/>
      <c r="I118" s="36"/>
      <c r="J118" s="36"/>
      <c r="K118" s="36"/>
      <c r="L118" s="37"/>
      <c r="M118" s="37"/>
      <c r="N118" s="37"/>
      <c r="O118" s="37"/>
      <c r="P118" s="36"/>
      <c r="Q118" s="38"/>
      <c r="R118" s="36"/>
      <c r="S118" s="36"/>
      <c r="T118" s="36"/>
      <c r="U118" s="36"/>
      <c r="V118" s="36"/>
      <c r="W118" s="36"/>
      <c r="X118" s="39"/>
      <c r="Y118" s="37"/>
      <c r="Z118" s="39"/>
      <c r="AA118" s="36"/>
      <c r="AB118" s="36"/>
      <c r="AC118" s="36"/>
    </row>
    <row r="119" spans="1:29" x14ac:dyDescent="0.25">
      <c r="A119" s="36"/>
      <c r="B119" s="36"/>
      <c r="C119" s="36"/>
      <c r="D119" s="36"/>
      <c r="E119" s="36"/>
      <c r="F119" s="36"/>
      <c r="G119" s="36"/>
      <c r="H119" s="36"/>
      <c r="I119" s="36"/>
      <c r="J119" s="36"/>
      <c r="K119" s="36"/>
      <c r="L119" s="37"/>
      <c r="M119" s="37"/>
      <c r="N119" s="37"/>
      <c r="O119" s="37"/>
      <c r="P119" s="36"/>
      <c r="Q119" s="38"/>
      <c r="R119" s="36"/>
      <c r="S119" s="36"/>
      <c r="T119" s="36"/>
      <c r="U119" s="36"/>
      <c r="V119" s="36"/>
      <c r="W119" s="36"/>
      <c r="X119" s="39"/>
      <c r="Y119" s="37"/>
      <c r="Z119" s="39"/>
      <c r="AA119" s="36"/>
      <c r="AB119" s="36"/>
      <c r="AC119" s="36"/>
    </row>
    <row r="120" spans="1:29" x14ac:dyDescent="0.25">
      <c r="A120" s="36"/>
      <c r="B120" s="36"/>
      <c r="C120" s="36"/>
      <c r="D120" s="36"/>
      <c r="E120" s="36"/>
      <c r="F120" s="36"/>
      <c r="G120" s="36"/>
      <c r="H120" s="36"/>
      <c r="I120" s="36"/>
      <c r="J120" s="36"/>
      <c r="K120" s="36"/>
      <c r="L120" s="37"/>
      <c r="M120" s="37"/>
      <c r="N120" s="37"/>
      <c r="O120" s="37"/>
      <c r="P120" s="36"/>
      <c r="Q120" s="38"/>
      <c r="R120" s="36"/>
      <c r="S120" s="36"/>
      <c r="T120" s="36"/>
      <c r="U120" s="36"/>
      <c r="V120" s="36"/>
      <c r="W120" s="36"/>
      <c r="X120" s="39"/>
      <c r="Y120" s="37"/>
      <c r="Z120" s="39"/>
      <c r="AA120" s="36"/>
      <c r="AB120" s="36"/>
      <c r="AC120" s="36"/>
    </row>
    <row r="121" spans="1:29" x14ac:dyDescent="0.25">
      <c r="A121" s="36"/>
      <c r="B121" s="36"/>
      <c r="C121" s="36"/>
      <c r="D121" s="36"/>
      <c r="E121" s="36"/>
      <c r="F121" s="36"/>
      <c r="G121" s="36"/>
      <c r="H121" s="36"/>
      <c r="I121" s="36"/>
      <c r="J121" s="36"/>
      <c r="K121" s="36"/>
      <c r="L121" s="37"/>
      <c r="M121" s="37"/>
      <c r="N121" s="37"/>
      <c r="O121" s="37"/>
      <c r="P121" s="36"/>
      <c r="Q121" s="38"/>
      <c r="R121" s="36"/>
      <c r="S121" s="36"/>
      <c r="T121" s="36"/>
      <c r="U121" s="36"/>
      <c r="V121" s="36"/>
      <c r="W121" s="36"/>
      <c r="X121" s="39"/>
      <c r="Y121" s="37"/>
      <c r="Z121" s="39"/>
      <c r="AA121" s="36"/>
      <c r="AB121" s="36"/>
      <c r="AC121" s="36"/>
    </row>
    <row r="122" spans="1:29" x14ac:dyDescent="0.25">
      <c r="A122" s="36"/>
      <c r="B122" s="36"/>
      <c r="C122" s="36"/>
      <c r="D122" s="36"/>
      <c r="E122" s="36"/>
      <c r="F122" s="36"/>
      <c r="G122" s="36"/>
      <c r="H122" s="36"/>
      <c r="I122" s="36"/>
      <c r="J122" s="36"/>
      <c r="K122" s="36"/>
      <c r="L122" s="37"/>
      <c r="M122" s="37"/>
      <c r="N122" s="37"/>
      <c r="O122" s="37"/>
      <c r="P122" s="36"/>
      <c r="Q122" s="38"/>
      <c r="R122" s="36"/>
      <c r="S122" s="36"/>
      <c r="T122" s="36"/>
      <c r="U122" s="36"/>
      <c r="V122" s="36"/>
      <c r="W122" s="36"/>
      <c r="X122" s="39"/>
      <c r="Y122" s="37"/>
      <c r="Z122" s="39"/>
      <c r="AA122" s="36"/>
      <c r="AB122" s="36"/>
      <c r="AC122" s="36"/>
    </row>
    <row r="123" spans="1:29" x14ac:dyDescent="0.25">
      <c r="A123" s="36"/>
      <c r="B123" s="36"/>
      <c r="C123" s="36"/>
      <c r="D123" s="36"/>
      <c r="E123" s="36"/>
      <c r="F123" s="36"/>
      <c r="G123" s="36"/>
      <c r="H123" s="36"/>
      <c r="I123" s="36"/>
      <c r="J123" s="36"/>
      <c r="K123" s="36"/>
      <c r="L123" s="37"/>
      <c r="M123" s="37"/>
      <c r="N123" s="37"/>
      <c r="O123" s="37"/>
      <c r="P123" s="36"/>
      <c r="Q123" s="38"/>
      <c r="R123" s="36"/>
      <c r="S123" s="36"/>
      <c r="T123" s="36"/>
      <c r="U123" s="36"/>
      <c r="V123" s="36"/>
      <c r="W123" s="36"/>
      <c r="X123" s="39"/>
      <c r="Y123" s="37"/>
      <c r="Z123" s="39"/>
      <c r="AA123" s="36"/>
      <c r="AB123" s="36"/>
      <c r="AC123" s="36"/>
    </row>
    <row r="124" spans="1:29" x14ac:dyDescent="0.25">
      <c r="A124" s="36"/>
      <c r="B124" s="36"/>
      <c r="C124" s="36"/>
      <c r="D124" s="36"/>
      <c r="E124" s="36"/>
      <c r="F124" s="36"/>
      <c r="G124" s="36"/>
      <c r="H124" s="36"/>
      <c r="I124" s="36"/>
      <c r="J124" s="36"/>
      <c r="K124" s="36"/>
      <c r="L124" s="37"/>
      <c r="M124" s="37"/>
      <c r="N124" s="37"/>
      <c r="O124" s="37"/>
      <c r="P124" s="36"/>
      <c r="Q124" s="38"/>
      <c r="R124" s="36"/>
      <c r="S124" s="36"/>
      <c r="T124" s="36"/>
      <c r="U124" s="36"/>
      <c r="V124" s="36"/>
      <c r="W124" s="36"/>
      <c r="X124" s="39"/>
      <c r="Y124" s="37"/>
      <c r="Z124" s="39"/>
      <c r="AA124" s="36"/>
      <c r="AB124" s="36"/>
      <c r="AC124" s="36"/>
    </row>
    <row r="125" spans="1:29" x14ac:dyDescent="0.25">
      <c r="A125" s="36"/>
      <c r="B125" s="36"/>
      <c r="C125" s="36"/>
      <c r="D125" s="36"/>
      <c r="E125" s="36"/>
      <c r="F125" s="36"/>
      <c r="G125" s="36"/>
      <c r="H125" s="36"/>
      <c r="I125" s="36"/>
      <c r="J125" s="36"/>
      <c r="K125" s="36"/>
      <c r="L125" s="37"/>
      <c r="M125" s="37"/>
      <c r="N125" s="37"/>
      <c r="O125" s="37"/>
      <c r="P125" s="36"/>
      <c r="Q125" s="38"/>
      <c r="R125" s="36"/>
      <c r="S125" s="36"/>
      <c r="T125" s="36"/>
      <c r="U125" s="36"/>
      <c r="V125" s="36"/>
      <c r="W125" s="36"/>
      <c r="X125" s="39"/>
      <c r="Y125" s="37"/>
      <c r="Z125" s="39"/>
      <c r="AA125" s="36"/>
      <c r="AB125" s="36"/>
      <c r="AC125" s="36"/>
    </row>
    <row r="126" spans="1:29" x14ac:dyDescent="0.25">
      <c r="A126" s="36"/>
      <c r="B126" s="36"/>
      <c r="C126" s="36"/>
      <c r="D126" s="36"/>
      <c r="E126" s="36"/>
      <c r="F126" s="36"/>
      <c r="G126" s="36"/>
      <c r="H126" s="36"/>
      <c r="I126" s="36"/>
      <c r="J126" s="36"/>
      <c r="K126" s="36"/>
      <c r="L126" s="37"/>
      <c r="M126" s="37"/>
      <c r="N126" s="37"/>
      <c r="O126" s="37"/>
      <c r="P126" s="36"/>
      <c r="Q126" s="38"/>
      <c r="R126" s="36"/>
      <c r="S126" s="36"/>
      <c r="T126" s="36"/>
      <c r="U126" s="36"/>
      <c r="V126" s="36"/>
      <c r="W126" s="36"/>
      <c r="X126" s="39"/>
      <c r="Y126" s="37"/>
      <c r="Z126" s="39"/>
      <c r="AA126" s="36"/>
      <c r="AB126" s="36"/>
      <c r="AC126" s="36"/>
    </row>
    <row r="127" spans="1:29" x14ac:dyDescent="0.25">
      <c r="A127" s="36"/>
      <c r="B127" s="36"/>
      <c r="C127" s="36"/>
      <c r="D127" s="36"/>
      <c r="E127" s="36"/>
      <c r="F127" s="36"/>
      <c r="G127" s="36"/>
      <c r="H127" s="36"/>
      <c r="I127" s="36"/>
      <c r="J127" s="36"/>
      <c r="K127" s="36"/>
      <c r="L127" s="37"/>
      <c r="M127" s="37"/>
      <c r="N127" s="37"/>
      <c r="O127" s="37"/>
      <c r="P127" s="36"/>
      <c r="Q127" s="38"/>
      <c r="R127" s="36"/>
      <c r="S127" s="36"/>
      <c r="T127" s="36"/>
      <c r="U127" s="36"/>
      <c r="V127" s="36"/>
      <c r="W127" s="36"/>
      <c r="X127" s="39"/>
      <c r="Y127" s="37"/>
      <c r="Z127" s="39"/>
      <c r="AA127" s="36"/>
      <c r="AB127" s="36"/>
      <c r="AC127" s="36"/>
    </row>
    <row r="128" spans="1:29" x14ac:dyDescent="0.25">
      <c r="A128" s="36"/>
      <c r="B128" s="36"/>
      <c r="C128" s="36"/>
      <c r="D128" s="36"/>
      <c r="E128" s="36"/>
      <c r="F128" s="36"/>
      <c r="G128" s="36"/>
      <c r="H128" s="36"/>
      <c r="I128" s="36"/>
      <c r="J128" s="36"/>
      <c r="K128" s="36"/>
      <c r="L128" s="37"/>
      <c r="M128" s="37"/>
      <c r="N128" s="37"/>
      <c r="O128" s="37"/>
      <c r="P128" s="36"/>
      <c r="Q128" s="38"/>
      <c r="R128" s="36"/>
      <c r="S128" s="36"/>
      <c r="T128" s="36"/>
      <c r="U128" s="36"/>
      <c r="V128" s="36"/>
      <c r="W128" s="36"/>
      <c r="X128" s="39"/>
      <c r="Y128" s="37"/>
      <c r="Z128" s="39"/>
      <c r="AA128" s="36"/>
      <c r="AB128" s="36"/>
      <c r="AC128" s="36"/>
    </row>
    <row r="129" spans="1:29" x14ac:dyDescent="0.25">
      <c r="A129" s="36"/>
      <c r="B129" s="36"/>
      <c r="C129" s="36"/>
      <c r="D129" s="36"/>
      <c r="E129" s="36"/>
      <c r="F129" s="36"/>
      <c r="G129" s="36"/>
      <c r="H129" s="36"/>
      <c r="I129" s="36"/>
      <c r="J129" s="36"/>
      <c r="K129" s="36"/>
      <c r="L129" s="37"/>
      <c r="M129" s="37"/>
      <c r="N129" s="37"/>
      <c r="O129" s="37"/>
      <c r="P129" s="36"/>
      <c r="Q129" s="38"/>
      <c r="R129" s="36"/>
      <c r="S129" s="36"/>
      <c r="T129" s="36"/>
      <c r="U129" s="36"/>
      <c r="V129" s="36"/>
      <c r="W129" s="36"/>
      <c r="X129" s="39"/>
      <c r="Y129" s="37"/>
      <c r="Z129" s="39"/>
      <c r="AA129" s="36"/>
      <c r="AB129" s="36"/>
      <c r="AC129" s="36"/>
    </row>
    <row r="130" spans="1:29" x14ac:dyDescent="0.25">
      <c r="A130" s="36"/>
      <c r="B130" s="36"/>
      <c r="C130" s="36"/>
      <c r="D130" s="36"/>
      <c r="E130" s="36"/>
      <c r="F130" s="36"/>
      <c r="G130" s="36"/>
      <c r="H130" s="36"/>
      <c r="I130" s="36"/>
      <c r="J130" s="36"/>
      <c r="K130" s="36"/>
      <c r="L130" s="37"/>
      <c r="M130" s="37"/>
      <c r="N130" s="37"/>
      <c r="O130" s="37"/>
      <c r="P130" s="36"/>
      <c r="Q130" s="38"/>
      <c r="R130" s="36"/>
      <c r="S130" s="36"/>
      <c r="T130" s="36"/>
      <c r="U130" s="36"/>
      <c r="V130" s="36"/>
      <c r="W130" s="36"/>
      <c r="X130" s="39"/>
      <c r="Y130" s="37"/>
      <c r="Z130" s="39"/>
      <c r="AA130" s="36"/>
      <c r="AB130" s="36"/>
      <c r="AC130" s="36"/>
    </row>
    <row r="131" spans="1:29" x14ac:dyDescent="0.25">
      <c r="A131" s="36"/>
      <c r="B131" s="36"/>
      <c r="C131" s="36"/>
      <c r="D131" s="36"/>
      <c r="E131" s="36"/>
      <c r="F131" s="36"/>
      <c r="G131" s="36"/>
      <c r="H131" s="36"/>
      <c r="I131" s="36"/>
      <c r="J131" s="36"/>
      <c r="K131" s="36"/>
      <c r="L131" s="37"/>
      <c r="M131" s="37"/>
      <c r="N131" s="37"/>
      <c r="O131" s="37"/>
      <c r="P131" s="36"/>
      <c r="Q131" s="38"/>
      <c r="R131" s="36"/>
      <c r="S131" s="36"/>
      <c r="T131" s="36"/>
      <c r="U131" s="36"/>
      <c r="V131" s="36"/>
      <c r="W131" s="36"/>
      <c r="X131" s="39"/>
      <c r="Y131" s="37"/>
      <c r="Z131" s="39"/>
      <c r="AA131" s="36"/>
      <c r="AB131" s="36"/>
      <c r="AC131" s="36"/>
    </row>
    <row r="132" spans="1:29" x14ac:dyDescent="0.25">
      <c r="A132" s="36"/>
      <c r="B132" s="36"/>
      <c r="C132" s="36"/>
      <c r="D132" s="36"/>
      <c r="E132" s="36"/>
      <c r="F132" s="36"/>
      <c r="G132" s="36"/>
      <c r="H132" s="36"/>
      <c r="I132" s="36"/>
      <c r="J132" s="36"/>
      <c r="K132" s="36"/>
      <c r="L132" s="37"/>
      <c r="M132" s="37"/>
      <c r="N132" s="37"/>
      <c r="O132" s="37"/>
      <c r="P132" s="36"/>
      <c r="Q132" s="38"/>
      <c r="R132" s="36"/>
      <c r="S132" s="36"/>
      <c r="T132" s="36"/>
      <c r="U132" s="36"/>
      <c r="V132" s="36"/>
      <c r="W132" s="36"/>
      <c r="X132" s="39"/>
      <c r="Y132" s="37"/>
      <c r="Z132" s="39"/>
      <c r="AA132" s="36"/>
      <c r="AB132" s="36"/>
      <c r="AC132" s="36"/>
    </row>
    <row r="133" spans="1:29" x14ac:dyDescent="0.25">
      <c r="A133" s="36"/>
      <c r="B133" s="36"/>
      <c r="C133" s="36"/>
      <c r="D133" s="36"/>
      <c r="E133" s="36"/>
      <c r="F133" s="36"/>
      <c r="G133" s="36"/>
      <c r="H133" s="36"/>
      <c r="I133" s="36"/>
      <c r="J133" s="36"/>
      <c r="K133" s="36"/>
      <c r="L133" s="37"/>
      <c r="M133" s="37"/>
      <c r="N133" s="37"/>
      <c r="O133" s="37"/>
      <c r="P133" s="36"/>
      <c r="Q133" s="38"/>
      <c r="R133" s="36"/>
      <c r="S133" s="36"/>
      <c r="T133" s="36"/>
      <c r="U133" s="36"/>
      <c r="V133" s="36"/>
      <c r="W133" s="36"/>
      <c r="X133" s="39"/>
      <c r="Y133" s="37"/>
      <c r="Z133" s="39"/>
      <c r="AA133" s="36"/>
      <c r="AB133" s="36"/>
      <c r="AC133" s="36"/>
    </row>
    <row r="134" spans="1:29" x14ac:dyDescent="0.25">
      <c r="A134" s="36"/>
      <c r="B134" s="36"/>
      <c r="C134" s="36"/>
      <c r="D134" s="36"/>
      <c r="E134" s="36"/>
      <c r="F134" s="36"/>
      <c r="G134" s="36"/>
      <c r="H134" s="36"/>
      <c r="I134" s="36"/>
      <c r="J134" s="36"/>
      <c r="K134" s="36"/>
      <c r="L134" s="37"/>
      <c r="M134" s="37"/>
      <c r="N134" s="37"/>
      <c r="O134" s="37"/>
      <c r="P134" s="36"/>
      <c r="Q134" s="38"/>
      <c r="R134" s="36"/>
      <c r="S134" s="36"/>
      <c r="T134" s="36"/>
      <c r="U134" s="36"/>
      <c r="V134" s="36"/>
      <c r="W134" s="36"/>
      <c r="X134" s="39"/>
      <c r="Y134" s="37"/>
      <c r="Z134" s="39"/>
      <c r="AA134" s="36"/>
      <c r="AB134" s="36"/>
      <c r="AC134" s="36"/>
    </row>
    <row r="135" spans="1:29" x14ac:dyDescent="0.25">
      <c r="A135" s="36"/>
      <c r="B135" s="36"/>
      <c r="C135" s="36"/>
      <c r="D135" s="36"/>
      <c r="E135" s="36"/>
      <c r="F135" s="36"/>
      <c r="G135" s="36"/>
      <c r="H135" s="36"/>
      <c r="I135" s="36"/>
      <c r="J135" s="36"/>
      <c r="K135" s="36"/>
      <c r="L135" s="37"/>
      <c r="M135" s="37"/>
      <c r="N135" s="37"/>
      <c r="O135" s="37"/>
      <c r="P135" s="36"/>
      <c r="Q135" s="38"/>
      <c r="R135" s="36"/>
      <c r="S135" s="36"/>
      <c r="T135" s="36"/>
      <c r="U135" s="36"/>
      <c r="V135" s="36"/>
      <c r="W135" s="36"/>
      <c r="X135" s="39"/>
      <c r="Y135" s="37"/>
      <c r="Z135" s="39"/>
      <c r="AA135" s="36"/>
      <c r="AB135" s="36"/>
      <c r="AC135" s="36"/>
    </row>
    <row r="136" spans="1:29" x14ac:dyDescent="0.25">
      <c r="A136" s="36"/>
      <c r="B136" s="36"/>
      <c r="C136" s="36"/>
      <c r="D136" s="36"/>
      <c r="E136" s="36"/>
      <c r="F136" s="36"/>
      <c r="G136" s="36"/>
      <c r="H136" s="36"/>
      <c r="I136" s="36"/>
      <c r="J136" s="36"/>
      <c r="K136" s="36"/>
      <c r="L136" s="37"/>
      <c r="M136" s="37"/>
      <c r="N136" s="37"/>
      <c r="O136" s="37"/>
      <c r="P136" s="36"/>
      <c r="Q136" s="38"/>
      <c r="R136" s="36"/>
      <c r="S136" s="36"/>
      <c r="T136" s="36"/>
      <c r="U136" s="36"/>
      <c r="V136" s="36"/>
      <c r="W136" s="36"/>
      <c r="X136" s="39"/>
      <c r="Y136" s="37"/>
      <c r="Z136" s="39"/>
      <c r="AA136" s="36"/>
      <c r="AB136" s="36"/>
      <c r="AC136" s="36"/>
    </row>
    <row r="137" spans="1:29" x14ac:dyDescent="0.25">
      <c r="A137" s="36"/>
      <c r="B137" s="36"/>
      <c r="C137" s="36"/>
      <c r="D137" s="36"/>
      <c r="E137" s="36"/>
      <c r="F137" s="36"/>
      <c r="G137" s="36"/>
      <c r="H137" s="36"/>
      <c r="I137" s="36"/>
      <c r="J137" s="36"/>
      <c r="K137" s="36"/>
      <c r="L137" s="37"/>
      <c r="M137" s="37"/>
      <c r="N137" s="37"/>
      <c r="O137" s="37"/>
      <c r="P137" s="36"/>
      <c r="Q137" s="38"/>
      <c r="R137" s="36"/>
      <c r="S137" s="36"/>
      <c r="T137" s="36"/>
      <c r="U137" s="36"/>
      <c r="V137" s="36"/>
      <c r="W137" s="36"/>
      <c r="X137" s="39"/>
      <c r="Y137" s="37"/>
      <c r="Z137" s="39"/>
      <c r="AA137" s="36"/>
      <c r="AB137" s="36"/>
      <c r="AC137" s="36"/>
    </row>
    <row r="138" spans="1:29" x14ac:dyDescent="0.25">
      <c r="A138" s="36"/>
      <c r="B138" s="36"/>
      <c r="C138" s="36"/>
      <c r="D138" s="36"/>
      <c r="E138" s="36"/>
      <c r="F138" s="36"/>
      <c r="G138" s="36"/>
      <c r="H138" s="36"/>
      <c r="I138" s="36"/>
      <c r="J138" s="36"/>
      <c r="K138" s="36"/>
      <c r="L138" s="37"/>
      <c r="M138" s="37"/>
      <c r="N138" s="37"/>
      <c r="O138" s="37"/>
      <c r="P138" s="36"/>
      <c r="Q138" s="38"/>
      <c r="R138" s="36"/>
      <c r="S138" s="36"/>
      <c r="T138" s="36"/>
      <c r="U138" s="36"/>
      <c r="V138" s="36"/>
      <c r="W138" s="36"/>
      <c r="X138" s="39"/>
      <c r="Y138" s="37"/>
      <c r="Z138" s="39"/>
      <c r="AA138" s="36"/>
      <c r="AB138" s="36"/>
      <c r="AC138" s="36"/>
    </row>
    <row r="139" spans="1:29" x14ac:dyDescent="0.25">
      <c r="A139" s="36"/>
      <c r="B139" s="36"/>
      <c r="C139" s="36"/>
      <c r="D139" s="36"/>
      <c r="E139" s="36"/>
      <c r="F139" s="36"/>
      <c r="G139" s="36"/>
      <c r="H139" s="36"/>
      <c r="I139" s="36"/>
      <c r="J139" s="36"/>
      <c r="K139" s="36"/>
      <c r="L139" s="37"/>
      <c r="M139" s="37"/>
      <c r="N139" s="37"/>
      <c r="O139" s="37"/>
      <c r="P139" s="36"/>
      <c r="Q139" s="38"/>
      <c r="R139" s="36"/>
      <c r="S139" s="36"/>
      <c r="T139" s="36"/>
      <c r="U139" s="36"/>
      <c r="V139" s="36"/>
      <c r="W139" s="36"/>
      <c r="X139" s="39"/>
      <c r="Y139" s="37"/>
      <c r="Z139" s="39"/>
      <c r="AA139" s="36"/>
      <c r="AB139" s="36"/>
      <c r="AC139" s="36"/>
    </row>
    <row r="140" spans="1:29" x14ac:dyDescent="0.25">
      <c r="A140" s="36"/>
      <c r="B140" s="36"/>
      <c r="C140" s="36"/>
      <c r="D140" s="36"/>
      <c r="E140" s="36"/>
      <c r="F140" s="36"/>
      <c r="G140" s="36"/>
      <c r="H140" s="36"/>
      <c r="I140" s="36"/>
      <c r="J140" s="36"/>
      <c r="K140" s="36"/>
      <c r="L140" s="37"/>
      <c r="M140" s="37"/>
      <c r="N140" s="37"/>
      <c r="O140" s="37"/>
      <c r="P140" s="36"/>
      <c r="Q140" s="38"/>
      <c r="R140" s="36"/>
      <c r="S140" s="36"/>
      <c r="T140" s="36"/>
      <c r="U140" s="36"/>
      <c r="V140" s="36"/>
      <c r="W140" s="36"/>
      <c r="X140" s="39"/>
      <c r="Y140" s="37"/>
      <c r="Z140" s="39"/>
      <c r="AA140" s="36"/>
      <c r="AB140" s="36"/>
      <c r="AC140" s="36"/>
    </row>
    <row r="141" spans="1:29" x14ac:dyDescent="0.25">
      <c r="A141" s="36"/>
      <c r="B141" s="36"/>
      <c r="C141" s="36"/>
      <c r="D141" s="36"/>
      <c r="E141" s="36"/>
      <c r="F141" s="36"/>
      <c r="G141" s="36"/>
      <c r="H141" s="36"/>
      <c r="I141" s="36"/>
      <c r="J141" s="36"/>
      <c r="K141" s="36"/>
      <c r="L141" s="37"/>
      <c r="M141" s="37"/>
      <c r="N141" s="37"/>
      <c r="O141" s="37"/>
      <c r="P141" s="36"/>
      <c r="Q141" s="38"/>
      <c r="R141" s="36"/>
      <c r="S141" s="36"/>
      <c r="T141" s="36"/>
      <c r="U141" s="36"/>
      <c r="V141" s="36"/>
      <c r="W141" s="36"/>
      <c r="X141" s="39"/>
      <c r="Y141" s="37"/>
      <c r="Z141" s="39"/>
      <c r="AA141" s="36"/>
      <c r="AB141" s="36"/>
      <c r="AC141" s="36"/>
    </row>
    <row r="142" spans="1:29" x14ac:dyDescent="0.25">
      <c r="A142" s="36"/>
      <c r="B142" s="36"/>
      <c r="C142" s="36"/>
      <c r="D142" s="36"/>
      <c r="E142" s="36"/>
      <c r="F142" s="36"/>
      <c r="G142" s="36"/>
      <c r="H142" s="36"/>
      <c r="I142" s="36"/>
      <c r="J142" s="36"/>
      <c r="K142" s="36"/>
      <c r="L142" s="37"/>
      <c r="M142" s="37"/>
      <c r="N142" s="37"/>
      <c r="O142" s="37"/>
      <c r="P142" s="36"/>
      <c r="Q142" s="38"/>
      <c r="R142" s="36"/>
      <c r="S142" s="36"/>
      <c r="T142" s="36"/>
      <c r="U142" s="36"/>
      <c r="V142" s="36"/>
      <c r="W142" s="36"/>
      <c r="X142" s="39"/>
      <c r="Y142" s="37"/>
      <c r="Z142" s="39"/>
      <c r="AA142" s="36"/>
      <c r="AB142" s="36"/>
      <c r="AC142" s="36"/>
    </row>
    <row r="143" spans="1:29" x14ac:dyDescent="0.25">
      <c r="A143" s="36"/>
      <c r="B143" s="36"/>
      <c r="C143" s="36"/>
      <c r="D143" s="36"/>
      <c r="E143" s="36"/>
      <c r="F143" s="36"/>
      <c r="G143" s="36"/>
      <c r="H143" s="36"/>
      <c r="I143" s="36"/>
      <c r="J143" s="36"/>
      <c r="K143" s="36"/>
      <c r="L143" s="37"/>
      <c r="M143" s="37"/>
      <c r="N143" s="37"/>
      <c r="O143" s="37"/>
      <c r="P143" s="36"/>
      <c r="Q143" s="38"/>
      <c r="R143" s="36"/>
      <c r="S143" s="36"/>
      <c r="T143" s="36"/>
      <c r="U143" s="36"/>
      <c r="V143" s="36"/>
      <c r="W143" s="36"/>
      <c r="X143" s="39"/>
      <c r="Y143" s="37"/>
      <c r="Z143" s="39"/>
      <c r="AA143" s="36"/>
      <c r="AB143" s="36"/>
      <c r="AC143" s="36"/>
    </row>
    <row r="144" spans="1:29" x14ac:dyDescent="0.25">
      <c r="A144" s="36"/>
      <c r="B144" s="36"/>
      <c r="C144" s="36"/>
      <c r="D144" s="36"/>
      <c r="E144" s="36"/>
      <c r="F144" s="36"/>
      <c r="G144" s="36"/>
      <c r="H144" s="36"/>
      <c r="I144" s="36"/>
      <c r="J144" s="36"/>
      <c r="K144" s="36"/>
      <c r="L144" s="37"/>
      <c r="M144" s="37"/>
      <c r="N144" s="37"/>
      <c r="O144" s="37"/>
      <c r="P144" s="36"/>
      <c r="Q144" s="38"/>
      <c r="R144" s="36"/>
      <c r="S144" s="36"/>
      <c r="T144" s="36"/>
      <c r="U144" s="36"/>
      <c r="V144" s="36"/>
      <c r="W144" s="36"/>
      <c r="X144" s="39"/>
      <c r="Y144" s="37"/>
      <c r="Z144" s="39"/>
      <c r="AA144" s="36"/>
      <c r="AB144" s="36"/>
      <c r="AC144" s="36"/>
    </row>
    <row r="145" spans="1:29" x14ac:dyDescent="0.25">
      <c r="A145" s="36"/>
      <c r="B145" s="36"/>
      <c r="C145" s="36"/>
      <c r="D145" s="36"/>
      <c r="E145" s="36"/>
      <c r="F145" s="36"/>
      <c r="G145" s="36"/>
      <c r="H145" s="36"/>
      <c r="I145" s="36"/>
      <c r="J145" s="36"/>
      <c r="K145" s="36"/>
      <c r="L145" s="37"/>
      <c r="M145" s="37"/>
      <c r="N145" s="37"/>
      <c r="O145" s="37"/>
      <c r="P145" s="36"/>
      <c r="Q145" s="38"/>
      <c r="R145" s="36"/>
      <c r="S145" s="36"/>
      <c r="T145" s="36"/>
      <c r="U145" s="36"/>
      <c r="V145" s="36"/>
      <c r="W145" s="36"/>
      <c r="X145" s="39"/>
      <c r="Y145" s="37"/>
      <c r="Z145" s="39"/>
      <c r="AA145" s="36"/>
      <c r="AB145" s="36"/>
      <c r="AC145" s="36"/>
    </row>
    <row r="146" spans="1:29" x14ac:dyDescent="0.25">
      <c r="A146" s="36"/>
      <c r="B146" s="36"/>
      <c r="C146" s="36"/>
      <c r="D146" s="36"/>
      <c r="E146" s="36"/>
      <c r="F146" s="36"/>
      <c r="G146" s="36"/>
      <c r="H146" s="36"/>
      <c r="I146" s="36"/>
      <c r="J146" s="36"/>
      <c r="K146" s="36"/>
      <c r="L146" s="37"/>
      <c r="M146" s="37"/>
      <c r="N146" s="37"/>
      <c r="O146" s="37"/>
      <c r="P146" s="36"/>
      <c r="Q146" s="38"/>
      <c r="R146" s="36"/>
      <c r="S146" s="36"/>
      <c r="T146" s="36"/>
      <c r="U146" s="36"/>
      <c r="V146" s="36"/>
      <c r="W146" s="36"/>
      <c r="X146" s="39"/>
      <c r="Y146" s="37"/>
      <c r="Z146" s="39"/>
      <c r="AA146" s="36"/>
      <c r="AB146" s="36"/>
      <c r="AC146" s="36"/>
    </row>
    <row r="147" spans="1:29" x14ac:dyDescent="0.25">
      <c r="A147" s="36"/>
      <c r="B147" s="36"/>
      <c r="C147" s="36"/>
      <c r="D147" s="36"/>
      <c r="E147" s="36"/>
      <c r="F147" s="36"/>
      <c r="G147" s="36"/>
      <c r="H147" s="36"/>
      <c r="I147" s="36"/>
      <c r="J147" s="36"/>
      <c r="K147" s="36"/>
      <c r="L147" s="37"/>
      <c r="M147" s="37"/>
      <c r="N147" s="37"/>
      <c r="O147" s="37"/>
      <c r="P147" s="36"/>
      <c r="Q147" s="38"/>
      <c r="R147" s="36"/>
      <c r="S147" s="36"/>
      <c r="T147" s="36"/>
      <c r="U147" s="36"/>
      <c r="V147" s="36"/>
      <c r="W147" s="36"/>
      <c r="X147" s="39"/>
      <c r="Y147" s="37"/>
      <c r="Z147" s="39"/>
      <c r="AA147" s="36"/>
      <c r="AB147" s="36"/>
      <c r="AC147" s="36"/>
    </row>
    <row r="148" spans="1:29" x14ac:dyDescent="0.25">
      <c r="A148" s="36"/>
      <c r="B148" s="36"/>
      <c r="C148" s="36"/>
      <c r="D148" s="36"/>
      <c r="E148" s="36"/>
      <c r="F148" s="36"/>
      <c r="G148" s="36"/>
      <c r="H148" s="36"/>
      <c r="I148" s="36"/>
      <c r="J148" s="36"/>
      <c r="K148" s="36"/>
      <c r="L148" s="37"/>
      <c r="M148" s="37"/>
      <c r="N148" s="37"/>
      <c r="O148" s="37"/>
      <c r="P148" s="36"/>
      <c r="Q148" s="38"/>
      <c r="R148" s="36"/>
      <c r="S148" s="36"/>
      <c r="T148" s="36"/>
      <c r="U148" s="36"/>
      <c r="V148" s="36"/>
      <c r="W148" s="36"/>
      <c r="X148" s="39"/>
      <c r="Y148" s="37"/>
      <c r="Z148" s="39"/>
      <c r="AA148" s="36"/>
      <c r="AB148" s="36"/>
      <c r="AC148" s="36"/>
    </row>
    <row r="149" spans="1:29" x14ac:dyDescent="0.25">
      <c r="A149" s="36"/>
      <c r="B149" s="36"/>
      <c r="C149" s="36"/>
      <c r="D149" s="36"/>
      <c r="E149" s="36"/>
      <c r="F149" s="36"/>
      <c r="G149" s="36"/>
      <c r="H149" s="36"/>
      <c r="I149" s="36"/>
      <c r="J149" s="36"/>
      <c r="K149" s="36"/>
      <c r="L149" s="37"/>
      <c r="M149" s="37"/>
      <c r="N149" s="37"/>
      <c r="O149" s="37"/>
      <c r="P149" s="36"/>
      <c r="Q149" s="38"/>
      <c r="R149" s="36"/>
      <c r="S149" s="36"/>
      <c r="T149" s="36"/>
      <c r="U149" s="36"/>
      <c r="V149" s="36"/>
      <c r="W149" s="36"/>
      <c r="X149" s="39"/>
      <c r="Y149" s="37"/>
      <c r="Z149" s="39"/>
      <c r="AA149" s="36"/>
      <c r="AB149" s="36"/>
      <c r="AC149" s="36"/>
    </row>
    <row r="150" spans="1:29" x14ac:dyDescent="0.25">
      <c r="A150" s="36"/>
      <c r="B150" s="36"/>
      <c r="C150" s="36"/>
      <c r="D150" s="36"/>
      <c r="E150" s="36"/>
      <c r="F150" s="36"/>
      <c r="G150" s="36"/>
      <c r="H150" s="36"/>
      <c r="I150" s="36"/>
      <c r="J150" s="36"/>
      <c r="K150" s="36"/>
      <c r="L150" s="37"/>
      <c r="M150" s="37"/>
      <c r="N150" s="37"/>
      <c r="O150" s="37"/>
      <c r="P150" s="36"/>
      <c r="Q150" s="38"/>
      <c r="R150" s="36"/>
      <c r="S150" s="36"/>
      <c r="T150" s="36"/>
      <c r="U150" s="36"/>
      <c r="V150" s="36"/>
      <c r="W150" s="36"/>
      <c r="X150" s="39"/>
      <c r="Y150" s="37"/>
      <c r="Z150" s="39"/>
      <c r="AA150" s="36"/>
      <c r="AB150" s="36"/>
      <c r="AC150" s="36"/>
    </row>
    <row r="151" spans="1:29" x14ac:dyDescent="0.25">
      <c r="A151" s="36"/>
      <c r="B151" s="36"/>
      <c r="C151" s="36"/>
      <c r="D151" s="36"/>
      <c r="E151" s="36"/>
      <c r="F151" s="36"/>
      <c r="G151" s="36"/>
      <c r="H151" s="36"/>
      <c r="I151" s="36"/>
      <c r="J151" s="36"/>
      <c r="K151" s="36"/>
      <c r="L151" s="37"/>
      <c r="M151" s="37"/>
      <c r="N151" s="37"/>
      <c r="O151" s="37"/>
      <c r="P151" s="36"/>
      <c r="Q151" s="38"/>
      <c r="R151" s="36"/>
      <c r="S151" s="36"/>
      <c r="T151" s="36"/>
      <c r="U151" s="36"/>
      <c r="V151" s="36"/>
      <c r="W151" s="36"/>
      <c r="X151" s="39"/>
      <c r="Y151" s="37"/>
      <c r="Z151" s="39"/>
      <c r="AA151" s="36"/>
      <c r="AB151" s="36"/>
      <c r="AC151" s="36"/>
    </row>
    <row r="152" spans="1:29" x14ac:dyDescent="0.25">
      <c r="A152" s="36"/>
      <c r="B152" s="36"/>
      <c r="C152" s="36"/>
      <c r="D152" s="36"/>
      <c r="E152" s="36"/>
      <c r="F152" s="36"/>
      <c r="G152" s="36"/>
      <c r="H152" s="36"/>
      <c r="I152" s="36"/>
      <c r="J152" s="36"/>
      <c r="K152" s="36"/>
      <c r="L152" s="37"/>
      <c r="M152" s="37"/>
      <c r="N152" s="37"/>
      <c r="O152" s="37"/>
      <c r="P152" s="36"/>
      <c r="Q152" s="38"/>
      <c r="R152" s="36"/>
      <c r="S152" s="36"/>
      <c r="T152" s="36"/>
      <c r="U152" s="36"/>
      <c r="V152" s="36"/>
      <c r="W152" s="36"/>
      <c r="X152" s="39"/>
      <c r="Y152" s="37"/>
      <c r="Z152" s="39"/>
      <c r="AA152" s="36"/>
      <c r="AB152" s="36"/>
      <c r="AC152" s="36"/>
    </row>
    <row r="153" spans="1:29" x14ac:dyDescent="0.25">
      <c r="A153" s="36"/>
      <c r="B153" s="36"/>
      <c r="C153" s="36"/>
      <c r="D153" s="36"/>
      <c r="E153" s="36"/>
      <c r="F153" s="36"/>
      <c r="G153" s="36"/>
      <c r="H153" s="36"/>
      <c r="I153" s="36"/>
      <c r="J153" s="36"/>
      <c r="K153" s="36"/>
      <c r="L153" s="37"/>
      <c r="M153" s="37"/>
      <c r="N153" s="37"/>
      <c r="O153" s="37"/>
      <c r="P153" s="36"/>
      <c r="Q153" s="38"/>
      <c r="R153" s="36"/>
      <c r="S153" s="36"/>
      <c r="T153" s="36"/>
      <c r="U153" s="36"/>
      <c r="V153" s="36"/>
      <c r="W153" s="36"/>
      <c r="X153" s="39"/>
      <c r="Y153" s="37"/>
      <c r="Z153" s="39"/>
      <c r="AA153" s="36"/>
      <c r="AB153" s="36"/>
      <c r="AC153" s="36"/>
    </row>
    <row r="154" spans="1:29" x14ac:dyDescent="0.25">
      <c r="A154" s="36"/>
      <c r="B154" s="36"/>
      <c r="C154" s="36"/>
      <c r="D154" s="36"/>
      <c r="E154" s="36"/>
      <c r="F154" s="36"/>
      <c r="G154" s="36"/>
      <c r="H154" s="36"/>
      <c r="I154" s="36"/>
      <c r="J154" s="36"/>
      <c r="K154" s="36"/>
      <c r="L154" s="37"/>
      <c r="M154" s="37"/>
      <c r="N154" s="37"/>
      <c r="O154" s="37"/>
      <c r="P154" s="36"/>
      <c r="Q154" s="38"/>
      <c r="R154" s="36"/>
      <c r="S154" s="36"/>
      <c r="T154" s="36"/>
      <c r="U154" s="36"/>
      <c r="V154" s="36"/>
      <c r="W154" s="36"/>
      <c r="X154" s="39"/>
      <c r="Y154" s="37"/>
      <c r="Z154" s="39"/>
      <c r="AA154" s="36"/>
      <c r="AB154" s="36"/>
      <c r="AC154" s="36"/>
    </row>
    <row r="155" spans="1:29" x14ac:dyDescent="0.25">
      <c r="A155" s="36"/>
      <c r="B155" s="36"/>
      <c r="C155" s="36"/>
      <c r="D155" s="36"/>
      <c r="E155" s="36"/>
      <c r="F155" s="36"/>
      <c r="G155" s="36"/>
      <c r="H155" s="36"/>
      <c r="I155" s="36"/>
      <c r="J155" s="36"/>
      <c r="K155" s="36"/>
      <c r="L155" s="37"/>
      <c r="M155" s="37"/>
      <c r="N155" s="37"/>
      <c r="O155" s="37"/>
      <c r="P155" s="36"/>
      <c r="Q155" s="38"/>
      <c r="R155" s="36"/>
      <c r="S155" s="36"/>
      <c r="T155" s="36"/>
      <c r="U155" s="36"/>
      <c r="V155" s="36"/>
      <c r="W155" s="36"/>
      <c r="X155" s="39"/>
      <c r="Y155" s="37"/>
      <c r="Z155" s="39"/>
      <c r="AA155" s="36"/>
      <c r="AB155" s="36"/>
      <c r="AC155" s="36"/>
    </row>
    <row r="156" spans="1:29" x14ac:dyDescent="0.25">
      <c r="A156" s="36"/>
      <c r="B156" s="36"/>
      <c r="C156" s="36"/>
      <c r="D156" s="36"/>
      <c r="E156" s="36"/>
      <c r="F156" s="36"/>
      <c r="G156" s="36"/>
      <c r="H156" s="36"/>
      <c r="I156" s="36"/>
      <c r="J156" s="36"/>
      <c r="K156" s="36"/>
      <c r="L156" s="37"/>
      <c r="M156" s="37"/>
      <c r="N156" s="37"/>
      <c r="O156" s="37"/>
      <c r="P156" s="36"/>
      <c r="Q156" s="38"/>
      <c r="R156" s="36"/>
      <c r="S156" s="36"/>
      <c r="T156" s="36"/>
      <c r="U156" s="36"/>
      <c r="V156" s="36"/>
      <c r="W156" s="36"/>
      <c r="X156" s="39"/>
      <c r="Y156" s="37"/>
      <c r="Z156" s="39"/>
      <c r="AA156" s="36"/>
      <c r="AB156" s="36"/>
      <c r="AC156" s="36"/>
    </row>
    <row r="157" spans="1:29" x14ac:dyDescent="0.25">
      <c r="A157" s="36"/>
      <c r="B157" s="36"/>
      <c r="C157" s="36"/>
      <c r="D157" s="36"/>
      <c r="E157" s="36"/>
      <c r="F157" s="36"/>
      <c r="G157" s="36"/>
      <c r="H157" s="36"/>
      <c r="I157" s="36"/>
      <c r="J157" s="36"/>
      <c r="K157" s="36"/>
      <c r="L157" s="37"/>
      <c r="M157" s="37"/>
      <c r="N157" s="37"/>
      <c r="O157" s="37"/>
      <c r="P157" s="36"/>
      <c r="Q157" s="38"/>
      <c r="R157" s="36"/>
      <c r="S157" s="36"/>
      <c r="T157" s="36"/>
      <c r="U157" s="36"/>
      <c r="V157" s="36"/>
      <c r="W157" s="36"/>
      <c r="X157" s="39"/>
      <c r="Y157" s="37"/>
      <c r="Z157" s="39"/>
      <c r="AA157" s="36"/>
      <c r="AB157" s="36"/>
      <c r="AC157" s="36"/>
    </row>
    <row r="158" spans="1:29" x14ac:dyDescent="0.25">
      <c r="A158" s="36"/>
      <c r="B158" s="36"/>
      <c r="C158" s="36"/>
      <c r="D158" s="36"/>
      <c r="E158" s="36"/>
      <c r="F158" s="36"/>
      <c r="G158" s="36"/>
      <c r="H158" s="36"/>
      <c r="I158" s="36"/>
      <c r="J158" s="36"/>
      <c r="K158" s="36"/>
      <c r="L158" s="37"/>
      <c r="M158" s="37"/>
      <c r="N158" s="37"/>
      <c r="O158" s="37"/>
      <c r="P158" s="36"/>
      <c r="Q158" s="38"/>
      <c r="R158" s="36"/>
      <c r="S158" s="36"/>
      <c r="T158" s="36"/>
      <c r="U158" s="36"/>
      <c r="V158" s="36"/>
      <c r="W158" s="36"/>
      <c r="X158" s="39"/>
      <c r="Y158" s="37"/>
      <c r="Z158" s="39"/>
      <c r="AA158" s="36"/>
      <c r="AB158" s="36"/>
      <c r="AC158" s="36"/>
    </row>
    <row r="159" spans="1:29" x14ac:dyDescent="0.25">
      <c r="A159" s="36"/>
      <c r="B159" s="36"/>
      <c r="C159" s="36"/>
      <c r="D159" s="36"/>
      <c r="E159" s="36"/>
      <c r="F159" s="36"/>
      <c r="G159" s="36"/>
      <c r="H159" s="36"/>
      <c r="I159" s="36"/>
      <c r="J159" s="36"/>
      <c r="K159" s="36"/>
      <c r="L159" s="37"/>
      <c r="M159" s="37"/>
      <c r="N159" s="37"/>
      <c r="O159" s="37"/>
      <c r="P159" s="36"/>
      <c r="Q159" s="38"/>
      <c r="R159" s="36"/>
      <c r="S159" s="36"/>
      <c r="T159" s="36"/>
      <c r="U159" s="36"/>
      <c r="V159" s="36"/>
      <c r="W159" s="36"/>
      <c r="X159" s="39"/>
      <c r="Y159" s="37"/>
      <c r="Z159" s="39"/>
      <c r="AA159" s="36"/>
      <c r="AB159" s="36"/>
      <c r="AC159" s="36"/>
    </row>
    <row r="160" spans="1:29" x14ac:dyDescent="0.25">
      <c r="A160" s="36"/>
      <c r="B160" s="36"/>
      <c r="C160" s="36"/>
      <c r="D160" s="36"/>
      <c r="E160" s="36"/>
      <c r="F160" s="36"/>
      <c r="G160" s="36"/>
      <c r="H160" s="36"/>
      <c r="I160" s="36"/>
      <c r="J160" s="36"/>
      <c r="K160" s="36"/>
      <c r="L160" s="37"/>
      <c r="M160" s="37"/>
      <c r="N160" s="37"/>
      <c r="O160" s="37"/>
      <c r="P160" s="36"/>
      <c r="Q160" s="38"/>
      <c r="R160" s="36"/>
      <c r="S160" s="36"/>
      <c r="T160" s="36"/>
      <c r="U160" s="36"/>
      <c r="V160" s="36"/>
      <c r="W160" s="36"/>
      <c r="X160" s="39"/>
      <c r="Y160" s="37"/>
      <c r="Z160" s="39"/>
      <c r="AA160" s="36"/>
      <c r="AB160" s="36"/>
      <c r="AC160" s="36"/>
    </row>
    <row r="161" spans="1:29" x14ac:dyDescent="0.25">
      <c r="A161" s="36"/>
      <c r="B161" s="36"/>
      <c r="C161" s="36"/>
      <c r="D161" s="36"/>
      <c r="E161" s="36"/>
      <c r="F161" s="36"/>
      <c r="G161" s="36"/>
      <c r="H161" s="36"/>
      <c r="I161" s="36"/>
      <c r="J161" s="36"/>
      <c r="K161" s="36"/>
      <c r="L161" s="37"/>
      <c r="M161" s="37"/>
      <c r="N161" s="37"/>
      <c r="O161" s="37"/>
      <c r="P161" s="36"/>
      <c r="Q161" s="38"/>
      <c r="R161" s="36"/>
      <c r="S161" s="36"/>
      <c r="T161" s="36"/>
      <c r="U161" s="36"/>
      <c r="V161" s="36"/>
      <c r="W161" s="36"/>
      <c r="X161" s="39"/>
      <c r="Y161" s="37"/>
      <c r="Z161" s="39"/>
      <c r="AA161" s="36"/>
      <c r="AB161" s="36"/>
      <c r="AC161" s="36"/>
    </row>
    <row r="162" spans="1:29" x14ac:dyDescent="0.25">
      <c r="A162" s="36"/>
      <c r="B162" s="36"/>
      <c r="C162" s="36"/>
      <c r="D162" s="36"/>
      <c r="E162" s="36"/>
      <c r="F162" s="36"/>
      <c r="G162" s="36"/>
      <c r="H162" s="36"/>
      <c r="I162" s="36"/>
      <c r="J162" s="36"/>
      <c r="K162" s="36"/>
      <c r="L162" s="37"/>
      <c r="M162" s="37"/>
      <c r="N162" s="37"/>
      <c r="O162" s="37"/>
      <c r="P162" s="36"/>
      <c r="Q162" s="38"/>
      <c r="R162" s="36"/>
      <c r="S162" s="36"/>
      <c r="T162" s="36"/>
      <c r="U162" s="36"/>
      <c r="V162" s="36"/>
      <c r="W162" s="36"/>
      <c r="X162" s="39"/>
      <c r="Y162" s="37"/>
      <c r="Z162" s="39"/>
      <c r="AA162" s="36"/>
      <c r="AB162" s="36"/>
      <c r="AC162" s="36"/>
    </row>
    <row r="163" spans="1:29" x14ac:dyDescent="0.25">
      <c r="A163" s="36"/>
      <c r="B163" s="36"/>
      <c r="C163" s="36"/>
      <c r="D163" s="36"/>
      <c r="E163" s="36"/>
      <c r="F163" s="36"/>
      <c r="G163" s="36"/>
      <c r="H163" s="36"/>
      <c r="I163" s="36"/>
      <c r="J163" s="36"/>
      <c r="K163" s="36"/>
      <c r="L163" s="37"/>
      <c r="M163" s="37"/>
      <c r="N163" s="37"/>
      <c r="O163" s="37"/>
      <c r="P163" s="36"/>
      <c r="Q163" s="38"/>
      <c r="R163" s="36"/>
      <c r="S163" s="36"/>
      <c r="T163" s="36"/>
      <c r="U163" s="36"/>
      <c r="V163" s="36"/>
      <c r="W163" s="36"/>
      <c r="X163" s="39"/>
      <c r="Y163" s="37"/>
      <c r="Z163" s="39"/>
      <c r="AA163" s="36"/>
      <c r="AB163" s="36"/>
      <c r="AC163" s="36"/>
    </row>
    <row r="164" spans="1:29" x14ac:dyDescent="0.25">
      <c r="A164" s="36"/>
      <c r="B164" s="36"/>
      <c r="C164" s="36"/>
      <c r="D164" s="36"/>
      <c r="E164" s="36"/>
      <c r="F164" s="36"/>
      <c r="G164" s="36"/>
      <c r="H164" s="36"/>
      <c r="I164" s="36"/>
      <c r="J164" s="36"/>
      <c r="K164" s="36"/>
      <c r="L164" s="37"/>
      <c r="M164" s="37"/>
      <c r="N164" s="37"/>
      <c r="O164" s="37"/>
      <c r="P164" s="36"/>
      <c r="Q164" s="38"/>
      <c r="R164" s="36"/>
      <c r="S164" s="36"/>
      <c r="T164" s="36"/>
      <c r="U164" s="36"/>
      <c r="V164" s="36"/>
      <c r="W164" s="36"/>
      <c r="X164" s="39"/>
      <c r="Y164" s="37"/>
      <c r="Z164" s="39"/>
      <c r="AA164" s="36"/>
      <c r="AB164" s="36"/>
      <c r="AC164" s="36"/>
    </row>
    <row r="165" spans="1:29" x14ac:dyDescent="0.25">
      <c r="A165" s="36"/>
      <c r="B165" s="36"/>
      <c r="C165" s="36"/>
      <c r="D165" s="36"/>
      <c r="E165" s="36"/>
      <c r="F165" s="36"/>
      <c r="G165" s="36"/>
      <c r="H165" s="36"/>
      <c r="I165" s="36"/>
      <c r="J165" s="36"/>
      <c r="K165" s="36"/>
      <c r="L165" s="37"/>
      <c r="M165" s="37"/>
      <c r="N165" s="37"/>
      <c r="O165" s="37"/>
      <c r="P165" s="36"/>
      <c r="Q165" s="38"/>
      <c r="R165" s="36"/>
      <c r="S165" s="36"/>
      <c r="T165" s="36"/>
      <c r="U165" s="36"/>
      <c r="V165" s="36"/>
      <c r="W165" s="36"/>
      <c r="X165" s="39"/>
      <c r="Y165" s="37"/>
      <c r="Z165" s="39"/>
      <c r="AA165" s="36"/>
      <c r="AB165" s="36"/>
      <c r="AC165" s="36"/>
    </row>
    <row r="166" spans="1:29" x14ac:dyDescent="0.25">
      <c r="A166" s="36"/>
      <c r="B166" s="36"/>
      <c r="C166" s="36"/>
      <c r="D166" s="36"/>
      <c r="E166" s="36"/>
      <c r="F166" s="36"/>
      <c r="G166" s="36"/>
      <c r="H166" s="36"/>
      <c r="I166" s="36"/>
      <c r="J166" s="36"/>
      <c r="K166" s="36"/>
      <c r="L166" s="37"/>
      <c r="M166" s="37"/>
      <c r="N166" s="37"/>
      <c r="O166" s="37"/>
      <c r="P166" s="36"/>
      <c r="Q166" s="38"/>
      <c r="R166" s="36"/>
      <c r="S166" s="36"/>
      <c r="T166" s="36"/>
      <c r="U166" s="36"/>
      <c r="V166" s="36"/>
      <c r="W166" s="36"/>
      <c r="X166" s="39"/>
      <c r="Y166" s="37"/>
      <c r="Z166" s="39"/>
      <c r="AA166" s="36"/>
      <c r="AB166" s="36"/>
      <c r="AC166" s="36"/>
    </row>
    <row r="167" spans="1:29" x14ac:dyDescent="0.25">
      <c r="A167" s="36"/>
      <c r="B167" s="36"/>
      <c r="C167" s="36"/>
      <c r="D167" s="36"/>
      <c r="E167" s="36"/>
      <c r="F167" s="36"/>
      <c r="G167" s="36"/>
      <c r="H167" s="36"/>
      <c r="I167" s="36"/>
      <c r="J167" s="36"/>
      <c r="K167" s="36"/>
      <c r="L167" s="37"/>
      <c r="M167" s="37"/>
      <c r="N167" s="37"/>
      <c r="O167" s="37"/>
      <c r="P167" s="36"/>
      <c r="Q167" s="38"/>
      <c r="R167" s="36"/>
      <c r="S167" s="36"/>
      <c r="T167" s="36"/>
      <c r="U167" s="36"/>
      <c r="V167" s="36"/>
      <c r="W167" s="36"/>
      <c r="X167" s="39"/>
      <c r="Y167" s="37"/>
      <c r="Z167" s="39"/>
      <c r="AA167" s="36"/>
      <c r="AB167" s="36"/>
      <c r="AC167" s="36"/>
    </row>
    <row r="168" spans="1:29" x14ac:dyDescent="0.25">
      <c r="A168" s="36"/>
      <c r="B168" s="36"/>
      <c r="C168" s="36"/>
      <c r="D168" s="36"/>
      <c r="E168" s="36"/>
      <c r="F168" s="36"/>
      <c r="G168" s="36"/>
      <c r="H168" s="36"/>
      <c r="I168" s="36"/>
      <c r="J168" s="36"/>
      <c r="K168" s="36"/>
      <c r="L168" s="37"/>
      <c r="M168" s="37"/>
      <c r="N168" s="37"/>
      <c r="O168" s="37"/>
      <c r="P168" s="36"/>
      <c r="Q168" s="38"/>
      <c r="R168" s="36"/>
      <c r="S168" s="36"/>
      <c r="T168" s="36"/>
      <c r="U168" s="36"/>
      <c r="V168" s="36"/>
      <c r="W168" s="36"/>
      <c r="X168" s="39"/>
      <c r="Y168" s="37"/>
      <c r="Z168" s="39"/>
      <c r="AA168" s="36"/>
      <c r="AB168" s="36"/>
      <c r="AC168" s="36"/>
    </row>
    <row r="169" spans="1:29" x14ac:dyDescent="0.25">
      <c r="A169" s="36"/>
      <c r="B169" s="36"/>
      <c r="C169" s="36"/>
      <c r="D169" s="36"/>
      <c r="E169" s="36"/>
      <c r="F169" s="36"/>
      <c r="G169" s="36"/>
      <c r="H169" s="36"/>
      <c r="I169" s="36"/>
      <c r="J169" s="36"/>
      <c r="K169" s="36"/>
      <c r="L169" s="37"/>
      <c r="M169" s="37"/>
      <c r="N169" s="37"/>
      <c r="O169" s="37"/>
      <c r="P169" s="36"/>
      <c r="Q169" s="38"/>
      <c r="R169" s="36"/>
      <c r="S169" s="36"/>
      <c r="T169" s="36"/>
      <c r="U169" s="36"/>
      <c r="V169" s="36"/>
      <c r="W169" s="36"/>
      <c r="X169" s="39"/>
      <c r="Y169" s="37"/>
      <c r="Z169" s="39"/>
      <c r="AA169" s="36"/>
      <c r="AB169" s="36"/>
      <c r="AC169" s="36"/>
    </row>
    <row r="170" spans="1:29" x14ac:dyDescent="0.25">
      <c r="A170" s="36"/>
      <c r="B170" s="36"/>
      <c r="C170" s="36"/>
      <c r="D170" s="36"/>
      <c r="E170" s="36"/>
      <c r="F170" s="36"/>
      <c r="G170" s="36"/>
      <c r="H170" s="36"/>
      <c r="I170" s="36"/>
      <c r="J170" s="36"/>
      <c r="K170" s="36"/>
      <c r="L170" s="37"/>
      <c r="M170" s="37"/>
      <c r="N170" s="37"/>
      <c r="O170" s="37"/>
      <c r="P170" s="36"/>
      <c r="Q170" s="38"/>
      <c r="R170" s="36"/>
      <c r="S170" s="36"/>
      <c r="T170" s="36"/>
      <c r="U170" s="36"/>
      <c r="V170" s="36"/>
      <c r="W170" s="36"/>
      <c r="X170" s="39"/>
      <c r="Y170" s="37"/>
      <c r="Z170" s="39"/>
      <c r="AA170" s="36"/>
      <c r="AB170" s="36"/>
      <c r="AC170" s="36"/>
    </row>
    <row r="171" spans="1:29" x14ac:dyDescent="0.25">
      <c r="A171" s="36"/>
      <c r="B171" s="36"/>
      <c r="C171" s="36"/>
      <c r="D171" s="36"/>
      <c r="E171" s="36"/>
      <c r="F171" s="36"/>
      <c r="G171" s="36"/>
      <c r="H171" s="36"/>
      <c r="I171" s="36"/>
      <c r="J171" s="36"/>
      <c r="K171" s="36"/>
      <c r="L171" s="37"/>
      <c r="M171" s="37"/>
      <c r="N171" s="37"/>
      <c r="O171" s="37"/>
      <c r="P171" s="36"/>
      <c r="Q171" s="38"/>
      <c r="R171" s="36"/>
      <c r="S171" s="36"/>
      <c r="T171" s="36"/>
      <c r="U171" s="36"/>
      <c r="V171" s="36"/>
      <c r="W171" s="36"/>
      <c r="X171" s="39"/>
      <c r="Y171" s="37"/>
      <c r="Z171" s="39"/>
      <c r="AA171" s="36"/>
      <c r="AB171" s="36"/>
      <c r="AC171" s="36"/>
    </row>
    <row r="172" spans="1:29" x14ac:dyDescent="0.25">
      <c r="A172" s="36"/>
      <c r="B172" s="36"/>
      <c r="C172" s="36"/>
      <c r="D172" s="36"/>
      <c r="E172" s="36"/>
      <c r="F172" s="36"/>
      <c r="G172" s="36"/>
      <c r="H172" s="36"/>
      <c r="I172" s="36"/>
      <c r="J172" s="36"/>
      <c r="K172" s="36"/>
      <c r="L172" s="37"/>
      <c r="M172" s="37"/>
      <c r="N172" s="37"/>
      <c r="O172" s="37"/>
      <c r="P172" s="36"/>
      <c r="Q172" s="38"/>
      <c r="R172" s="36"/>
      <c r="S172" s="36"/>
      <c r="T172" s="36"/>
      <c r="U172" s="36"/>
      <c r="V172" s="36"/>
      <c r="W172" s="36"/>
      <c r="X172" s="39"/>
      <c r="Y172" s="37"/>
      <c r="Z172" s="39"/>
      <c r="AA172" s="36"/>
      <c r="AB172" s="36"/>
      <c r="AC172" s="36"/>
    </row>
    <row r="173" spans="1:29" x14ac:dyDescent="0.25">
      <c r="A173" s="36"/>
      <c r="B173" s="36"/>
      <c r="C173" s="36"/>
      <c r="D173" s="36"/>
      <c r="E173" s="36"/>
      <c r="F173" s="36"/>
      <c r="G173" s="36"/>
      <c r="H173" s="36"/>
      <c r="I173" s="36"/>
      <c r="J173" s="36"/>
      <c r="K173" s="36"/>
      <c r="L173" s="37"/>
      <c r="M173" s="37"/>
      <c r="N173" s="37"/>
      <c r="O173" s="37"/>
      <c r="P173" s="36"/>
      <c r="Q173" s="38"/>
      <c r="R173" s="36"/>
      <c r="S173" s="36"/>
      <c r="T173" s="36"/>
      <c r="U173" s="36"/>
      <c r="V173" s="36"/>
      <c r="W173" s="36"/>
      <c r="X173" s="39"/>
      <c r="Y173" s="37"/>
      <c r="Z173" s="39"/>
      <c r="AA173" s="36"/>
      <c r="AB173" s="36"/>
      <c r="AC173" s="36"/>
    </row>
    <row r="174" spans="1:29" x14ac:dyDescent="0.25">
      <c r="A174" s="36"/>
      <c r="B174" s="36"/>
      <c r="C174" s="36"/>
      <c r="D174" s="36"/>
      <c r="E174" s="36"/>
      <c r="F174" s="36"/>
      <c r="G174" s="36"/>
      <c r="H174" s="36"/>
      <c r="I174" s="36"/>
      <c r="J174" s="36"/>
      <c r="K174" s="36"/>
      <c r="L174" s="37"/>
      <c r="M174" s="37"/>
      <c r="N174" s="37"/>
      <c r="O174" s="37"/>
      <c r="P174" s="36"/>
      <c r="Q174" s="38"/>
      <c r="R174" s="36"/>
      <c r="S174" s="36"/>
      <c r="T174" s="36"/>
      <c r="U174" s="36"/>
      <c r="V174" s="36"/>
      <c r="W174" s="36"/>
      <c r="X174" s="39"/>
      <c r="Y174" s="37"/>
      <c r="Z174" s="39"/>
      <c r="AA174" s="36"/>
      <c r="AB174" s="36"/>
      <c r="AC174" s="36"/>
    </row>
    <row r="175" spans="1:29" x14ac:dyDescent="0.25">
      <c r="A175" s="36"/>
      <c r="B175" s="36"/>
      <c r="C175" s="36"/>
      <c r="D175" s="36"/>
      <c r="E175" s="36"/>
      <c r="F175" s="36"/>
      <c r="G175" s="36"/>
      <c r="H175" s="36"/>
      <c r="I175" s="36"/>
      <c r="J175" s="36"/>
      <c r="K175" s="36"/>
      <c r="L175" s="37"/>
      <c r="M175" s="37"/>
      <c r="N175" s="37"/>
      <c r="O175" s="37"/>
      <c r="P175" s="36"/>
      <c r="Q175" s="38"/>
      <c r="R175" s="36"/>
      <c r="S175" s="36"/>
      <c r="T175" s="36"/>
      <c r="U175" s="36"/>
      <c r="V175" s="36"/>
      <c r="W175" s="36"/>
      <c r="X175" s="39"/>
      <c r="Y175" s="37"/>
      <c r="Z175" s="39"/>
      <c r="AA175" s="36"/>
      <c r="AB175" s="36"/>
      <c r="AC175" s="36"/>
    </row>
    <row r="176" spans="1:29" x14ac:dyDescent="0.25">
      <c r="A176" s="36"/>
      <c r="B176" s="36"/>
      <c r="C176" s="36"/>
      <c r="D176" s="36"/>
      <c r="E176" s="36"/>
      <c r="F176" s="36"/>
      <c r="G176" s="36"/>
      <c r="H176" s="36"/>
      <c r="I176" s="36"/>
      <c r="J176" s="36"/>
      <c r="K176" s="36"/>
      <c r="L176" s="37"/>
      <c r="M176" s="37"/>
      <c r="N176" s="37"/>
      <c r="O176" s="37"/>
      <c r="P176" s="36"/>
      <c r="Q176" s="38"/>
      <c r="R176" s="36"/>
      <c r="S176" s="36"/>
      <c r="T176" s="36"/>
      <c r="U176" s="36"/>
      <c r="V176" s="36"/>
      <c r="W176" s="36"/>
      <c r="X176" s="39"/>
      <c r="Y176" s="37"/>
      <c r="Z176" s="39"/>
      <c r="AA176" s="36"/>
      <c r="AB176" s="36"/>
      <c r="AC176" s="36"/>
    </row>
    <row r="177" spans="1:29" x14ac:dyDescent="0.25">
      <c r="A177" s="36"/>
      <c r="B177" s="36"/>
      <c r="C177" s="36"/>
      <c r="D177" s="36"/>
      <c r="E177" s="36"/>
      <c r="F177" s="36"/>
      <c r="G177" s="36"/>
      <c r="H177" s="36"/>
      <c r="I177" s="36"/>
      <c r="J177" s="36"/>
      <c r="K177" s="36"/>
      <c r="L177" s="37"/>
      <c r="M177" s="37"/>
      <c r="N177" s="37"/>
      <c r="O177" s="37"/>
      <c r="P177" s="36"/>
      <c r="Q177" s="38"/>
      <c r="R177" s="36"/>
      <c r="S177" s="36"/>
      <c r="T177" s="36"/>
      <c r="U177" s="36"/>
      <c r="V177" s="36"/>
      <c r="W177" s="36"/>
      <c r="X177" s="39"/>
      <c r="Y177" s="37"/>
      <c r="Z177" s="39"/>
      <c r="AA177" s="36"/>
      <c r="AB177" s="36"/>
      <c r="AC177" s="36"/>
    </row>
    <row r="178" spans="1:29" x14ac:dyDescent="0.25">
      <c r="A178" s="36"/>
      <c r="B178" s="36"/>
      <c r="C178" s="36"/>
      <c r="D178" s="36"/>
      <c r="E178" s="36"/>
      <c r="F178" s="36"/>
      <c r="G178" s="36"/>
      <c r="H178" s="36"/>
      <c r="I178" s="36"/>
      <c r="J178" s="36"/>
      <c r="K178" s="36"/>
      <c r="L178" s="37"/>
      <c r="M178" s="37"/>
      <c r="N178" s="37"/>
      <c r="O178" s="37"/>
      <c r="P178" s="36"/>
      <c r="Q178" s="38"/>
      <c r="R178" s="36"/>
      <c r="S178" s="36"/>
      <c r="T178" s="36"/>
      <c r="U178" s="36"/>
      <c r="V178" s="36"/>
      <c r="W178" s="36"/>
      <c r="X178" s="39"/>
      <c r="Y178" s="37"/>
      <c r="Z178" s="39"/>
      <c r="AA178" s="36"/>
      <c r="AB178" s="36"/>
      <c r="AC178" s="36"/>
    </row>
    <row r="179" spans="1:29" x14ac:dyDescent="0.25">
      <c r="A179" s="36"/>
      <c r="B179" s="36"/>
      <c r="C179" s="36"/>
      <c r="D179" s="36"/>
      <c r="E179" s="36"/>
      <c r="F179" s="36"/>
      <c r="G179" s="36"/>
      <c r="H179" s="36"/>
      <c r="I179" s="36"/>
      <c r="J179" s="36"/>
      <c r="K179" s="36"/>
      <c r="L179" s="37"/>
      <c r="M179" s="37"/>
      <c r="N179" s="37"/>
      <c r="O179" s="37"/>
      <c r="P179" s="36"/>
      <c r="Q179" s="38"/>
      <c r="R179" s="36"/>
      <c r="S179" s="36"/>
      <c r="T179" s="36"/>
      <c r="U179" s="36"/>
      <c r="V179" s="36"/>
      <c r="W179" s="36"/>
      <c r="X179" s="39"/>
      <c r="Y179" s="37"/>
      <c r="Z179" s="39"/>
      <c r="AA179" s="36"/>
      <c r="AB179" s="36"/>
      <c r="AC179" s="36"/>
    </row>
    <row r="180" spans="1:29" x14ac:dyDescent="0.25">
      <c r="A180" s="36"/>
      <c r="B180" s="36"/>
      <c r="C180" s="36"/>
      <c r="D180" s="36"/>
      <c r="E180" s="36"/>
      <c r="F180" s="36"/>
      <c r="G180" s="36"/>
      <c r="H180" s="36"/>
      <c r="I180" s="36"/>
      <c r="J180" s="36"/>
      <c r="K180" s="36"/>
      <c r="L180" s="37"/>
      <c r="M180" s="37"/>
      <c r="N180" s="37"/>
      <c r="O180" s="37"/>
      <c r="P180" s="36"/>
      <c r="Q180" s="38"/>
      <c r="R180" s="36"/>
      <c r="S180" s="36"/>
      <c r="T180" s="36"/>
      <c r="U180" s="36"/>
      <c r="V180" s="36"/>
      <c r="W180" s="36"/>
      <c r="X180" s="39"/>
      <c r="Y180" s="37"/>
      <c r="Z180" s="39"/>
      <c r="AA180" s="36"/>
      <c r="AB180" s="36"/>
      <c r="AC180" s="36"/>
    </row>
    <row r="181" spans="1:29" x14ac:dyDescent="0.25">
      <c r="A181" s="36"/>
      <c r="B181" s="36"/>
      <c r="C181" s="36"/>
      <c r="D181" s="36"/>
      <c r="E181" s="36"/>
      <c r="F181" s="36"/>
      <c r="G181" s="36"/>
      <c r="H181" s="36"/>
      <c r="I181" s="36"/>
      <c r="J181" s="36"/>
      <c r="K181" s="36"/>
      <c r="L181" s="37"/>
      <c r="M181" s="37"/>
      <c r="N181" s="37"/>
      <c r="O181" s="37"/>
      <c r="P181" s="36"/>
      <c r="Q181" s="38"/>
      <c r="R181" s="36"/>
      <c r="S181" s="36"/>
      <c r="T181" s="36"/>
      <c r="U181" s="36"/>
      <c r="V181" s="36"/>
      <c r="W181" s="36"/>
      <c r="X181" s="39"/>
      <c r="Y181" s="37"/>
      <c r="Z181" s="39"/>
      <c r="AA181" s="36"/>
      <c r="AB181" s="36"/>
      <c r="AC181" s="36"/>
    </row>
    <row r="182" spans="1:29" x14ac:dyDescent="0.25">
      <c r="A182" s="36"/>
      <c r="B182" s="36"/>
      <c r="C182" s="36"/>
      <c r="D182" s="36"/>
      <c r="E182" s="36"/>
      <c r="F182" s="36"/>
      <c r="G182" s="36"/>
      <c r="H182" s="36"/>
      <c r="I182" s="36"/>
      <c r="J182" s="36"/>
      <c r="K182" s="36"/>
      <c r="L182" s="37"/>
      <c r="M182" s="37"/>
      <c r="N182" s="37"/>
      <c r="O182" s="37"/>
      <c r="P182" s="36"/>
      <c r="Q182" s="38"/>
      <c r="R182" s="36"/>
      <c r="S182" s="36"/>
      <c r="T182" s="36"/>
      <c r="U182" s="36"/>
      <c r="V182" s="36"/>
      <c r="W182" s="36"/>
      <c r="X182" s="39"/>
      <c r="Y182" s="37"/>
      <c r="Z182" s="39"/>
      <c r="AA182" s="36"/>
      <c r="AB182" s="36"/>
      <c r="AC182" s="36"/>
    </row>
    <row r="183" spans="1:29" x14ac:dyDescent="0.25">
      <c r="A183" s="36"/>
      <c r="B183" s="36"/>
      <c r="C183" s="36"/>
      <c r="D183" s="36"/>
      <c r="E183" s="36"/>
      <c r="F183" s="36"/>
      <c r="G183" s="36"/>
      <c r="H183" s="36"/>
      <c r="I183" s="36"/>
      <c r="J183" s="36"/>
      <c r="K183" s="36"/>
      <c r="L183" s="37"/>
      <c r="M183" s="37"/>
      <c r="N183" s="37"/>
      <c r="O183" s="37"/>
      <c r="P183" s="36"/>
      <c r="Q183" s="38"/>
      <c r="R183" s="36"/>
      <c r="S183" s="36"/>
      <c r="T183" s="36"/>
      <c r="U183" s="36"/>
      <c r="V183" s="36"/>
      <c r="W183" s="36"/>
      <c r="X183" s="39"/>
      <c r="Y183" s="37"/>
      <c r="Z183" s="39"/>
      <c r="AA183" s="36"/>
      <c r="AB183" s="36"/>
      <c r="AC183" s="36"/>
    </row>
    <row r="184" spans="1:29" x14ac:dyDescent="0.25">
      <c r="A184" s="36"/>
      <c r="B184" s="36"/>
      <c r="C184" s="36"/>
      <c r="D184" s="36"/>
      <c r="E184" s="36"/>
      <c r="F184" s="36"/>
      <c r="G184" s="36"/>
      <c r="H184" s="36"/>
      <c r="I184" s="36"/>
      <c r="J184" s="36"/>
      <c r="K184" s="36"/>
      <c r="L184" s="37"/>
      <c r="M184" s="37"/>
      <c r="N184" s="37"/>
      <c r="O184" s="37"/>
      <c r="P184" s="36"/>
      <c r="Q184" s="38"/>
      <c r="R184" s="36"/>
      <c r="S184" s="36"/>
      <c r="T184" s="36"/>
      <c r="U184" s="36"/>
      <c r="V184" s="36"/>
      <c r="W184" s="36"/>
      <c r="X184" s="39"/>
      <c r="Y184" s="37"/>
      <c r="Z184" s="39"/>
      <c r="AA184" s="36"/>
      <c r="AB184" s="36"/>
      <c r="AC184" s="36"/>
    </row>
    <row r="185" spans="1:29" x14ac:dyDescent="0.25">
      <c r="A185" s="36"/>
      <c r="B185" s="36"/>
      <c r="C185" s="36"/>
      <c r="D185" s="36"/>
      <c r="E185" s="36"/>
      <c r="F185" s="36"/>
      <c r="G185" s="36"/>
      <c r="H185" s="36"/>
      <c r="I185" s="36"/>
      <c r="J185" s="36"/>
      <c r="K185" s="36"/>
      <c r="L185" s="37"/>
      <c r="M185" s="37"/>
      <c r="N185" s="37"/>
      <c r="O185" s="37"/>
      <c r="P185" s="36"/>
      <c r="Q185" s="38"/>
      <c r="R185" s="36"/>
      <c r="S185" s="36"/>
      <c r="T185" s="36"/>
      <c r="U185" s="36"/>
      <c r="V185" s="36"/>
      <c r="W185" s="36"/>
      <c r="X185" s="39"/>
      <c r="Y185" s="37"/>
      <c r="Z185" s="39"/>
      <c r="AA185" s="36"/>
      <c r="AB185" s="36"/>
      <c r="AC185" s="36"/>
    </row>
    <row r="186" spans="1:29" x14ac:dyDescent="0.25">
      <c r="A186" s="36"/>
      <c r="B186" s="36"/>
      <c r="C186" s="36"/>
      <c r="D186" s="36"/>
      <c r="E186" s="36"/>
      <c r="F186" s="36"/>
      <c r="G186" s="36"/>
      <c r="H186" s="36"/>
      <c r="I186" s="36"/>
      <c r="J186" s="36"/>
      <c r="K186" s="36"/>
      <c r="L186" s="37"/>
      <c r="M186" s="37"/>
      <c r="N186" s="37"/>
      <c r="O186" s="37"/>
      <c r="P186" s="36"/>
      <c r="Q186" s="38"/>
      <c r="R186" s="36"/>
      <c r="S186" s="36"/>
      <c r="T186" s="36"/>
      <c r="U186" s="36"/>
      <c r="V186" s="36"/>
      <c r="W186" s="36"/>
      <c r="X186" s="39"/>
      <c r="Y186" s="37"/>
      <c r="Z186" s="39"/>
      <c r="AA186" s="36"/>
      <c r="AB186" s="36"/>
      <c r="AC186" s="36"/>
    </row>
    <row r="187" spans="1:29" x14ac:dyDescent="0.25">
      <c r="A187" s="36"/>
      <c r="B187" s="36"/>
      <c r="C187" s="36"/>
      <c r="D187" s="36"/>
      <c r="E187" s="36"/>
      <c r="F187" s="36"/>
      <c r="G187" s="36"/>
      <c r="H187" s="36"/>
      <c r="I187" s="36"/>
      <c r="J187" s="36"/>
      <c r="K187" s="36"/>
      <c r="L187" s="37"/>
      <c r="M187" s="37"/>
      <c r="N187" s="37"/>
      <c r="O187" s="37"/>
      <c r="P187" s="36"/>
      <c r="Q187" s="38"/>
      <c r="R187" s="36"/>
      <c r="S187" s="36"/>
      <c r="T187" s="36"/>
      <c r="U187" s="36"/>
      <c r="V187" s="36"/>
      <c r="W187" s="36"/>
      <c r="X187" s="39"/>
      <c r="Y187" s="37"/>
      <c r="Z187" s="39"/>
      <c r="AA187" s="36"/>
      <c r="AB187" s="36"/>
      <c r="AC187" s="36"/>
    </row>
    <row r="188" spans="1:29" x14ac:dyDescent="0.25">
      <c r="A188" s="36"/>
      <c r="B188" s="36"/>
      <c r="C188" s="36"/>
      <c r="D188" s="36"/>
      <c r="E188" s="36"/>
      <c r="F188" s="36"/>
      <c r="G188" s="36"/>
      <c r="H188" s="36"/>
      <c r="I188" s="36"/>
      <c r="J188" s="36"/>
      <c r="K188" s="36"/>
      <c r="L188" s="37"/>
      <c r="M188" s="37"/>
      <c r="N188" s="37"/>
      <c r="O188" s="37"/>
      <c r="P188" s="36"/>
      <c r="Q188" s="38"/>
      <c r="R188" s="36"/>
      <c r="S188" s="36"/>
      <c r="T188" s="36"/>
      <c r="U188" s="36"/>
      <c r="V188" s="36"/>
      <c r="W188" s="36"/>
      <c r="X188" s="39"/>
      <c r="Y188" s="37"/>
      <c r="Z188" s="39"/>
      <c r="AA188" s="36"/>
      <c r="AB188" s="36"/>
      <c r="AC188" s="36"/>
    </row>
    <row r="189" spans="1:29" x14ac:dyDescent="0.25">
      <c r="A189" s="36"/>
      <c r="B189" s="36"/>
      <c r="C189" s="36"/>
      <c r="D189" s="36"/>
      <c r="E189" s="36"/>
      <c r="F189" s="36"/>
      <c r="G189" s="36"/>
      <c r="H189" s="36"/>
      <c r="I189" s="36"/>
      <c r="J189" s="36"/>
      <c r="K189" s="36"/>
      <c r="L189" s="37"/>
      <c r="M189" s="37"/>
      <c r="N189" s="37"/>
      <c r="O189" s="37"/>
      <c r="P189" s="36"/>
      <c r="Q189" s="38"/>
      <c r="R189" s="36"/>
      <c r="S189" s="36"/>
      <c r="T189" s="36"/>
      <c r="U189" s="36"/>
      <c r="V189" s="36"/>
      <c r="W189" s="36"/>
      <c r="X189" s="39"/>
      <c r="Y189" s="37"/>
      <c r="Z189" s="39"/>
      <c r="AA189" s="36"/>
      <c r="AB189" s="36"/>
      <c r="AC189" s="36"/>
    </row>
    <row r="190" spans="1:29" x14ac:dyDescent="0.25">
      <c r="A190" s="36"/>
      <c r="B190" s="36"/>
      <c r="C190" s="36"/>
      <c r="D190" s="36"/>
      <c r="E190" s="36"/>
      <c r="F190" s="36"/>
      <c r="G190" s="36"/>
      <c r="H190" s="36"/>
      <c r="I190" s="36"/>
      <c r="J190" s="36"/>
      <c r="K190" s="36"/>
      <c r="L190" s="37"/>
      <c r="M190" s="37"/>
      <c r="N190" s="37"/>
      <c r="O190" s="37"/>
      <c r="P190" s="36"/>
      <c r="Q190" s="38"/>
      <c r="R190" s="36"/>
      <c r="S190" s="36"/>
      <c r="T190" s="36"/>
      <c r="U190" s="36"/>
      <c r="V190" s="36"/>
      <c r="W190" s="36"/>
      <c r="X190" s="39"/>
      <c r="Y190" s="37"/>
      <c r="Z190" s="39"/>
      <c r="AA190" s="36"/>
      <c r="AB190" s="36"/>
      <c r="AC190" s="36"/>
    </row>
    <row r="191" spans="1:29" x14ac:dyDescent="0.25">
      <c r="A191" s="36"/>
      <c r="B191" s="36"/>
      <c r="C191" s="36"/>
      <c r="D191" s="36"/>
      <c r="E191" s="36"/>
      <c r="F191" s="36"/>
      <c r="G191" s="36"/>
      <c r="H191" s="36"/>
      <c r="I191" s="36"/>
      <c r="J191" s="36"/>
      <c r="K191" s="36"/>
      <c r="L191" s="37"/>
      <c r="M191" s="37"/>
      <c r="N191" s="37"/>
      <c r="O191" s="37"/>
      <c r="P191" s="36"/>
      <c r="Q191" s="38"/>
      <c r="R191" s="36"/>
      <c r="S191" s="36"/>
      <c r="T191" s="36"/>
      <c r="U191" s="36"/>
      <c r="V191" s="36"/>
      <c r="W191" s="36"/>
      <c r="X191" s="39"/>
      <c r="Y191" s="37"/>
      <c r="Z191" s="39"/>
      <c r="AA191" s="36"/>
      <c r="AB191" s="36"/>
      <c r="AC191" s="36"/>
    </row>
    <row r="192" spans="1:29" x14ac:dyDescent="0.25">
      <c r="A192" s="36"/>
      <c r="B192" s="36"/>
      <c r="C192" s="36"/>
      <c r="D192" s="36"/>
      <c r="E192" s="36"/>
      <c r="F192" s="36"/>
      <c r="G192" s="36"/>
      <c r="H192" s="36"/>
      <c r="I192" s="36"/>
      <c r="J192" s="36"/>
      <c r="K192" s="36"/>
      <c r="L192" s="37"/>
      <c r="M192" s="37"/>
      <c r="N192" s="37"/>
      <c r="O192" s="37"/>
      <c r="P192" s="36"/>
      <c r="Q192" s="38"/>
      <c r="R192" s="36"/>
      <c r="S192" s="36"/>
      <c r="T192" s="36"/>
      <c r="U192" s="36"/>
      <c r="V192" s="36"/>
      <c r="W192" s="36"/>
      <c r="X192" s="39"/>
      <c r="Y192" s="37"/>
      <c r="Z192" s="39"/>
      <c r="AA192" s="36"/>
      <c r="AB192" s="36"/>
      <c r="AC192" s="36"/>
    </row>
    <row r="193" spans="1:29" x14ac:dyDescent="0.25">
      <c r="A193" s="36"/>
      <c r="B193" s="36"/>
      <c r="C193" s="36"/>
      <c r="D193" s="36"/>
      <c r="E193" s="36"/>
      <c r="F193" s="36"/>
      <c r="G193" s="36"/>
      <c r="H193" s="36"/>
      <c r="I193" s="36"/>
      <c r="J193" s="36"/>
      <c r="K193" s="36"/>
      <c r="L193" s="37"/>
      <c r="M193" s="37"/>
      <c r="N193" s="37"/>
      <c r="O193" s="37"/>
      <c r="P193" s="36"/>
      <c r="Q193" s="38"/>
      <c r="R193" s="36"/>
      <c r="S193" s="36"/>
      <c r="T193" s="36"/>
      <c r="U193" s="36"/>
      <c r="V193" s="36"/>
      <c r="W193" s="36"/>
      <c r="X193" s="39"/>
      <c r="Y193" s="37"/>
      <c r="Z193" s="39"/>
      <c r="AA193" s="36"/>
      <c r="AB193" s="36"/>
      <c r="AC193" s="36"/>
    </row>
    <row r="194" spans="1:29" x14ac:dyDescent="0.25">
      <c r="A194" s="36"/>
      <c r="B194" s="36"/>
      <c r="C194" s="36"/>
      <c r="D194" s="36"/>
      <c r="E194" s="36"/>
      <c r="F194" s="36"/>
      <c r="G194" s="36"/>
      <c r="H194" s="36"/>
      <c r="I194" s="36"/>
      <c r="J194" s="36"/>
      <c r="K194" s="36"/>
      <c r="L194" s="37"/>
      <c r="M194" s="37"/>
      <c r="N194" s="37"/>
      <c r="O194" s="37"/>
      <c r="P194" s="36"/>
      <c r="Q194" s="38"/>
      <c r="R194" s="36"/>
      <c r="S194" s="36"/>
      <c r="T194" s="36"/>
      <c r="U194" s="36"/>
      <c r="V194" s="36"/>
      <c r="W194" s="36"/>
      <c r="X194" s="39"/>
      <c r="Y194" s="37"/>
      <c r="Z194" s="39"/>
      <c r="AA194" s="36"/>
      <c r="AB194" s="36"/>
      <c r="AC194" s="36"/>
    </row>
    <row r="195" spans="1:29" x14ac:dyDescent="0.25">
      <c r="A195" s="36"/>
      <c r="B195" s="36"/>
      <c r="C195" s="36"/>
      <c r="D195" s="36"/>
      <c r="E195" s="36"/>
      <c r="F195" s="36"/>
      <c r="G195" s="36"/>
      <c r="H195" s="36"/>
      <c r="I195" s="36"/>
      <c r="J195" s="36"/>
      <c r="K195" s="36"/>
      <c r="L195" s="37"/>
      <c r="M195" s="37"/>
      <c r="N195" s="37"/>
      <c r="O195" s="37"/>
      <c r="P195" s="36"/>
      <c r="Q195" s="38"/>
      <c r="R195" s="36"/>
      <c r="S195" s="36"/>
      <c r="T195" s="36"/>
      <c r="U195" s="36"/>
      <c r="V195" s="36"/>
      <c r="W195" s="36"/>
      <c r="X195" s="39"/>
      <c r="Y195" s="37"/>
      <c r="Z195" s="39"/>
      <c r="AA195" s="36"/>
      <c r="AB195" s="36"/>
      <c r="AC195" s="36"/>
    </row>
    <row r="196" spans="1:29" x14ac:dyDescent="0.25">
      <c r="A196" s="36"/>
      <c r="B196" s="36"/>
      <c r="C196" s="36"/>
      <c r="D196" s="36"/>
      <c r="E196" s="36"/>
      <c r="F196" s="36"/>
      <c r="G196" s="36"/>
      <c r="H196" s="36"/>
      <c r="I196" s="36"/>
      <c r="J196" s="36"/>
      <c r="K196" s="36"/>
      <c r="L196" s="37"/>
      <c r="M196" s="37"/>
      <c r="N196" s="37"/>
      <c r="O196" s="37"/>
      <c r="P196" s="36"/>
      <c r="Q196" s="38"/>
      <c r="R196" s="36"/>
      <c r="S196" s="36"/>
      <c r="T196" s="36"/>
      <c r="U196" s="36"/>
      <c r="V196" s="36"/>
      <c r="W196" s="36"/>
      <c r="X196" s="39"/>
      <c r="Y196" s="37"/>
      <c r="Z196" s="39"/>
      <c r="AA196" s="36"/>
      <c r="AB196" s="36"/>
      <c r="AC196" s="36"/>
    </row>
    <row r="197" spans="1:29" x14ac:dyDescent="0.25">
      <c r="A197" s="36"/>
      <c r="B197" s="36"/>
      <c r="C197" s="36"/>
      <c r="D197" s="36"/>
      <c r="E197" s="36"/>
      <c r="F197" s="36"/>
      <c r="G197" s="36"/>
      <c r="H197" s="36"/>
      <c r="I197" s="36"/>
      <c r="J197" s="36"/>
      <c r="K197" s="36"/>
      <c r="L197" s="37"/>
      <c r="M197" s="37"/>
      <c r="N197" s="37"/>
      <c r="O197" s="37"/>
      <c r="P197" s="36"/>
      <c r="Q197" s="38"/>
      <c r="R197" s="36"/>
      <c r="S197" s="36"/>
      <c r="T197" s="36"/>
      <c r="U197" s="36"/>
      <c r="V197" s="36"/>
      <c r="W197" s="36"/>
      <c r="X197" s="39"/>
      <c r="Y197" s="37"/>
      <c r="Z197" s="39"/>
      <c r="AA197" s="36"/>
      <c r="AB197" s="36"/>
      <c r="AC197" s="36"/>
    </row>
    <row r="198" spans="1:29" x14ac:dyDescent="0.25">
      <c r="A198" s="36"/>
      <c r="B198" s="36"/>
      <c r="C198" s="36"/>
      <c r="D198" s="36"/>
      <c r="E198" s="36"/>
      <c r="F198" s="36"/>
      <c r="G198" s="36"/>
      <c r="H198" s="36"/>
      <c r="I198" s="36"/>
      <c r="J198" s="36"/>
      <c r="K198" s="36"/>
      <c r="L198" s="37"/>
      <c r="M198" s="37"/>
      <c r="N198" s="37"/>
      <c r="O198" s="37"/>
      <c r="P198" s="36"/>
      <c r="Q198" s="38"/>
      <c r="R198" s="36"/>
      <c r="S198" s="36"/>
      <c r="T198" s="36"/>
      <c r="U198" s="36"/>
      <c r="V198" s="36"/>
      <c r="W198" s="36"/>
      <c r="X198" s="39"/>
      <c r="Y198" s="37"/>
      <c r="Z198" s="39"/>
      <c r="AA198" s="36"/>
      <c r="AB198" s="36"/>
      <c r="AC198" s="36"/>
    </row>
    <row r="199" spans="1:29" x14ac:dyDescent="0.25">
      <c r="A199" s="36"/>
      <c r="B199" s="36"/>
      <c r="C199" s="36"/>
      <c r="D199" s="36"/>
      <c r="E199" s="36"/>
      <c r="F199" s="36"/>
      <c r="G199" s="36"/>
      <c r="H199" s="36"/>
      <c r="I199" s="36"/>
      <c r="J199" s="36"/>
      <c r="K199" s="36"/>
      <c r="L199" s="37"/>
      <c r="M199" s="37"/>
      <c r="N199" s="37"/>
      <c r="O199" s="37"/>
      <c r="P199" s="36"/>
      <c r="Q199" s="38"/>
      <c r="R199" s="36"/>
      <c r="S199" s="36"/>
      <c r="T199" s="36"/>
      <c r="U199" s="36"/>
      <c r="V199" s="36"/>
      <c r="W199" s="36"/>
      <c r="X199" s="39"/>
      <c r="Y199" s="37"/>
      <c r="Z199" s="39"/>
      <c r="AA199" s="36"/>
      <c r="AB199" s="36"/>
      <c r="AC199" s="36"/>
    </row>
    <row r="200" spans="1:29" x14ac:dyDescent="0.25">
      <c r="A200" s="36"/>
      <c r="B200" s="36"/>
      <c r="C200" s="36"/>
      <c r="D200" s="36"/>
      <c r="E200" s="36"/>
      <c r="F200" s="36"/>
      <c r="G200" s="36"/>
      <c r="H200" s="36"/>
      <c r="I200" s="36"/>
      <c r="J200" s="36"/>
      <c r="K200" s="36"/>
      <c r="L200" s="37"/>
      <c r="M200" s="37"/>
      <c r="N200" s="37"/>
      <c r="O200" s="37"/>
      <c r="P200" s="36"/>
      <c r="Q200" s="38"/>
      <c r="R200" s="36"/>
      <c r="S200" s="36"/>
      <c r="T200" s="36"/>
      <c r="U200" s="36"/>
      <c r="V200" s="36"/>
      <c r="W200" s="36"/>
      <c r="X200" s="39"/>
      <c r="Y200" s="37"/>
      <c r="Z200" s="39"/>
      <c r="AA200" s="36"/>
      <c r="AB200" s="36"/>
      <c r="AC200" s="36"/>
    </row>
    <row r="201" spans="1:29" x14ac:dyDescent="0.25">
      <c r="A201" s="36"/>
      <c r="B201" s="36"/>
      <c r="C201" s="36"/>
      <c r="D201" s="36"/>
      <c r="E201" s="36"/>
      <c r="F201" s="36"/>
      <c r="G201" s="36"/>
      <c r="H201" s="36"/>
      <c r="I201" s="36"/>
      <c r="J201" s="36"/>
      <c r="K201" s="36"/>
      <c r="L201" s="37"/>
      <c r="M201" s="37"/>
      <c r="N201" s="37"/>
      <c r="O201" s="37"/>
      <c r="P201" s="36"/>
      <c r="Q201" s="38"/>
      <c r="R201" s="36"/>
      <c r="S201" s="36"/>
      <c r="T201" s="36"/>
      <c r="U201" s="36"/>
      <c r="V201" s="36"/>
      <c r="W201" s="36"/>
      <c r="X201" s="39"/>
      <c r="Y201" s="37"/>
      <c r="Z201" s="39"/>
      <c r="AA201" s="36"/>
      <c r="AB201" s="36"/>
      <c r="AC201" s="36"/>
    </row>
    <row r="202" spans="1:29" x14ac:dyDescent="0.25">
      <c r="A202" s="36"/>
      <c r="B202" s="36"/>
      <c r="C202" s="36"/>
      <c r="D202" s="36"/>
      <c r="E202" s="36"/>
      <c r="F202" s="36"/>
      <c r="G202" s="36"/>
      <c r="H202" s="36"/>
      <c r="I202" s="36"/>
      <c r="J202" s="36"/>
      <c r="K202" s="36"/>
      <c r="L202" s="37"/>
      <c r="M202" s="37"/>
      <c r="N202" s="37"/>
      <c r="O202" s="37"/>
      <c r="P202" s="36"/>
      <c r="Q202" s="38"/>
      <c r="R202" s="36"/>
      <c r="S202" s="36"/>
      <c r="T202" s="36"/>
      <c r="U202" s="36"/>
      <c r="V202" s="36"/>
      <c r="W202" s="36"/>
      <c r="X202" s="39"/>
      <c r="Y202" s="37"/>
      <c r="Z202" s="39"/>
      <c r="AA202" s="36"/>
      <c r="AB202" s="36"/>
      <c r="AC202" s="36"/>
    </row>
    <row r="203" spans="1:29" x14ac:dyDescent="0.25">
      <c r="A203" s="36"/>
      <c r="B203" s="36"/>
      <c r="C203" s="36"/>
      <c r="D203" s="36"/>
      <c r="E203" s="36"/>
      <c r="F203" s="36"/>
      <c r="G203" s="36"/>
      <c r="H203" s="36"/>
      <c r="I203" s="36"/>
      <c r="J203" s="36"/>
      <c r="K203" s="36"/>
      <c r="L203" s="37"/>
      <c r="M203" s="37"/>
      <c r="N203" s="37"/>
      <c r="O203" s="37"/>
      <c r="P203" s="36"/>
      <c r="Q203" s="38"/>
      <c r="R203" s="36"/>
      <c r="S203" s="36"/>
      <c r="T203" s="36"/>
      <c r="U203" s="36"/>
      <c r="V203" s="36"/>
      <c r="W203" s="36"/>
      <c r="X203" s="39"/>
      <c r="Y203" s="37"/>
      <c r="Z203" s="39"/>
      <c r="AA203" s="36"/>
      <c r="AB203" s="36"/>
      <c r="AC203" s="36"/>
    </row>
    <row r="204" spans="1:29" x14ac:dyDescent="0.25">
      <c r="A204" s="36"/>
      <c r="B204" s="36"/>
      <c r="C204" s="36"/>
      <c r="D204" s="36"/>
      <c r="E204" s="36"/>
      <c r="F204" s="36"/>
      <c r="G204" s="36"/>
      <c r="H204" s="36"/>
      <c r="I204" s="36"/>
      <c r="J204" s="36"/>
      <c r="K204" s="36"/>
      <c r="L204" s="37"/>
      <c r="M204" s="37"/>
      <c r="N204" s="37"/>
      <c r="O204" s="37"/>
      <c r="P204" s="36"/>
      <c r="Q204" s="38"/>
      <c r="R204" s="36"/>
      <c r="S204" s="36"/>
      <c r="T204" s="36"/>
      <c r="U204" s="36"/>
      <c r="V204" s="36"/>
      <c r="W204" s="36"/>
      <c r="X204" s="39"/>
      <c r="Y204" s="37"/>
      <c r="Z204" s="39"/>
      <c r="AA204" s="36"/>
      <c r="AB204" s="36"/>
      <c r="AC204" s="36"/>
    </row>
    <row r="205" spans="1:29" x14ac:dyDescent="0.25">
      <c r="A205" s="36"/>
      <c r="B205" s="36"/>
      <c r="C205" s="36"/>
      <c r="D205" s="36"/>
      <c r="E205" s="36"/>
      <c r="F205" s="36"/>
      <c r="G205" s="36"/>
      <c r="H205" s="36"/>
      <c r="I205" s="36"/>
      <c r="J205" s="36"/>
      <c r="K205" s="36"/>
      <c r="L205" s="37"/>
      <c r="M205" s="37"/>
      <c r="N205" s="37"/>
      <c r="O205" s="37"/>
      <c r="P205" s="36"/>
      <c r="Q205" s="38"/>
      <c r="R205" s="36"/>
      <c r="S205" s="36"/>
      <c r="T205" s="36"/>
      <c r="U205" s="36"/>
      <c r="V205" s="36"/>
      <c r="W205" s="36"/>
      <c r="X205" s="39"/>
      <c r="Y205" s="37"/>
      <c r="Z205" s="39"/>
      <c r="AA205" s="36"/>
      <c r="AB205" s="36"/>
      <c r="AC205" s="36"/>
    </row>
    <row r="206" spans="1:29" x14ac:dyDescent="0.25">
      <c r="A206" s="36"/>
      <c r="B206" s="36"/>
      <c r="C206" s="36"/>
      <c r="D206" s="36"/>
      <c r="E206" s="36"/>
      <c r="F206" s="36"/>
      <c r="G206" s="36"/>
      <c r="H206" s="36"/>
      <c r="I206" s="36"/>
      <c r="J206" s="36"/>
      <c r="K206" s="36"/>
      <c r="L206" s="37"/>
      <c r="M206" s="37"/>
      <c r="N206" s="37"/>
      <c r="O206" s="37"/>
      <c r="P206" s="36"/>
      <c r="Q206" s="38"/>
      <c r="R206" s="36"/>
      <c r="S206" s="36"/>
      <c r="T206" s="36"/>
      <c r="U206" s="36"/>
      <c r="V206" s="36"/>
      <c r="W206" s="36"/>
      <c r="X206" s="39"/>
      <c r="Y206" s="37"/>
      <c r="Z206" s="39"/>
      <c r="AA206" s="36"/>
      <c r="AB206" s="36"/>
      <c r="AC206" s="36"/>
    </row>
    <row r="207" spans="1:29" x14ac:dyDescent="0.25">
      <c r="A207" s="36"/>
      <c r="B207" s="36"/>
      <c r="C207" s="36"/>
      <c r="D207" s="36"/>
      <c r="E207" s="36"/>
      <c r="F207" s="36"/>
      <c r="G207" s="36"/>
      <c r="H207" s="36"/>
      <c r="I207" s="36"/>
      <c r="J207" s="36"/>
      <c r="K207" s="36"/>
      <c r="L207" s="37"/>
      <c r="M207" s="37"/>
      <c r="N207" s="37"/>
      <c r="O207" s="37"/>
      <c r="P207" s="36"/>
      <c r="Q207" s="38"/>
      <c r="R207" s="36"/>
      <c r="S207" s="36"/>
      <c r="T207" s="36"/>
      <c r="U207" s="36"/>
      <c r="V207" s="36"/>
      <c r="W207" s="36"/>
      <c r="X207" s="39"/>
      <c r="Y207" s="37"/>
      <c r="Z207" s="39"/>
      <c r="AA207" s="36"/>
      <c r="AB207" s="36"/>
      <c r="AC207" s="36"/>
    </row>
    <row r="208" spans="1:29" x14ac:dyDescent="0.25">
      <c r="A208" s="36"/>
      <c r="B208" s="36"/>
      <c r="C208" s="36"/>
      <c r="D208" s="36"/>
      <c r="E208" s="36"/>
      <c r="F208" s="36"/>
      <c r="G208" s="36"/>
      <c r="H208" s="36"/>
      <c r="I208" s="36"/>
      <c r="J208" s="36"/>
      <c r="K208" s="36"/>
      <c r="L208" s="37"/>
      <c r="M208" s="37"/>
      <c r="N208" s="37"/>
      <c r="O208" s="37"/>
      <c r="P208" s="36"/>
      <c r="Q208" s="38"/>
      <c r="R208" s="36"/>
      <c r="S208" s="36"/>
      <c r="T208" s="36"/>
      <c r="U208" s="36"/>
      <c r="V208" s="36"/>
      <c r="W208" s="36"/>
      <c r="X208" s="39"/>
      <c r="Y208" s="37"/>
      <c r="Z208" s="39"/>
      <c r="AA208" s="36"/>
      <c r="AB208" s="36"/>
      <c r="AC208" s="36"/>
    </row>
    <row r="209" spans="1:29" x14ac:dyDescent="0.25">
      <c r="A209" s="36"/>
      <c r="B209" s="36"/>
      <c r="C209" s="36"/>
      <c r="D209" s="36"/>
      <c r="E209" s="36"/>
      <c r="F209" s="36"/>
      <c r="G209" s="36"/>
      <c r="H209" s="36"/>
      <c r="I209" s="36"/>
      <c r="J209" s="36"/>
      <c r="K209" s="36"/>
      <c r="L209" s="37"/>
      <c r="M209" s="37"/>
      <c r="N209" s="37"/>
      <c r="O209" s="37"/>
      <c r="P209" s="36"/>
      <c r="Q209" s="38"/>
      <c r="R209" s="36"/>
      <c r="S209" s="36"/>
      <c r="T209" s="36"/>
      <c r="U209" s="36"/>
      <c r="V209" s="36"/>
      <c r="W209" s="36"/>
      <c r="X209" s="39"/>
      <c r="Y209" s="37"/>
      <c r="Z209" s="39"/>
      <c r="AA209" s="36"/>
      <c r="AB209" s="36"/>
      <c r="AC209" s="36"/>
    </row>
    <row r="210" spans="1:29" x14ac:dyDescent="0.25">
      <c r="A210" s="36"/>
      <c r="B210" s="36"/>
      <c r="C210" s="36"/>
      <c r="D210" s="36"/>
      <c r="E210" s="36"/>
      <c r="F210" s="36"/>
      <c r="G210" s="36"/>
      <c r="H210" s="36"/>
      <c r="I210" s="36"/>
      <c r="J210" s="36"/>
      <c r="K210" s="36"/>
      <c r="L210" s="37"/>
      <c r="M210" s="37"/>
      <c r="N210" s="37"/>
      <c r="O210" s="37"/>
      <c r="P210" s="36"/>
      <c r="Q210" s="38"/>
      <c r="R210" s="36"/>
      <c r="S210" s="36"/>
      <c r="T210" s="36"/>
      <c r="U210" s="36"/>
      <c r="V210" s="36"/>
      <c r="W210" s="36"/>
      <c r="X210" s="39"/>
      <c r="Y210" s="37"/>
      <c r="Z210" s="39"/>
      <c r="AA210" s="36"/>
      <c r="AB210" s="36"/>
      <c r="AC210" s="36"/>
    </row>
    <row r="211" spans="1:29" x14ac:dyDescent="0.25">
      <c r="A211" s="36"/>
      <c r="B211" s="36"/>
      <c r="C211" s="36"/>
      <c r="D211" s="36"/>
      <c r="E211" s="36"/>
      <c r="F211" s="36"/>
      <c r="G211" s="36"/>
      <c r="H211" s="36"/>
      <c r="I211" s="36"/>
      <c r="J211" s="36"/>
      <c r="K211" s="36"/>
      <c r="L211" s="37"/>
      <c r="M211" s="37"/>
      <c r="N211" s="37"/>
      <c r="O211" s="37"/>
      <c r="P211" s="36"/>
      <c r="Q211" s="38"/>
      <c r="R211" s="36"/>
      <c r="S211" s="36"/>
      <c r="T211" s="36"/>
      <c r="U211" s="36"/>
      <c r="V211" s="36"/>
      <c r="W211" s="36"/>
      <c r="X211" s="39"/>
      <c r="Y211" s="37"/>
      <c r="Z211" s="39"/>
      <c r="AA211" s="36"/>
      <c r="AB211" s="36"/>
      <c r="AC211" s="36"/>
    </row>
    <row r="212" spans="1:29" x14ac:dyDescent="0.25">
      <c r="A212" s="36"/>
      <c r="B212" s="36"/>
      <c r="C212" s="36"/>
      <c r="D212" s="36"/>
      <c r="E212" s="36"/>
      <c r="F212" s="36"/>
      <c r="G212" s="36"/>
      <c r="H212" s="36"/>
      <c r="I212" s="36"/>
      <c r="J212" s="36"/>
      <c r="K212" s="36"/>
      <c r="L212" s="37"/>
      <c r="M212" s="37"/>
      <c r="N212" s="37"/>
      <c r="O212" s="37"/>
      <c r="P212" s="36"/>
      <c r="Q212" s="38"/>
      <c r="R212" s="36"/>
      <c r="S212" s="36"/>
      <c r="T212" s="36"/>
      <c r="U212" s="36"/>
      <c r="V212" s="36"/>
      <c r="W212" s="36"/>
      <c r="X212" s="39"/>
      <c r="Y212" s="37"/>
      <c r="Z212" s="39"/>
      <c r="AA212" s="36"/>
      <c r="AB212" s="36"/>
      <c r="AC212" s="36"/>
    </row>
    <row r="213" spans="1:29" x14ac:dyDescent="0.25">
      <c r="A213" s="36"/>
      <c r="B213" s="36"/>
      <c r="C213" s="36"/>
      <c r="D213" s="36"/>
      <c r="E213" s="36"/>
      <c r="F213" s="36"/>
      <c r="G213" s="36"/>
      <c r="H213" s="36"/>
      <c r="I213" s="36"/>
      <c r="J213" s="36"/>
      <c r="K213" s="36"/>
      <c r="L213" s="37"/>
      <c r="M213" s="37"/>
      <c r="N213" s="37"/>
      <c r="O213" s="37"/>
      <c r="P213" s="36"/>
      <c r="Q213" s="38"/>
      <c r="R213" s="36"/>
      <c r="S213" s="36"/>
      <c r="T213" s="36"/>
      <c r="U213" s="36"/>
      <c r="V213" s="36"/>
      <c r="W213" s="36"/>
      <c r="X213" s="39"/>
      <c r="Y213" s="37"/>
      <c r="Z213" s="39"/>
      <c r="AA213" s="36"/>
      <c r="AB213" s="36"/>
      <c r="AC213" s="36"/>
    </row>
    <row r="214" spans="1:29" x14ac:dyDescent="0.25">
      <c r="A214" s="36"/>
      <c r="B214" s="36"/>
      <c r="C214" s="36"/>
      <c r="D214" s="36"/>
      <c r="E214" s="36"/>
      <c r="F214" s="36"/>
      <c r="G214" s="36"/>
      <c r="H214" s="36"/>
      <c r="I214" s="36"/>
      <c r="J214" s="36"/>
      <c r="K214" s="36"/>
      <c r="L214" s="37"/>
      <c r="M214" s="37"/>
      <c r="N214" s="37"/>
      <c r="O214" s="37"/>
      <c r="P214" s="36"/>
      <c r="Q214" s="38"/>
      <c r="R214" s="36"/>
      <c r="S214" s="36"/>
      <c r="T214" s="36"/>
      <c r="U214" s="36"/>
      <c r="V214" s="36"/>
      <c r="W214" s="36"/>
      <c r="X214" s="39"/>
      <c r="Y214" s="37"/>
      <c r="Z214" s="39"/>
      <c r="AA214" s="36"/>
      <c r="AB214" s="36"/>
      <c r="AC214" s="36"/>
    </row>
    <row r="215" spans="1:29" x14ac:dyDescent="0.25">
      <c r="A215" s="36"/>
      <c r="B215" s="36"/>
      <c r="C215" s="36"/>
      <c r="D215" s="36"/>
      <c r="E215" s="36"/>
      <c r="F215" s="36"/>
      <c r="G215" s="36"/>
      <c r="H215" s="36"/>
      <c r="I215" s="36"/>
      <c r="J215" s="36"/>
      <c r="K215" s="36"/>
      <c r="L215" s="37"/>
      <c r="M215" s="37"/>
      <c r="N215" s="37"/>
      <c r="O215" s="37"/>
      <c r="P215" s="36"/>
      <c r="Q215" s="38"/>
      <c r="R215" s="36"/>
      <c r="S215" s="36"/>
      <c r="T215" s="36"/>
      <c r="U215" s="36"/>
      <c r="V215" s="36"/>
      <c r="W215" s="36"/>
      <c r="X215" s="39"/>
      <c r="Y215" s="37"/>
      <c r="Z215" s="39"/>
      <c r="AA215" s="36"/>
      <c r="AB215" s="36"/>
      <c r="AC215" s="36"/>
    </row>
    <row r="216" spans="1:29" x14ac:dyDescent="0.25">
      <c r="A216" s="36"/>
      <c r="B216" s="36"/>
      <c r="C216" s="36"/>
      <c r="D216" s="36"/>
      <c r="E216" s="36"/>
      <c r="F216" s="36"/>
      <c r="G216" s="36"/>
      <c r="H216" s="36"/>
      <c r="I216" s="36"/>
      <c r="J216" s="36"/>
      <c r="K216" s="36"/>
      <c r="L216" s="37"/>
      <c r="M216" s="37"/>
      <c r="N216" s="37"/>
      <c r="O216" s="37"/>
      <c r="P216" s="36"/>
      <c r="Q216" s="38"/>
      <c r="R216" s="36"/>
      <c r="S216" s="36"/>
      <c r="T216" s="36"/>
      <c r="U216" s="36"/>
      <c r="V216" s="36"/>
      <c r="W216" s="36"/>
      <c r="X216" s="39"/>
      <c r="Y216" s="37"/>
      <c r="Z216" s="39"/>
      <c r="AA216" s="36"/>
      <c r="AB216" s="36"/>
      <c r="AC216" s="36"/>
    </row>
    <row r="217" spans="1:29" x14ac:dyDescent="0.25">
      <c r="A217" s="36"/>
      <c r="B217" s="36"/>
      <c r="C217" s="36"/>
      <c r="D217" s="36"/>
      <c r="E217" s="36"/>
      <c r="F217" s="36"/>
      <c r="G217" s="36"/>
      <c r="H217" s="36"/>
      <c r="I217" s="36"/>
      <c r="J217" s="36"/>
      <c r="K217" s="36"/>
      <c r="L217" s="37"/>
      <c r="M217" s="37"/>
      <c r="N217" s="37"/>
      <c r="O217" s="37"/>
      <c r="P217" s="36"/>
      <c r="Q217" s="38"/>
      <c r="R217" s="36"/>
      <c r="S217" s="36"/>
      <c r="T217" s="36"/>
      <c r="U217" s="36"/>
      <c r="V217" s="36"/>
      <c r="W217" s="36"/>
      <c r="X217" s="39"/>
      <c r="Y217" s="37"/>
      <c r="Z217" s="39"/>
      <c r="AA217" s="36"/>
      <c r="AB217" s="36"/>
      <c r="AC217" s="36"/>
    </row>
    <row r="218" spans="1:29" x14ac:dyDescent="0.25">
      <c r="A218" s="36"/>
      <c r="B218" s="36"/>
      <c r="C218" s="36"/>
      <c r="D218" s="36"/>
      <c r="E218" s="36"/>
      <c r="F218" s="36"/>
      <c r="G218" s="36"/>
      <c r="H218" s="36"/>
      <c r="I218" s="36"/>
      <c r="J218" s="36"/>
      <c r="K218" s="36"/>
      <c r="L218" s="37"/>
      <c r="M218" s="37"/>
      <c r="N218" s="37"/>
      <c r="O218" s="37"/>
      <c r="P218" s="36"/>
      <c r="Q218" s="38"/>
      <c r="R218" s="36"/>
      <c r="S218" s="36"/>
      <c r="T218" s="36"/>
      <c r="U218" s="36"/>
      <c r="V218" s="36"/>
      <c r="W218" s="36"/>
      <c r="X218" s="39"/>
      <c r="Y218" s="37"/>
      <c r="Z218" s="39"/>
      <c r="AA218" s="36"/>
      <c r="AB218" s="36"/>
      <c r="AC218" s="36"/>
    </row>
    <row r="219" spans="1:29" x14ac:dyDescent="0.25">
      <c r="A219" s="36"/>
      <c r="B219" s="36"/>
      <c r="C219" s="36"/>
      <c r="D219" s="36"/>
      <c r="E219" s="36"/>
      <c r="F219" s="36"/>
      <c r="G219" s="36"/>
      <c r="H219" s="36"/>
      <c r="I219" s="36"/>
      <c r="J219" s="36"/>
      <c r="K219" s="36"/>
      <c r="L219" s="37"/>
      <c r="M219" s="37"/>
      <c r="N219" s="37"/>
      <c r="O219" s="37"/>
      <c r="P219" s="36"/>
      <c r="Q219" s="38"/>
      <c r="R219" s="36"/>
      <c r="S219" s="36"/>
      <c r="T219" s="36"/>
      <c r="U219" s="36"/>
      <c r="V219" s="36"/>
      <c r="W219" s="36"/>
      <c r="X219" s="39"/>
      <c r="Y219" s="37"/>
      <c r="Z219" s="39"/>
      <c r="AA219" s="36"/>
      <c r="AB219" s="36"/>
      <c r="AC219" s="36"/>
    </row>
    <row r="220" spans="1:29" x14ac:dyDescent="0.25">
      <c r="A220" s="36"/>
      <c r="B220" s="36"/>
      <c r="C220" s="36"/>
      <c r="D220" s="36"/>
      <c r="E220" s="36"/>
      <c r="F220" s="36"/>
      <c r="G220" s="36"/>
      <c r="H220" s="36"/>
      <c r="I220" s="36"/>
      <c r="J220" s="36"/>
      <c r="K220" s="36"/>
      <c r="L220" s="37"/>
      <c r="M220" s="37"/>
      <c r="N220" s="37"/>
      <c r="O220" s="37"/>
      <c r="P220" s="36"/>
      <c r="Q220" s="38"/>
      <c r="R220" s="36"/>
      <c r="S220" s="36"/>
      <c r="T220" s="36"/>
      <c r="U220" s="36"/>
      <c r="V220" s="36"/>
      <c r="W220" s="36"/>
      <c r="X220" s="39"/>
      <c r="Y220" s="37"/>
      <c r="Z220" s="39"/>
      <c r="AA220" s="36"/>
      <c r="AB220" s="36"/>
      <c r="AC220" s="36"/>
    </row>
    <row r="221" spans="1:29" x14ac:dyDescent="0.25">
      <c r="A221" s="36"/>
      <c r="B221" s="36"/>
      <c r="C221" s="36"/>
      <c r="D221" s="36"/>
      <c r="E221" s="36"/>
      <c r="F221" s="36"/>
      <c r="G221" s="36"/>
      <c r="H221" s="36"/>
      <c r="I221" s="36"/>
      <c r="J221" s="36"/>
      <c r="K221" s="36"/>
      <c r="L221" s="37"/>
      <c r="M221" s="37"/>
      <c r="N221" s="37"/>
      <c r="O221" s="37"/>
      <c r="P221" s="36"/>
      <c r="Q221" s="38"/>
      <c r="R221" s="36"/>
      <c r="S221" s="36"/>
      <c r="T221" s="36"/>
      <c r="U221" s="36"/>
      <c r="V221" s="36"/>
      <c r="W221" s="36"/>
      <c r="X221" s="39"/>
      <c r="Y221" s="37"/>
      <c r="Z221" s="39"/>
      <c r="AA221" s="36"/>
      <c r="AB221" s="36"/>
      <c r="AC221" s="36"/>
    </row>
    <row r="222" spans="1:29" x14ac:dyDescent="0.25">
      <c r="A222" s="36"/>
      <c r="B222" s="36"/>
      <c r="C222" s="36"/>
      <c r="D222" s="36"/>
      <c r="E222" s="36"/>
      <c r="F222" s="36"/>
      <c r="G222" s="36"/>
      <c r="H222" s="36"/>
      <c r="I222" s="36"/>
      <c r="J222" s="36"/>
      <c r="K222" s="36"/>
      <c r="L222" s="37"/>
      <c r="M222" s="37"/>
      <c r="N222" s="37"/>
      <c r="O222" s="37"/>
      <c r="P222" s="36"/>
      <c r="Q222" s="38"/>
      <c r="R222" s="36"/>
      <c r="S222" s="36"/>
      <c r="T222" s="36"/>
      <c r="U222" s="36"/>
      <c r="V222" s="36"/>
      <c r="W222" s="36"/>
      <c r="X222" s="39"/>
      <c r="Y222" s="37"/>
      <c r="Z222" s="39"/>
      <c r="AA222" s="36"/>
      <c r="AB222" s="36"/>
      <c r="AC222" s="36"/>
    </row>
    <row r="223" spans="1:29" x14ac:dyDescent="0.25">
      <c r="A223" s="36"/>
      <c r="B223" s="36"/>
      <c r="C223" s="36"/>
      <c r="D223" s="36"/>
      <c r="E223" s="36"/>
      <c r="F223" s="36"/>
      <c r="G223" s="36"/>
      <c r="H223" s="36"/>
      <c r="I223" s="36"/>
      <c r="J223" s="36"/>
      <c r="K223" s="36"/>
      <c r="L223" s="37"/>
      <c r="M223" s="37"/>
      <c r="N223" s="37"/>
      <c r="O223" s="37"/>
      <c r="P223" s="36"/>
      <c r="Q223" s="38"/>
      <c r="R223" s="36"/>
      <c r="S223" s="36"/>
      <c r="T223" s="36"/>
      <c r="U223" s="36"/>
      <c r="V223" s="36"/>
      <c r="W223" s="36"/>
      <c r="X223" s="39"/>
      <c r="Y223" s="37"/>
      <c r="Z223" s="39"/>
      <c r="AA223" s="36"/>
      <c r="AB223" s="36"/>
      <c r="AC223" s="36"/>
    </row>
    <row r="224" spans="1:29" x14ac:dyDescent="0.25">
      <c r="A224" s="36"/>
      <c r="B224" s="36"/>
      <c r="C224" s="36"/>
      <c r="D224" s="36"/>
      <c r="E224" s="36"/>
      <c r="F224" s="36"/>
      <c r="G224" s="36"/>
      <c r="H224" s="36"/>
      <c r="I224" s="36"/>
      <c r="J224" s="36"/>
      <c r="K224" s="36"/>
      <c r="L224" s="37"/>
      <c r="M224" s="37"/>
      <c r="N224" s="37"/>
      <c r="O224" s="37"/>
      <c r="P224" s="36"/>
      <c r="Q224" s="38"/>
      <c r="R224" s="36"/>
      <c r="S224" s="36"/>
      <c r="T224" s="36"/>
      <c r="U224" s="36"/>
      <c r="V224" s="36"/>
      <c r="W224" s="36"/>
      <c r="X224" s="39"/>
      <c r="Y224" s="37"/>
      <c r="Z224" s="39"/>
      <c r="AA224" s="36"/>
      <c r="AB224" s="36"/>
      <c r="AC224" s="36"/>
    </row>
    <row r="225" spans="1:29" x14ac:dyDescent="0.25">
      <c r="A225" s="36"/>
      <c r="B225" s="36"/>
      <c r="C225" s="36"/>
      <c r="D225" s="36"/>
      <c r="E225" s="36"/>
      <c r="F225" s="36"/>
      <c r="G225" s="36"/>
      <c r="H225" s="36"/>
      <c r="I225" s="36"/>
      <c r="J225" s="36"/>
      <c r="K225" s="36"/>
      <c r="L225" s="37"/>
      <c r="M225" s="37"/>
      <c r="N225" s="37"/>
      <c r="O225" s="37"/>
      <c r="P225" s="36"/>
      <c r="Q225" s="38"/>
      <c r="R225" s="36"/>
      <c r="S225" s="36"/>
      <c r="T225" s="36"/>
      <c r="U225" s="36"/>
      <c r="V225" s="36"/>
      <c r="W225" s="36"/>
      <c r="X225" s="39"/>
      <c r="Y225" s="37"/>
      <c r="Z225" s="39"/>
      <c r="AA225" s="36"/>
      <c r="AB225" s="36"/>
      <c r="AC225" s="36"/>
    </row>
    <row r="226" spans="1:29" x14ac:dyDescent="0.25">
      <c r="A226" s="36"/>
      <c r="B226" s="36"/>
      <c r="C226" s="36"/>
      <c r="D226" s="36"/>
      <c r="E226" s="36"/>
      <c r="F226" s="36"/>
      <c r="G226" s="36"/>
      <c r="H226" s="36"/>
      <c r="I226" s="36"/>
      <c r="J226" s="36"/>
      <c r="K226" s="36"/>
      <c r="L226" s="37"/>
      <c r="M226" s="37"/>
      <c r="N226" s="37"/>
      <c r="O226" s="37"/>
      <c r="P226" s="36"/>
      <c r="Q226" s="38"/>
      <c r="R226" s="36"/>
      <c r="S226" s="36"/>
      <c r="T226" s="36"/>
      <c r="U226" s="36"/>
      <c r="V226" s="36"/>
      <c r="W226" s="36"/>
      <c r="X226" s="39"/>
      <c r="Y226" s="37"/>
      <c r="Z226" s="39"/>
      <c r="AA226" s="36"/>
      <c r="AB226" s="36"/>
      <c r="AC226" s="36"/>
    </row>
    <row r="227" spans="1:29" x14ac:dyDescent="0.25">
      <c r="A227" s="36"/>
      <c r="B227" s="36"/>
      <c r="C227" s="36"/>
      <c r="D227" s="36"/>
      <c r="E227" s="36"/>
      <c r="F227" s="36"/>
      <c r="G227" s="36"/>
      <c r="H227" s="36"/>
      <c r="I227" s="36"/>
      <c r="J227" s="36"/>
      <c r="K227" s="36"/>
      <c r="L227" s="37"/>
      <c r="M227" s="37"/>
      <c r="N227" s="37"/>
      <c r="O227" s="37"/>
      <c r="P227" s="36"/>
      <c r="Q227" s="38"/>
      <c r="R227" s="36"/>
      <c r="S227" s="36"/>
      <c r="T227" s="36"/>
      <c r="U227" s="36"/>
      <c r="V227" s="36"/>
      <c r="W227" s="36"/>
      <c r="X227" s="39"/>
      <c r="Y227" s="37"/>
      <c r="Z227" s="39"/>
      <c r="AA227" s="36"/>
      <c r="AB227" s="36"/>
      <c r="AC227" s="36"/>
    </row>
    <row r="228" spans="1:29" x14ac:dyDescent="0.25">
      <c r="A228" s="36"/>
      <c r="B228" s="36"/>
      <c r="C228" s="36"/>
      <c r="D228" s="36"/>
      <c r="E228" s="36"/>
      <c r="F228" s="36"/>
      <c r="G228" s="36"/>
      <c r="H228" s="36"/>
      <c r="I228" s="36"/>
      <c r="J228" s="36"/>
      <c r="K228" s="36"/>
      <c r="L228" s="37"/>
      <c r="M228" s="37"/>
      <c r="N228" s="37"/>
      <c r="O228" s="37"/>
      <c r="P228" s="36"/>
      <c r="Q228" s="38"/>
      <c r="R228" s="36"/>
      <c r="S228" s="36"/>
      <c r="T228" s="36"/>
      <c r="U228" s="36"/>
      <c r="V228" s="36"/>
      <c r="W228" s="36"/>
      <c r="X228" s="39"/>
      <c r="Y228" s="37"/>
      <c r="Z228" s="39"/>
      <c r="AA228" s="36"/>
      <c r="AB228" s="36"/>
      <c r="AC228" s="36"/>
    </row>
    <row r="229" spans="1:29" x14ac:dyDescent="0.25">
      <c r="A229" s="36"/>
      <c r="B229" s="36"/>
      <c r="C229" s="36"/>
      <c r="D229" s="36"/>
      <c r="E229" s="36"/>
      <c r="F229" s="36"/>
      <c r="G229" s="36"/>
      <c r="H229" s="36"/>
      <c r="I229" s="36"/>
      <c r="J229" s="36"/>
      <c r="K229" s="36"/>
      <c r="L229" s="37"/>
      <c r="M229" s="37"/>
      <c r="N229" s="37"/>
      <c r="O229" s="37"/>
      <c r="P229" s="36"/>
      <c r="Q229" s="38"/>
      <c r="R229" s="36"/>
      <c r="S229" s="36"/>
      <c r="T229" s="36"/>
      <c r="U229" s="36"/>
      <c r="V229" s="36"/>
      <c r="W229" s="36"/>
      <c r="X229" s="39"/>
      <c r="Y229" s="37"/>
      <c r="Z229" s="39"/>
      <c r="AA229" s="36"/>
      <c r="AB229" s="36"/>
      <c r="AC229" s="36"/>
    </row>
    <row r="230" spans="1:29" x14ac:dyDescent="0.25">
      <c r="A230" s="36"/>
      <c r="B230" s="36"/>
      <c r="C230" s="36"/>
      <c r="D230" s="36"/>
      <c r="E230" s="36"/>
      <c r="F230" s="36"/>
      <c r="G230" s="36"/>
      <c r="H230" s="36"/>
      <c r="I230" s="36"/>
      <c r="J230" s="36"/>
      <c r="K230" s="36"/>
      <c r="L230" s="37"/>
      <c r="M230" s="37"/>
      <c r="N230" s="37"/>
      <c r="O230" s="37"/>
      <c r="P230" s="36"/>
      <c r="Q230" s="38"/>
      <c r="R230" s="36"/>
      <c r="S230" s="36"/>
      <c r="T230" s="36"/>
      <c r="U230" s="36"/>
      <c r="V230" s="36"/>
      <c r="W230" s="36"/>
      <c r="X230" s="39"/>
      <c r="Y230" s="37"/>
      <c r="Z230" s="39"/>
      <c r="AA230" s="36"/>
      <c r="AB230" s="36"/>
      <c r="AC230" s="36"/>
    </row>
    <row r="231" spans="1:29" x14ac:dyDescent="0.25">
      <c r="A231" s="36"/>
      <c r="B231" s="36"/>
      <c r="C231" s="36"/>
      <c r="D231" s="36"/>
      <c r="E231" s="36"/>
      <c r="F231" s="36"/>
      <c r="G231" s="36"/>
      <c r="H231" s="36"/>
      <c r="I231" s="36"/>
      <c r="J231" s="36"/>
      <c r="K231" s="36"/>
      <c r="L231" s="37"/>
      <c r="M231" s="37"/>
      <c r="N231" s="37"/>
      <c r="O231" s="37"/>
      <c r="P231" s="36"/>
      <c r="Q231" s="38"/>
      <c r="R231" s="36"/>
      <c r="S231" s="36"/>
      <c r="T231" s="36"/>
      <c r="U231" s="36"/>
      <c r="V231" s="36"/>
      <c r="W231" s="36"/>
      <c r="X231" s="39"/>
      <c r="Y231" s="37"/>
      <c r="Z231" s="39"/>
      <c r="AA231" s="36"/>
      <c r="AB231" s="36"/>
      <c r="AC231" s="36"/>
    </row>
    <row r="232" spans="1:29" x14ac:dyDescent="0.25">
      <c r="A232" s="36"/>
      <c r="B232" s="36"/>
      <c r="C232" s="36"/>
      <c r="D232" s="36"/>
      <c r="E232" s="36"/>
      <c r="F232" s="36"/>
      <c r="G232" s="36"/>
      <c r="H232" s="36"/>
      <c r="I232" s="36"/>
      <c r="J232" s="36"/>
      <c r="K232" s="36"/>
      <c r="L232" s="37"/>
      <c r="M232" s="37"/>
      <c r="N232" s="37"/>
      <c r="O232" s="37"/>
      <c r="P232" s="36"/>
      <c r="Q232" s="38"/>
      <c r="R232" s="36"/>
      <c r="S232" s="36"/>
      <c r="T232" s="36"/>
      <c r="U232" s="36"/>
      <c r="V232" s="36"/>
      <c r="W232" s="36"/>
      <c r="X232" s="39"/>
      <c r="Y232" s="37"/>
      <c r="Z232" s="39"/>
      <c r="AA232" s="36"/>
      <c r="AB232" s="36"/>
      <c r="AC232" s="36"/>
    </row>
    <row r="233" spans="1:29" x14ac:dyDescent="0.25">
      <c r="A233" s="36"/>
      <c r="B233" s="36"/>
      <c r="C233" s="36"/>
      <c r="D233" s="36"/>
      <c r="E233" s="36"/>
      <c r="F233" s="36"/>
      <c r="G233" s="36"/>
      <c r="H233" s="36"/>
      <c r="I233" s="36"/>
      <c r="J233" s="36"/>
      <c r="K233" s="36"/>
      <c r="L233" s="37"/>
      <c r="M233" s="37"/>
      <c r="N233" s="37"/>
      <c r="O233" s="37"/>
      <c r="P233" s="36"/>
      <c r="Q233" s="38"/>
      <c r="R233" s="36"/>
      <c r="S233" s="36"/>
      <c r="T233" s="36"/>
      <c r="U233" s="36"/>
      <c r="V233" s="36"/>
      <c r="W233" s="36"/>
      <c r="X233" s="39"/>
      <c r="Y233" s="37"/>
      <c r="Z233" s="39"/>
      <c r="AA233" s="36"/>
      <c r="AB233" s="36"/>
      <c r="AC233" s="36"/>
    </row>
    <row r="234" spans="1:29" x14ac:dyDescent="0.25">
      <c r="A234" s="36"/>
      <c r="B234" s="36"/>
      <c r="C234" s="36"/>
      <c r="D234" s="36"/>
      <c r="E234" s="36"/>
      <c r="F234" s="36"/>
      <c r="G234" s="36"/>
      <c r="H234" s="36"/>
      <c r="I234" s="36"/>
      <c r="J234" s="36"/>
      <c r="K234" s="36"/>
      <c r="L234" s="37"/>
      <c r="M234" s="37"/>
      <c r="N234" s="37"/>
      <c r="O234" s="37"/>
      <c r="P234" s="36"/>
      <c r="Q234" s="38"/>
      <c r="R234" s="36"/>
      <c r="S234" s="36"/>
      <c r="T234" s="36"/>
      <c r="U234" s="36"/>
      <c r="V234" s="36"/>
      <c r="W234" s="36"/>
      <c r="X234" s="39"/>
      <c r="Y234" s="37"/>
      <c r="Z234" s="39"/>
      <c r="AA234" s="36"/>
      <c r="AB234" s="36"/>
      <c r="AC234" s="36"/>
    </row>
    <row r="235" spans="1:29" x14ac:dyDescent="0.25">
      <c r="A235" s="36"/>
      <c r="B235" s="36"/>
      <c r="C235" s="36"/>
      <c r="D235" s="36"/>
      <c r="E235" s="36"/>
      <c r="F235" s="36"/>
      <c r="G235" s="36"/>
      <c r="H235" s="36"/>
      <c r="I235" s="36"/>
      <c r="J235" s="36"/>
      <c r="K235" s="36"/>
      <c r="L235" s="37"/>
      <c r="M235" s="37"/>
      <c r="N235" s="37"/>
      <c r="O235" s="37"/>
      <c r="P235" s="36"/>
      <c r="Q235" s="38"/>
      <c r="R235" s="36"/>
      <c r="S235" s="36"/>
      <c r="T235" s="36"/>
      <c r="U235" s="36"/>
      <c r="V235" s="36"/>
      <c r="W235" s="36"/>
      <c r="X235" s="39"/>
      <c r="Y235" s="37"/>
      <c r="Z235" s="39"/>
      <c r="AA235" s="36"/>
      <c r="AB235" s="36"/>
      <c r="AC235" s="36"/>
    </row>
    <row r="236" spans="1:29" x14ac:dyDescent="0.25">
      <c r="A236" s="36"/>
      <c r="B236" s="36"/>
      <c r="C236" s="36"/>
      <c r="D236" s="36"/>
      <c r="E236" s="36"/>
      <c r="F236" s="36"/>
      <c r="G236" s="36"/>
      <c r="H236" s="36"/>
      <c r="I236" s="36"/>
      <c r="J236" s="36"/>
      <c r="K236" s="36"/>
      <c r="L236" s="37"/>
      <c r="M236" s="37"/>
      <c r="N236" s="37"/>
      <c r="O236" s="37"/>
      <c r="P236" s="36"/>
      <c r="Q236" s="38"/>
      <c r="R236" s="36"/>
      <c r="S236" s="36"/>
      <c r="T236" s="36"/>
      <c r="U236" s="36"/>
      <c r="V236" s="36"/>
      <c r="W236" s="36"/>
      <c r="X236" s="39"/>
      <c r="Y236" s="37"/>
      <c r="Z236" s="39"/>
      <c r="AA236" s="36"/>
      <c r="AB236" s="36"/>
      <c r="AC236" s="36"/>
    </row>
    <row r="237" spans="1:29" x14ac:dyDescent="0.25">
      <c r="A237" s="36"/>
      <c r="B237" s="36"/>
      <c r="C237" s="36"/>
      <c r="D237" s="36"/>
      <c r="E237" s="36"/>
      <c r="F237" s="36"/>
      <c r="G237" s="36"/>
      <c r="H237" s="36"/>
      <c r="I237" s="36"/>
      <c r="J237" s="36"/>
      <c r="K237" s="36"/>
      <c r="L237" s="37"/>
      <c r="M237" s="37"/>
      <c r="N237" s="37"/>
      <c r="O237" s="37"/>
      <c r="P237" s="36"/>
      <c r="Q237" s="38"/>
      <c r="R237" s="36"/>
      <c r="S237" s="36"/>
      <c r="T237" s="36"/>
      <c r="U237" s="36"/>
      <c r="V237" s="36"/>
      <c r="W237" s="36"/>
      <c r="X237" s="39"/>
      <c r="Y237" s="37"/>
      <c r="Z237" s="39"/>
      <c r="AA237" s="36"/>
      <c r="AB237" s="36"/>
      <c r="AC237" s="36"/>
    </row>
    <row r="238" spans="1:29" x14ac:dyDescent="0.25">
      <c r="A238" s="36"/>
      <c r="B238" s="36"/>
      <c r="C238" s="36"/>
      <c r="D238" s="36"/>
      <c r="E238" s="36"/>
      <c r="F238" s="36"/>
      <c r="G238" s="36"/>
      <c r="H238" s="36"/>
      <c r="I238" s="36"/>
      <c r="J238" s="36"/>
      <c r="K238" s="36"/>
      <c r="L238" s="37"/>
      <c r="M238" s="37"/>
      <c r="N238" s="37"/>
      <c r="O238" s="37"/>
      <c r="P238" s="36"/>
      <c r="Q238" s="38"/>
      <c r="R238" s="36"/>
      <c r="S238" s="36"/>
      <c r="T238" s="36"/>
      <c r="U238" s="36"/>
      <c r="V238" s="36"/>
      <c r="W238" s="36"/>
      <c r="X238" s="39"/>
      <c r="Y238" s="37"/>
      <c r="Z238" s="39"/>
      <c r="AA238" s="36"/>
      <c r="AB238" s="36"/>
      <c r="AC238" s="36"/>
    </row>
    <row r="239" spans="1:29" x14ac:dyDescent="0.25">
      <c r="A239" s="36"/>
      <c r="B239" s="36"/>
      <c r="C239" s="36"/>
      <c r="D239" s="36"/>
      <c r="E239" s="36"/>
      <c r="F239" s="36"/>
      <c r="G239" s="36"/>
      <c r="H239" s="36"/>
      <c r="I239" s="36"/>
      <c r="J239" s="36"/>
      <c r="K239" s="36"/>
      <c r="L239" s="37"/>
      <c r="M239" s="37"/>
      <c r="N239" s="37"/>
      <c r="O239" s="37"/>
      <c r="P239" s="36"/>
      <c r="Q239" s="38"/>
      <c r="R239" s="36"/>
      <c r="S239" s="36"/>
      <c r="T239" s="36"/>
      <c r="U239" s="36"/>
      <c r="V239" s="36"/>
      <c r="W239" s="36"/>
      <c r="X239" s="39"/>
      <c r="Y239" s="37"/>
      <c r="Z239" s="39"/>
      <c r="AA239" s="36"/>
      <c r="AB239" s="36"/>
      <c r="AC239" s="36"/>
    </row>
    <row r="240" spans="1:29" x14ac:dyDescent="0.25">
      <c r="A240" s="36"/>
      <c r="B240" s="36"/>
      <c r="C240" s="36"/>
      <c r="D240" s="36"/>
      <c r="E240" s="36"/>
      <c r="F240" s="36"/>
      <c r="G240" s="36"/>
      <c r="H240" s="36"/>
      <c r="I240" s="36"/>
      <c r="J240" s="36"/>
      <c r="K240" s="36"/>
      <c r="L240" s="37"/>
      <c r="M240" s="37"/>
      <c r="N240" s="37"/>
      <c r="O240" s="37"/>
      <c r="P240" s="36"/>
      <c r="Q240" s="38"/>
      <c r="R240" s="36"/>
      <c r="S240" s="36"/>
      <c r="T240" s="36"/>
      <c r="U240" s="36"/>
      <c r="V240" s="36"/>
      <c r="W240" s="36"/>
      <c r="X240" s="39"/>
      <c r="Y240" s="37"/>
      <c r="Z240" s="39"/>
      <c r="AA240" s="36"/>
      <c r="AB240" s="36"/>
      <c r="AC240" s="36"/>
    </row>
    <row r="241" spans="1:29" x14ac:dyDescent="0.25">
      <c r="A241" s="36"/>
      <c r="B241" s="36"/>
      <c r="C241" s="36"/>
      <c r="D241" s="36"/>
      <c r="E241" s="36"/>
      <c r="F241" s="36"/>
      <c r="G241" s="36"/>
      <c r="H241" s="36"/>
      <c r="I241" s="36"/>
      <c r="J241" s="36"/>
      <c r="K241" s="36"/>
      <c r="L241" s="37"/>
      <c r="M241" s="37"/>
      <c r="N241" s="37"/>
      <c r="O241" s="37"/>
      <c r="P241" s="36"/>
      <c r="Q241" s="38"/>
      <c r="R241" s="36"/>
      <c r="S241" s="36"/>
      <c r="T241" s="36"/>
      <c r="U241" s="36"/>
      <c r="V241" s="36"/>
      <c r="W241" s="36"/>
      <c r="X241" s="39"/>
      <c r="Y241" s="37"/>
      <c r="Z241" s="39"/>
      <c r="AA241" s="36"/>
      <c r="AB241" s="36"/>
      <c r="AC241" s="36"/>
    </row>
    <row r="242" spans="1:29" x14ac:dyDescent="0.25">
      <c r="A242" s="36"/>
      <c r="B242" s="36"/>
      <c r="C242" s="36"/>
      <c r="D242" s="36"/>
      <c r="E242" s="36"/>
      <c r="F242" s="36"/>
      <c r="G242" s="36"/>
      <c r="H242" s="36"/>
      <c r="I242" s="36"/>
      <c r="J242" s="36"/>
      <c r="K242" s="36"/>
      <c r="L242" s="37"/>
      <c r="M242" s="37"/>
      <c r="N242" s="37"/>
      <c r="O242" s="37"/>
      <c r="P242" s="36"/>
      <c r="Q242" s="38"/>
      <c r="R242" s="36"/>
      <c r="S242" s="36"/>
      <c r="T242" s="36"/>
      <c r="U242" s="36"/>
      <c r="V242" s="36"/>
      <c r="W242" s="36"/>
      <c r="X242" s="39"/>
      <c r="Y242" s="37"/>
      <c r="Z242" s="39"/>
      <c r="AA242" s="36"/>
      <c r="AB242" s="36"/>
      <c r="AC242" s="36"/>
    </row>
    <row r="243" spans="1:29" x14ac:dyDescent="0.25">
      <c r="A243" s="36"/>
      <c r="B243" s="36"/>
      <c r="C243" s="36"/>
      <c r="D243" s="36"/>
      <c r="E243" s="36"/>
      <c r="F243" s="36"/>
      <c r="G243" s="36"/>
      <c r="H243" s="36"/>
      <c r="I243" s="36"/>
      <c r="J243" s="36"/>
      <c r="K243" s="36"/>
      <c r="L243" s="37"/>
      <c r="M243" s="37"/>
      <c r="N243" s="37"/>
      <c r="O243" s="37"/>
      <c r="P243" s="36"/>
      <c r="Q243" s="38"/>
      <c r="R243" s="36"/>
      <c r="S243" s="36"/>
      <c r="T243" s="36"/>
      <c r="U243" s="36"/>
      <c r="V243" s="36"/>
      <c r="W243" s="36"/>
      <c r="X243" s="39"/>
      <c r="Y243" s="37"/>
      <c r="Z243" s="39"/>
      <c r="AA243" s="36"/>
      <c r="AB243" s="36"/>
      <c r="AC243" s="36"/>
    </row>
    <row r="244" spans="1:29" x14ac:dyDescent="0.25">
      <c r="A244" s="36"/>
      <c r="B244" s="36"/>
      <c r="C244" s="36"/>
      <c r="D244" s="36"/>
      <c r="E244" s="36"/>
      <c r="F244" s="36"/>
      <c r="G244" s="36"/>
      <c r="H244" s="36"/>
      <c r="I244" s="36"/>
      <c r="J244" s="36"/>
      <c r="K244" s="36"/>
      <c r="L244" s="37"/>
      <c r="M244" s="37"/>
      <c r="N244" s="37"/>
      <c r="O244" s="37"/>
      <c r="P244" s="36"/>
      <c r="Q244" s="38"/>
      <c r="R244" s="36"/>
      <c r="S244" s="36"/>
      <c r="T244" s="36"/>
      <c r="U244" s="36"/>
      <c r="V244" s="36"/>
      <c r="W244" s="36"/>
      <c r="X244" s="39"/>
      <c r="Y244" s="37"/>
      <c r="Z244" s="39"/>
      <c r="AA244" s="36"/>
      <c r="AB244" s="36"/>
      <c r="AC244" s="36"/>
    </row>
    <row r="245" spans="1:29" x14ac:dyDescent="0.25">
      <c r="A245" s="36"/>
      <c r="B245" s="36"/>
      <c r="C245" s="36"/>
      <c r="D245" s="36"/>
      <c r="E245" s="36"/>
      <c r="F245" s="36"/>
      <c r="G245" s="36"/>
      <c r="H245" s="36"/>
      <c r="I245" s="36"/>
      <c r="J245" s="36"/>
      <c r="K245" s="36"/>
      <c r="L245" s="37"/>
      <c r="M245" s="37"/>
      <c r="N245" s="37"/>
      <c r="O245" s="37"/>
      <c r="P245" s="36"/>
      <c r="Q245" s="38"/>
      <c r="R245" s="36"/>
      <c r="S245" s="36"/>
      <c r="T245" s="36"/>
      <c r="U245" s="36"/>
      <c r="V245" s="36"/>
      <c r="W245" s="36"/>
      <c r="X245" s="39"/>
      <c r="Y245" s="37"/>
      <c r="Z245" s="39"/>
      <c r="AA245" s="36"/>
      <c r="AB245" s="36"/>
      <c r="AC245" s="36"/>
    </row>
    <row r="246" spans="1:29" x14ac:dyDescent="0.25">
      <c r="A246" s="36"/>
      <c r="B246" s="36"/>
      <c r="C246" s="36"/>
      <c r="D246" s="36"/>
      <c r="E246" s="36"/>
      <c r="F246" s="36"/>
      <c r="G246" s="36"/>
      <c r="H246" s="36"/>
      <c r="I246" s="36"/>
      <c r="J246" s="36"/>
      <c r="K246" s="36"/>
      <c r="L246" s="37"/>
      <c r="M246" s="37"/>
      <c r="N246" s="37"/>
      <c r="O246" s="37"/>
      <c r="P246" s="36"/>
      <c r="Q246" s="38"/>
      <c r="R246" s="36"/>
      <c r="S246" s="36"/>
      <c r="T246" s="36"/>
      <c r="U246" s="36"/>
      <c r="V246" s="36"/>
      <c r="W246" s="36"/>
      <c r="X246" s="39"/>
      <c r="Y246" s="37"/>
      <c r="Z246" s="39"/>
      <c r="AA246" s="36"/>
      <c r="AB246" s="36"/>
      <c r="AC246" s="36"/>
    </row>
    <row r="247" spans="1:29" x14ac:dyDescent="0.25">
      <c r="A247" s="36"/>
      <c r="B247" s="36"/>
      <c r="C247" s="36"/>
      <c r="D247" s="36"/>
      <c r="E247" s="36"/>
      <c r="F247" s="36"/>
      <c r="G247" s="36"/>
      <c r="H247" s="36"/>
      <c r="I247" s="36"/>
      <c r="J247" s="36"/>
      <c r="K247" s="36"/>
      <c r="L247" s="37"/>
      <c r="M247" s="37"/>
      <c r="N247" s="37"/>
      <c r="O247" s="37"/>
      <c r="P247" s="36"/>
      <c r="Q247" s="38"/>
      <c r="R247" s="36"/>
      <c r="S247" s="36"/>
      <c r="T247" s="36"/>
      <c r="U247" s="36"/>
      <c r="V247" s="36"/>
      <c r="W247" s="36"/>
      <c r="X247" s="39"/>
      <c r="Y247" s="37"/>
      <c r="Z247" s="39"/>
      <c r="AA247" s="36"/>
      <c r="AB247" s="36"/>
      <c r="AC247" s="36"/>
    </row>
    <row r="248" spans="1:29" x14ac:dyDescent="0.25">
      <c r="A248" s="36"/>
      <c r="B248" s="36"/>
      <c r="C248" s="36"/>
      <c r="D248" s="36"/>
      <c r="E248" s="36"/>
      <c r="F248" s="36"/>
      <c r="G248" s="36"/>
      <c r="H248" s="36"/>
      <c r="I248" s="36"/>
      <c r="J248" s="36"/>
      <c r="K248" s="36"/>
      <c r="L248" s="37"/>
      <c r="M248" s="37"/>
      <c r="N248" s="37"/>
      <c r="O248" s="37"/>
      <c r="P248" s="36"/>
      <c r="Q248" s="38"/>
      <c r="R248" s="36"/>
      <c r="S248" s="36"/>
      <c r="T248" s="36"/>
      <c r="U248" s="36"/>
      <c r="V248" s="36"/>
      <c r="W248" s="36"/>
      <c r="X248" s="39"/>
      <c r="Y248" s="37"/>
      <c r="Z248" s="39"/>
      <c r="AA248" s="36"/>
      <c r="AB248" s="36"/>
      <c r="AC248" s="36"/>
    </row>
    <row r="249" spans="1:29" x14ac:dyDescent="0.25">
      <c r="A249" s="36"/>
      <c r="B249" s="36"/>
      <c r="C249" s="36"/>
      <c r="D249" s="36"/>
      <c r="E249" s="36"/>
      <c r="F249" s="36"/>
      <c r="G249" s="36"/>
      <c r="H249" s="36"/>
      <c r="I249" s="36"/>
      <c r="J249" s="36"/>
      <c r="K249" s="36"/>
      <c r="L249" s="37"/>
      <c r="M249" s="37"/>
      <c r="N249" s="37"/>
      <c r="O249" s="37"/>
      <c r="P249" s="36"/>
      <c r="Q249" s="38"/>
      <c r="R249" s="36"/>
      <c r="S249" s="36"/>
      <c r="T249" s="36"/>
      <c r="U249" s="36"/>
      <c r="V249" s="36"/>
      <c r="W249" s="36"/>
      <c r="X249" s="39"/>
      <c r="Y249" s="37"/>
      <c r="Z249" s="39"/>
      <c r="AA249" s="36"/>
      <c r="AB249" s="36"/>
      <c r="AC249" s="36"/>
    </row>
    <row r="250" spans="1:29" x14ac:dyDescent="0.25">
      <c r="A250" s="36"/>
      <c r="B250" s="36"/>
      <c r="C250" s="36"/>
      <c r="D250" s="36"/>
      <c r="E250" s="36"/>
      <c r="F250" s="36"/>
      <c r="G250" s="36"/>
      <c r="H250" s="36"/>
      <c r="I250" s="36"/>
      <c r="J250" s="36"/>
      <c r="K250" s="36"/>
      <c r="L250" s="37"/>
      <c r="M250" s="37"/>
      <c r="N250" s="37"/>
      <c r="O250" s="37"/>
      <c r="P250" s="36"/>
      <c r="Q250" s="38"/>
      <c r="R250" s="36"/>
      <c r="S250" s="36"/>
      <c r="T250" s="36"/>
      <c r="U250" s="36"/>
      <c r="V250" s="36"/>
      <c r="W250" s="36"/>
      <c r="X250" s="39"/>
      <c r="Y250" s="37"/>
      <c r="Z250" s="39"/>
      <c r="AA250" s="36"/>
      <c r="AB250" s="36"/>
      <c r="AC250" s="36"/>
    </row>
    <row r="251" spans="1:29" x14ac:dyDescent="0.25">
      <c r="A251" s="36"/>
      <c r="B251" s="36"/>
      <c r="C251" s="36"/>
      <c r="D251" s="36"/>
      <c r="E251" s="36"/>
      <c r="F251" s="36"/>
      <c r="G251" s="36"/>
      <c r="H251" s="36"/>
      <c r="I251" s="36"/>
      <c r="J251" s="36"/>
      <c r="K251" s="36"/>
      <c r="L251" s="37"/>
      <c r="M251" s="37"/>
      <c r="N251" s="37"/>
      <c r="O251" s="37"/>
      <c r="P251" s="36"/>
      <c r="Q251" s="38"/>
      <c r="R251" s="36"/>
      <c r="S251" s="36"/>
      <c r="T251" s="36"/>
      <c r="U251" s="36"/>
      <c r="V251" s="36"/>
      <c r="W251" s="36"/>
      <c r="X251" s="39"/>
      <c r="Y251" s="37"/>
      <c r="Z251" s="39"/>
      <c r="AA251" s="36"/>
      <c r="AB251" s="36"/>
      <c r="AC251" s="36"/>
    </row>
    <row r="252" spans="1:29" x14ac:dyDescent="0.25">
      <c r="A252" s="36"/>
      <c r="B252" s="36"/>
      <c r="C252" s="36"/>
      <c r="D252" s="36"/>
      <c r="E252" s="36"/>
      <c r="F252" s="36"/>
      <c r="G252" s="36"/>
      <c r="H252" s="36"/>
      <c r="I252" s="36"/>
      <c r="J252" s="36"/>
      <c r="K252" s="36"/>
      <c r="L252" s="37"/>
      <c r="M252" s="37"/>
      <c r="N252" s="37"/>
      <c r="O252" s="37"/>
      <c r="P252" s="36"/>
      <c r="Q252" s="38"/>
      <c r="R252" s="36"/>
      <c r="S252" s="36"/>
      <c r="T252" s="36"/>
      <c r="U252" s="36"/>
      <c r="V252" s="36"/>
      <c r="W252" s="36"/>
      <c r="X252" s="39"/>
      <c r="Y252" s="37"/>
      <c r="Z252" s="39"/>
      <c r="AA252" s="36"/>
      <c r="AB252" s="36"/>
      <c r="AC252" s="36"/>
    </row>
    <row r="253" spans="1:29" x14ac:dyDescent="0.25">
      <c r="A253" s="36"/>
      <c r="B253" s="36"/>
      <c r="C253" s="36"/>
      <c r="D253" s="36"/>
      <c r="E253" s="36"/>
      <c r="F253" s="36"/>
      <c r="G253" s="36"/>
      <c r="H253" s="36"/>
      <c r="I253" s="36"/>
      <c r="J253" s="36"/>
      <c r="K253" s="36"/>
      <c r="L253" s="37"/>
      <c r="M253" s="37"/>
      <c r="N253" s="37"/>
      <c r="O253" s="37"/>
      <c r="P253" s="36"/>
      <c r="Q253" s="38"/>
      <c r="R253" s="36"/>
      <c r="S253" s="36"/>
      <c r="T253" s="36"/>
      <c r="U253" s="36"/>
      <c r="V253" s="36"/>
      <c r="W253" s="36"/>
      <c r="X253" s="39"/>
      <c r="Y253" s="37"/>
      <c r="Z253" s="39"/>
      <c r="AA253" s="36"/>
      <c r="AB253" s="36"/>
      <c r="AC253" s="36"/>
    </row>
    <row r="254" spans="1:29" x14ac:dyDescent="0.25">
      <c r="A254" s="36"/>
      <c r="B254" s="36"/>
      <c r="C254" s="36"/>
      <c r="D254" s="36"/>
      <c r="E254" s="36"/>
      <c r="F254" s="36"/>
      <c r="G254" s="36"/>
      <c r="H254" s="36"/>
      <c r="I254" s="36"/>
      <c r="J254" s="36"/>
      <c r="K254" s="36"/>
      <c r="L254" s="37"/>
      <c r="M254" s="37"/>
      <c r="N254" s="37"/>
      <c r="O254" s="37"/>
      <c r="P254" s="36"/>
      <c r="Q254" s="38"/>
      <c r="R254" s="36"/>
      <c r="S254" s="36"/>
      <c r="T254" s="36"/>
      <c r="U254" s="36"/>
      <c r="V254" s="36"/>
      <c r="W254" s="36"/>
      <c r="X254" s="39"/>
      <c r="Y254" s="37"/>
      <c r="Z254" s="39"/>
      <c r="AA254" s="36"/>
      <c r="AB254" s="36"/>
      <c r="AC254" s="36"/>
    </row>
    <row r="255" spans="1:29" x14ac:dyDescent="0.25">
      <c r="A255" s="36"/>
      <c r="B255" s="36"/>
      <c r="C255" s="36"/>
      <c r="D255" s="36"/>
      <c r="E255" s="36"/>
      <c r="F255" s="36"/>
      <c r="G255" s="36"/>
      <c r="H255" s="36"/>
      <c r="I255" s="36"/>
      <c r="J255" s="36"/>
      <c r="K255" s="36"/>
      <c r="L255" s="37"/>
      <c r="M255" s="37"/>
      <c r="N255" s="37"/>
      <c r="O255" s="37"/>
      <c r="P255" s="36"/>
      <c r="Q255" s="38"/>
      <c r="R255" s="36"/>
      <c r="S255" s="36"/>
      <c r="T255" s="36"/>
      <c r="U255" s="36"/>
      <c r="V255" s="36"/>
      <c r="W255" s="36"/>
      <c r="X255" s="39"/>
      <c r="Y255" s="37"/>
      <c r="Z255" s="39"/>
      <c r="AA255" s="36"/>
      <c r="AB255" s="36"/>
      <c r="AC255" s="36"/>
    </row>
    <row r="256" spans="1:29" x14ac:dyDescent="0.25">
      <c r="A256" s="36"/>
      <c r="B256" s="36"/>
      <c r="C256" s="36"/>
      <c r="D256" s="36"/>
      <c r="E256" s="36"/>
      <c r="F256" s="36"/>
      <c r="G256" s="36"/>
      <c r="H256" s="36"/>
      <c r="I256" s="36"/>
      <c r="J256" s="36"/>
      <c r="K256" s="36"/>
      <c r="L256" s="37"/>
      <c r="M256" s="37"/>
      <c r="N256" s="37"/>
      <c r="O256" s="37"/>
      <c r="P256" s="36"/>
      <c r="Q256" s="38"/>
      <c r="R256" s="36"/>
      <c r="S256" s="36"/>
      <c r="T256" s="36"/>
      <c r="U256" s="36"/>
      <c r="V256" s="36"/>
      <c r="W256" s="36"/>
      <c r="X256" s="39"/>
      <c r="Y256" s="37"/>
      <c r="Z256" s="39"/>
      <c r="AA256" s="36"/>
      <c r="AB256" s="36"/>
      <c r="AC256" s="36"/>
    </row>
    <row r="257" spans="1:29" x14ac:dyDescent="0.25">
      <c r="A257" s="36"/>
      <c r="B257" s="36"/>
      <c r="C257" s="36"/>
      <c r="D257" s="36"/>
      <c r="E257" s="36"/>
      <c r="F257" s="36"/>
      <c r="G257" s="36"/>
      <c r="H257" s="36"/>
      <c r="I257" s="36"/>
      <c r="J257" s="36"/>
      <c r="K257" s="36"/>
      <c r="L257" s="37"/>
      <c r="M257" s="37"/>
      <c r="N257" s="37"/>
      <c r="O257" s="37"/>
      <c r="P257" s="36"/>
      <c r="Q257" s="38"/>
      <c r="R257" s="36"/>
      <c r="S257" s="36"/>
      <c r="T257" s="36"/>
      <c r="U257" s="36"/>
      <c r="V257" s="36"/>
      <c r="W257" s="36"/>
      <c r="X257" s="39"/>
      <c r="Y257" s="37"/>
      <c r="Z257" s="39"/>
      <c r="AA257" s="36"/>
      <c r="AB257" s="36"/>
      <c r="AC257" s="36"/>
    </row>
    <row r="258" spans="1:29" x14ac:dyDescent="0.25">
      <c r="A258" s="36"/>
      <c r="B258" s="36"/>
      <c r="C258" s="36"/>
      <c r="D258" s="36"/>
      <c r="E258" s="36"/>
      <c r="F258" s="36"/>
      <c r="G258" s="36"/>
      <c r="H258" s="36"/>
      <c r="I258" s="36"/>
      <c r="J258" s="36"/>
      <c r="K258" s="36"/>
      <c r="L258" s="37"/>
      <c r="M258" s="37"/>
      <c r="N258" s="37"/>
      <c r="O258" s="37"/>
      <c r="P258" s="36"/>
      <c r="Q258" s="38"/>
      <c r="R258" s="36"/>
      <c r="S258" s="36"/>
      <c r="T258" s="36"/>
      <c r="U258" s="36"/>
      <c r="V258" s="36"/>
      <c r="W258" s="36"/>
      <c r="X258" s="39"/>
      <c r="Y258" s="37"/>
      <c r="Z258" s="39"/>
      <c r="AA258" s="36"/>
      <c r="AB258" s="36"/>
      <c r="AC258" s="36"/>
    </row>
    <row r="259" spans="1:29" x14ac:dyDescent="0.25">
      <c r="A259" s="36"/>
      <c r="B259" s="36"/>
      <c r="C259" s="36"/>
      <c r="D259" s="36"/>
      <c r="E259" s="36"/>
      <c r="F259" s="36"/>
      <c r="G259" s="36"/>
      <c r="H259" s="36"/>
      <c r="I259" s="36"/>
      <c r="J259" s="36"/>
      <c r="K259" s="36"/>
      <c r="L259" s="37"/>
      <c r="M259" s="37"/>
      <c r="N259" s="37"/>
      <c r="O259" s="37"/>
      <c r="P259" s="36"/>
      <c r="Q259" s="38"/>
      <c r="R259" s="36"/>
      <c r="S259" s="36"/>
      <c r="T259" s="36"/>
      <c r="U259" s="36"/>
      <c r="V259" s="36"/>
      <c r="W259" s="36"/>
      <c r="X259" s="39"/>
      <c r="Y259" s="37"/>
      <c r="Z259" s="39"/>
      <c r="AA259" s="36"/>
      <c r="AB259" s="36"/>
      <c r="AC259" s="36"/>
    </row>
    <row r="260" spans="1:29" x14ac:dyDescent="0.25">
      <c r="A260" s="36"/>
      <c r="B260" s="36"/>
      <c r="C260" s="36"/>
      <c r="D260" s="36"/>
      <c r="E260" s="36"/>
      <c r="F260" s="36"/>
      <c r="G260" s="36"/>
      <c r="H260" s="36"/>
      <c r="I260" s="36"/>
      <c r="J260" s="36"/>
      <c r="K260" s="36"/>
      <c r="L260" s="37"/>
      <c r="M260" s="37"/>
      <c r="N260" s="37"/>
      <c r="O260" s="37"/>
      <c r="P260" s="36"/>
      <c r="Q260" s="38"/>
      <c r="R260" s="36"/>
      <c r="S260" s="36"/>
      <c r="T260" s="36"/>
      <c r="U260" s="36"/>
      <c r="V260" s="36"/>
      <c r="W260" s="36"/>
      <c r="X260" s="39"/>
      <c r="Y260" s="37"/>
      <c r="Z260" s="39"/>
      <c r="AA260" s="36"/>
      <c r="AB260" s="36"/>
      <c r="AC260" s="36"/>
    </row>
    <row r="261" spans="1:29" x14ac:dyDescent="0.25">
      <c r="A261" s="36"/>
      <c r="B261" s="36"/>
      <c r="C261" s="36"/>
      <c r="D261" s="36"/>
      <c r="E261" s="36"/>
      <c r="F261" s="36"/>
      <c r="G261" s="36"/>
      <c r="H261" s="36"/>
      <c r="I261" s="36"/>
      <c r="J261" s="36"/>
      <c r="K261" s="36"/>
      <c r="L261" s="37"/>
      <c r="M261" s="37"/>
      <c r="N261" s="37"/>
      <c r="O261" s="37"/>
      <c r="P261" s="36"/>
      <c r="Q261" s="38"/>
      <c r="R261" s="36"/>
      <c r="S261" s="36"/>
      <c r="T261" s="36"/>
      <c r="U261" s="36"/>
      <c r="V261" s="36"/>
      <c r="W261" s="36"/>
      <c r="X261" s="39"/>
      <c r="Y261" s="37"/>
      <c r="Z261" s="39"/>
      <c r="AA261" s="36"/>
      <c r="AB261" s="36"/>
      <c r="AC261" s="36"/>
    </row>
    <row r="262" spans="1:29" x14ac:dyDescent="0.25">
      <c r="A262" s="36"/>
      <c r="B262" s="36"/>
      <c r="C262" s="36"/>
      <c r="D262" s="36"/>
      <c r="E262" s="36"/>
      <c r="F262" s="36"/>
      <c r="G262" s="36"/>
      <c r="H262" s="36"/>
      <c r="I262" s="36"/>
      <c r="J262" s="36"/>
      <c r="K262" s="36"/>
      <c r="L262" s="37"/>
      <c r="M262" s="37"/>
      <c r="N262" s="37"/>
      <c r="O262" s="37"/>
      <c r="P262" s="36"/>
      <c r="Q262" s="38"/>
      <c r="R262" s="36"/>
      <c r="S262" s="36"/>
      <c r="T262" s="36"/>
      <c r="U262" s="36"/>
      <c r="V262" s="36"/>
      <c r="W262" s="36"/>
      <c r="X262" s="39"/>
      <c r="Y262" s="37"/>
      <c r="Z262" s="39"/>
      <c r="AA262" s="36"/>
      <c r="AB262" s="36"/>
      <c r="AC262" s="36"/>
    </row>
    <row r="263" spans="1:29" x14ac:dyDescent="0.25">
      <c r="A263" s="36"/>
      <c r="B263" s="36"/>
      <c r="C263" s="36"/>
      <c r="D263" s="36"/>
      <c r="E263" s="36"/>
      <c r="F263" s="36"/>
      <c r="G263" s="36"/>
      <c r="H263" s="36"/>
      <c r="I263" s="36"/>
      <c r="J263" s="36"/>
      <c r="K263" s="36"/>
      <c r="L263" s="37"/>
      <c r="M263" s="37"/>
      <c r="N263" s="37"/>
      <c r="O263" s="37"/>
      <c r="P263" s="36"/>
      <c r="Q263" s="38"/>
      <c r="R263" s="36"/>
      <c r="S263" s="36"/>
      <c r="T263" s="36"/>
      <c r="U263" s="36"/>
      <c r="V263" s="36"/>
      <c r="W263" s="36"/>
      <c r="X263" s="39"/>
      <c r="Y263" s="37"/>
      <c r="Z263" s="39"/>
      <c r="AA263" s="36"/>
      <c r="AB263" s="36"/>
      <c r="AC263" s="36"/>
    </row>
    <row r="264" spans="1:29" x14ac:dyDescent="0.25">
      <c r="A264" s="36"/>
      <c r="B264" s="36"/>
      <c r="C264" s="36"/>
      <c r="D264" s="36"/>
      <c r="E264" s="36"/>
      <c r="F264" s="36"/>
      <c r="G264" s="36"/>
      <c r="H264" s="36"/>
      <c r="I264" s="36"/>
      <c r="J264" s="36"/>
      <c r="K264" s="36"/>
      <c r="L264" s="37"/>
      <c r="M264" s="37"/>
      <c r="N264" s="37"/>
      <c r="O264" s="37"/>
      <c r="P264" s="36"/>
      <c r="Q264" s="38"/>
      <c r="R264" s="36"/>
      <c r="S264" s="36"/>
      <c r="T264" s="36"/>
      <c r="U264" s="36"/>
      <c r="V264" s="36"/>
      <c r="W264" s="36"/>
      <c r="X264" s="39"/>
      <c r="Y264" s="37"/>
      <c r="Z264" s="39"/>
      <c r="AA264" s="36"/>
      <c r="AB264" s="36"/>
      <c r="AC264" s="36"/>
    </row>
    <row r="265" spans="1:29" x14ac:dyDescent="0.25">
      <c r="A265" s="36"/>
      <c r="B265" s="36"/>
      <c r="C265" s="36"/>
      <c r="D265" s="36"/>
      <c r="E265" s="36"/>
      <c r="F265" s="36"/>
      <c r="G265" s="36"/>
      <c r="H265" s="36"/>
      <c r="I265" s="36"/>
      <c r="J265" s="36"/>
      <c r="K265" s="36"/>
      <c r="L265" s="37"/>
      <c r="M265" s="37"/>
      <c r="N265" s="37"/>
      <c r="O265" s="37"/>
      <c r="P265" s="36"/>
      <c r="Q265" s="38"/>
      <c r="R265" s="36"/>
      <c r="S265" s="36"/>
      <c r="T265" s="36"/>
      <c r="U265" s="36"/>
      <c r="V265" s="36"/>
      <c r="W265" s="36"/>
      <c r="X265" s="39"/>
      <c r="Y265" s="37"/>
      <c r="Z265" s="39"/>
      <c r="AA265" s="36"/>
      <c r="AB265" s="36"/>
      <c r="AC265" s="36"/>
    </row>
    <row r="266" spans="1:29" x14ac:dyDescent="0.25">
      <c r="A266" s="36"/>
      <c r="B266" s="36"/>
      <c r="C266" s="36"/>
      <c r="D266" s="36"/>
      <c r="E266" s="36"/>
      <c r="F266" s="36"/>
      <c r="G266" s="36"/>
      <c r="H266" s="36"/>
      <c r="I266" s="36"/>
      <c r="J266" s="36"/>
      <c r="K266" s="36"/>
      <c r="L266" s="37"/>
      <c r="M266" s="37"/>
      <c r="N266" s="37"/>
      <c r="O266" s="37"/>
      <c r="P266" s="36"/>
      <c r="Q266" s="38"/>
      <c r="R266" s="36"/>
      <c r="S266" s="36"/>
      <c r="T266" s="36"/>
      <c r="U266" s="36"/>
      <c r="V266" s="36"/>
      <c r="W266" s="36"/>
      <c r="X266" s="39"/>
      <c r="Y266" s="37"/>
      <c r="Z266" s="39"/>
      <c r="AA266" s="36"/>
      <c r="AB266" s="36"/>
      <c r="AC266" s="36"/>
    </row>
    <row r="267" spans="1:29" x14ac:dyDescent="0.25">
      <c r="A267" s="36"/>
      <c r="B267" s="36"/>
      <c r="C267" s="36"/>
      <c r="D267" s="36"/>
      <c r="E267" s="36"/>
      <c r="F267" s="36"/>
      <c r="G267" s="36"/>
      <c r="H267" s="36"/>
      <c r="I267" s="36"/>
      <c r="J267" s="36"/>
      <c r="K267" s="36"/>
      <c r="L267" s="37"/>
      <c r="M267" s="37"/>
      <c r="N267" s="37"/>
      <c r="O267" s="37"/>
      <c r="P267" s="36"/>
      <c r="Q267" s="38"/>
      <c r="R267" s="36"/>
      <c r="S267" s="36"/>
      <c r="T267" s="36"/>
      <c r="U267" s="36"/>
      <c r="V267" s="36"/>
      <c r="W267" s="36"/>
      <c r="X267" s="39"/>
      <c r="Y267" s="37"/>
      <c r="Z267" s="39"/>
      <c r="AA267" s="36"/>
      <c r="AB267" s="36"/>
      <c r="AC267" s="36"/>
    </row>
    <row r="268" spans="1:29" x14ac:dyDescent="0.25">
      <c r="A268" s="36"/>
      <c r="B268" s="36"/>
      <c r="C268" s="36"/>
      <c r="D268" s="36"/>
      <c r="E268" s="36"/>
      <c r="F268" s="36"/>
      <c r="G268" s="36"/>
      <c r="H268" s="36"/>
      <c r="I268" s="36"/>
      <c r="J268" s="36"/>
      <c r="K268" s="36"/>
      <c r="L268" s="37"/>
      <c r="M268" s="37"/>
      <c r="N268" s="37"/>
      <c r="O268" s="37"/>
      <c r="P268" s="36"/>
      <c r="Q268" s="38"/>
      <c r="R268" s="36"/>
      <c r="S268" s="36"/>
      <c r="T268" s="36"/>
      <c r="U268" s="36"/>
      <c r="V268" s="36"/>
      <c r="W268" s="36"/>
      <c r="X268" s="39"/>
      <c r="Y268" s="37"/>
      <c r="Z268" s="39"/>
      <c r="AA268" s="36"/>
      <c r="AB268" s="36"/>
      <c r="AC268" s="36"/>
    </row>
    <row r="269" spans="1:29" x14ac:dyDescent="0.25">
      <c r="A269" s="36"/>
      <c r="B269" s="36"/>
      <c r="C269" s="36"/>
      <c r="D269" s="36"/>
      <c r="E269" s="36"/>
      <c r="F269" s="36"/>
      <c r="G269" s="36"/>
      <c r="H269" s="36"/>
      <c r="I269" s="36"/>
      <c r="J269" s="36"/>
      <c r="K269" s="36"/>
      <c r="L269" s="37"/>
      <c r="M269" s="37"/>
      <c r="N269" s="37"/>
      <c r="O269" s="37"/>
      <c r="P269" s="36"/>
      <c r="Q269" s="38"/>
      <c r="R269" s="36"/>
      <c r="S269" s="36"/>
      <c r="T269" s="36"/>
      <c r="U269" s="36"/>
      <c r="V269" s="36"/>
      <c r="W269" s="36"/>
      <c r="X269" s="39"/>
      <c r="Y269" s="37"/>
      <c r="Z269" s="39"/>
      <c r="AA269" s="36"/>
      <c r="AB269" s="36"/>
      <c r="AC269" s="36"/>
    </row>
    <row r="270" spans="1:29" x14ac:dyDescent="0.25">
      <c r="A270" s="36"/>
      <c r="B270" s="36"/>
      <c r="C270" s="36"/>
      <c r="D270" s="36"/>
      <c r="E270" s="36"/>
      <c r="F270" s="36"/>
      <c r="G270" s="36"/>
      <c r="H270" s="36"/>
      <c r="I270" s="36"/>
      <c r="J270" s="36"/>
      <c r="K270" s="36"/>
      <c r="L270" s="37"/>
      <c r="M270" s="37"/>
      <c r="N270" s="37"/>
      <c r="O270" s="37"/>
      <c r="P270" s="36"/>
      <c r="Q270" s="38"/>
      <c r="R270" s="36"/>
      <c r="S270" s="36"/>
      <c r="T270" s="36"/>
      <c r="U270" s="36"/>
      <c r="V270" s="36"/>
      <c r="W270" s="36"/>
      <c r="X270" s="39"/>
      <c r="Y270" s="37"/>
      <c r="Z270" s="39"/>
      <c r="AA270" s="36"/>
      <c r="AB270" s="36"/>
      <c r="AC270" s="36"/>
    </row>
    <row r="271" spans="1:29" x14ac:dyDescent="0.25">
      <c r="A271" s="36"/>
      <c r="B271" s="36"/>
      <c r="C271" s="36"/>
      <c r="D271" s="36"/>
      <c r="E271" s="36"/>
      <c r="F271" s="36"/>
      <c r="G271" s="36"/>
      <c r="H271" s="36"/>
      <c r="I271" s="36"/>
      <c r="J271" s="36"/>
      <c r="K271" s="36"/>
      <c r="L271" s="37"/>
      <c r="M271" s="37"/>
      <c r="N271" s="37"/>
      <c r="O271" s="37"/>
      <c r="P271" s="36"/>
      <c r="Q271" s="38"/>
      <c r="R271" s="36"/>
      <c r="S271" s="36"/>
      <c r="T271" s="36"/>
      <c r="U271" s="36"/>
      <c r="V271" s="36"/>
      <c r="W271" s="36"/>
      <c r="X271" s="39"/>
      <c r="Y271" s="37"/>
      <c r="Z271" s="39"/>
      <c r="AA271" s="36"/>
      <c r="AB271" s="36"/>
      <c r="AC271" s="36"/>
    </row>
    <row r="272" spans="1:29" x14ac:dyDescent="0.25">
      <c r="A272" s="36"/>
      <c r="B272" s="36"/>
      <c r="C272" s="36"/>
      <c r="D272" s="36"/>
      <c r="E272" s="36"/>
      <c r="F272" s="36"/>
      <c r="G272" s="36"/>
      <c r="H272" s="36"/>
      <c r="I272" s="36"/>
      <c r="J272" s="36"/>
      <c r="K272" s="36"/>
      <c r="L272" s="37"/>
      <c r="M272" s="37"/>
      <c r="N272" s="37"/>
      <c r="O272" s="37"/>
      <c r="P272" s="36"/>
      <c r="Q272" s="38"/>
      <c r="R272" s="36"/>
      <c r="S272" s="36"/>
      <c r="T272" s="36"/>
      <c r="U272" s="36"/>
      <c r="V272" s="36"/>
      <c r="W272" s="36"/>
      <c r="X272" s="39"/>
      <c r="Y272" s="37"/>
      <c r="Z272" s="39"/>
      <c r="AA272" s="36"/>
      <c r="AB272" s="36"/>
      <c r="AC272" s="36"/>
    </row>
    <row r="273" spans="1:29" x14ac:dyDescent="0.25">
      <c r="A273" s="36"/>
      <c r="B273" s="36"/>
      <c r="C273" s="36"/>
      <c r="D273" s="36"/>
      <c r="E273" s="36"/>
      <c r="F273" s="36"/>
      <c r="G273" s="36"/>
      <c r="H273" s="36"/>
      <c r="I273" s="36"/>
      <c r="J273" s="36"/>
      <c r="K273" s="36"/>
      <c r="L273" s="37"/>
      <c r="M273" s="37"/>
      <c r="N273" s="37"/>
      <c r="O273" s="37"/>
      <c r="P273" s="36"/>
      <c r="Q273" s="38"/>
      <c r="R273" s="36"/>
      <c r="S273" s="36"/>
      <c r="T273" s="36"/>
      <c r="U273" s="36"/>
      <c r="V273" s="36"/>
      <c r="W273" s="36"/>
      <c r="X273" s="39"/>
      <c r="Y273" s="37"/>
      <c r="Z273" s="39"/>
      <c r="AA273" s="36"/>
      <c r="AB273" s="36"/>
      <c r="AC273" s="36"/>
    </row>
    <row r="274" spans="1:29" x14ac:dyDescent="0.25">
      <c r="A274" s="36"/>
      <c r="B274" s="36"/>
      <c r="C274" s="36"/>
      <c r="D274" s="36"/>
      <c r="E274" s="36"/>
      <c r="F274" s="36"/>
      <c r="G274" s="36"/>
      <c r="H274" s="36"/>
      <c r="I274" s="36"/>
      <c r="J274" s="36"/>
      <c r="K274" s="36"/>
      <c r="L274" s="37"/>
      <c r="M274" s="37"/>
      <c r="N274" s="37"/>
      <c r="O274" s="37"/>
      <c r="P274" s="36"/>
      <c r="Q274" s="38"/>
      <c r="R274" s="36"/>
      <c r="S274" s="36"/>
      <c r="T274" s="36"/>
      <c r="U274" s="36"/>
      <c r="V274" s="36"/>
      <c r="W274" s="36"/>
      <c r="X274" s="39"/>
      <c r="Y274" s="37"/>
      <c r="Z274" s="39"/>
      <c r="AA274" s="36"/>
      <c r="AB274" s="36"/>
      <c r="AC274" s="36"/>
    </row>
    <row r="275" spans="1:29" x14ac:dyDescent="0.25">
      <c r="A275" s="36"/>
      <c r="B275" s="36"/>
      <c r="C275" s="36"/>
      <c r="D275" s="36"/>
      <c r="E275" s="36"/>
      <c r="F275" s="36"/>
      <c r="G275" s="36"/>
      <c r="H275" s="36"/>
      <c r="I275" s="36"/>
      <c r="J275" s="36"/>
      <c r="K275" s="36"/>
      <c r="L275" s="37"/>
      <c r="M275" s="37"/>
      <c r="N275" s="37"/>
      <c r="O275" s="37"/>
      <c r="P275" s="36"/>
      <c r="Q275" s="38"/>
      <c r="R275" s="36"/>
      <c r="S275" s="36"/>
      <c r="T275" s="36"/>
      <c r="U275" s="36"/>
      <c r="V275" s="36"/>
      <c r="W275" s="36"/>
      <c r="X275" s="39"/>
      <c r="Y275" s="37"/>
      <c r="Z275" s="39"/>
      <c r="AA275" s="36"/>
      <c r="AB275" s="36"/>
      <c r="AC275" s="36"/>
    </row>
    <row r="276" spans="1:29" x14ac:dyDescent="0.25">
      <c r="A276" s="36"/>
      <c r="B276" s="36"/>
      <c r="C276" s="36"/>
      <c r="D276" s="36"/>
      <c r="E276" s="36"/>
      <c r="F276" s="36"/>
      <c r="G276" s="36"/>
      <c r="H276" s="36"/>
      <c r="I276" s="36"/>
      <c r="J276" s="36"/>
      <c r="K276" s="36"/>
      <c r="L276" s="37"/>
      <c r="M276" s="37"/>
      <c r="N276" s="37"/>
      <c r="O276" s="37"/>
      <c r="P276" s="36"/>
      <c r="Q276" s="38"/>
      <c r="R276" s="36"/>
      <c r="S276" s="36"/>
      <c r="T276" s="36"/>
      <c r="U276" s="36"/>
      <c r="V276" s="36"/>
      <c r="W276" s="36"/>
      <c r="X276" s="39"/>
      <c r="Y276" s="37"/>
      <c r="Z276" s="39"/>
      <c r="AA276" s="36"/>
      <c r="AB276" s="36"/>
      <c r="AC276" s="36"/>
    </row>
    <row r="277" spans="1:29" x14ac:dyDescent="0.25">
      <c r="A277" s="36"/>
      <c r="B277" s="36"/>
      <c r="C277" s="36"/>
      <c r="D277" s="36"/>
      <c r="E277" s="36"/>
      <c r="F277" s="36"/>
      <c r="G277" s="36"/>
      <c r="H277" s="36"/>
      <c r="I277" s="36"/>
      <c r="J277" s="36"/>
      <c r="K277" s="36"/>
      <c r="L277" s="37"/>
      <c r="M277" s="37"/>
      <c r="N277" s="37"/>
      <c r="O277" s="37"/>
      <c r="P277" s="36"/>
      <c r="Q277" s="38"/>
      <c r="R277" s="36"/>
      <c r="S277" s="36"/>
      <c r="T277" s="36"/>
      <c r="U277" s="36"/>
      <c r="V277" s="36"/>
      <c r="W277" s="36"/>
      <c r="X277" s="39"/>
      <c r="Y277" s="37"/>
      <c r="Z277" s="39"/>
      <c r="AA277" s="36"/>
      <c r="AB277" s="36"/>
      <c r="AC277" s="36"/>
    </row>
    <row r="278" spans="1:29" x14ac:dyDescent="0.25">
      <c r="A278" s="36"/>
      <c r="B278" s="36"/>
      <c r="C278" s="36"/>
      <c r="D278" s="36"/>
      <c r="E278" s="36"/>
      <c r="F278" s="36"/>
      <c r="G278" s="36"/>
      <c r="H278" s="36"/>
      <c r="I278" s="36"/>
      <c r="J278" s="36"/>
      <c r="K278" s="36"/>
      <c r="L278" s="37"/>
      <c r="M278" s="37"/>
      <c r="N278" s="37"/>
      <c r="O278" s="37"/>
      <c r="P278" s="36"/>
      <c r="Q278" s="38"/>
      <c r="R278" s="36"/>
      <c r="S278" s="36"/>
      <c r="T278" s="36"/>
      <c r="U278" s="36"/>
      <c r="V278" s="36"/>
      <c r="W278" s="36"/>
      <c r="X278" s="39"/>
      <c r="Y278" s="37"/>
      <c r="Z278" s="39"/>
      <c r="AA278" s="36"/>
      <c r="AB278" s="36"/>
      <c r="AC278" s="36"/>
    </row>
    <row r="279" spans="1:29" x14ac:dyDescent="0.25">
      <c r="A279" s="36"/>
      <c r="B279" s="36"/>
      <c r="C279" s="36"/>
      <c r="D279" s="36"/>
      <c r="E279" s="36"/>
      <c r="F279" s="36"/>
      <c r="G279" s="36"/>
      <c r="H279" s="36"/>
      <c r="I279" s="36"/>
      <c r="J279" s="36"/>
      <c r="K279" s="36"/>
      <c r="L279" s="37"/>
      <c r="M279" s="37"/>
      <c r="N279" s="37"/>
      <c r="O279" s="37"/>
      <c r="P279" s="36"/>
      <c r="Q279" s="38"/>
      <c r="R279" s="36"/>
      <c r="S279" s="36"/>
      <c r="T279" s="36"/>
      <c r="U279" s="36"/>
      <c r="V279" s="36"/>
      <c r="W279" s="36"/>
      <c r="X279" s="39"/>
      <c r="Y279" s="37"/>
      <c r="Z279" s="39"/>
      <c r="AA279" s="36"/>
      <c r="AB279" s="36"/>
      <c r="AC279" s="36"/>
    </row>
    <row r="280" spans="1:29" x14ac:dyDescent="0.25">
      <c r="A280" s="36"/>
      <c r="B280" s="36"/>
      <c r="C280" s="36"/>
      <c r="D280" s="36"/>
      <c r="E280" s="36"/>
      <c r="F280" s="36"/>
      <c r="G280" s="36"/>
      <c r="H280" s="36"/>
      <c r="I280" s="36"/>
      <c r="J280" s="36"/>
      <c r="K280" s="36"/>
      <c r="L280" s="37"/>
      <c r="M280" s="37"/>
      <c r="N280" s="37"/>
      <c r="O280" s="37"/>
      <c r="P280" s="36"/>
      <c r="Q280" s="38"/>
      <c r="R280" s="36"/>
      <c r="S280" s="36"/>
      <c r="T280" s="36"/>
      <c r="U280" s="36"/>
      <c r="V280" s="36"/>
      <c r="W280" s="36"/>
      <c r="X280" s="39"/>
      <c r="Y280" s="37"/>
      <c r="Z280" s="39"/>
      <c r="AA280" s="36"/>
      <c r="AB280" s="36"/>
      <c r="AC280" s="36"/>
    </row>
    <row r="281" spans="1:29" x14ac:dyDescent="0.25">
      <c r="A281" s="36"/>
      <c r="B281" s="36"/>
      <c r="C281" s="36"/>
      <c r="D281" s="36"/>
      <c r="E281" s="36"/>
      <c r="F281" s="36"/>
      <c r="G281" s="36"/>
      <c r="H281" s="36"/>
      <c r="I281" s="36"/>
      <c r="J281" s="36"/>
      <c r="K281" s="36"/>
      <c r="L281" s="37"/>
      <c r="M281" s="37"/>
      <c r="N281" s="37"/>
      <c r="O281" s="37"/>
      <c r="P281" s="36"/>
      <c r="Q281" s="38"/>
      <c r="R281" s="36"/>
      <c r="S281" s="36"/>
      <c r="T281" s="36"/>
      <c r="U281" s="36"/>
      <c r="V281" s="36"/>
      <c r="W281" s="36"/>
      <c r="X281" s="39"/>
      <c r="Y281" s="37"/>
      <c r="Z281" s="39"/>
      <c r="AA281" s="36"/>
      <c r="AB281" s="36"/>
      <c r="AC281" s="36"/>
    </row>
    <row r="282" spans="1:29" x14ac:dyDescent="0.25">
      <c r="A282" s="36"/>
      <c r="B282" s="36"/>
      <c r="C282" s="36"/>
      <c r="D282" s="36"/>
      <c r="E282" s="36"/>
      <c r="F282" s="36"/>
      <c r="G282" s="36"/>
      <c r="H282" s="36"/>
      <c r="I282" s="36"/>
      <c r="J282" s="36"/>
      <c r="K282" s="36"/>
      <c r="L282" s="37"/>
      <c r="M282" s="37"/>
      <c r="N282" s="37"/>
      <c r="O282" s="37"/>
      <c r="P282" s="36"/>
      <c r="Q282" s="38"/>
      <c r="R282" s="36"/>
      <c r="S282" s="36"/>
      <c r="T282" s="36"/>
      <c r="U282" s="36"/>
      <c r="V282" s="36"/>
      <c r="W282" s="36"/>
      <c r="X282" s="39"/>
      <c r="Y282" s="37"/>
      <c r="Z282" s="39"/>
      <c r="AA282" s="36"/>
      <c r="AB282" s="36"/>
      <c r="AC282" s="36"/>
    </row>
    <row r="283" spans="1:29" x14ac:dyDescent="0.25">
      <c r="A283" s="36"/>
      <c r="B283" s="36"/>
      <c r="C283" s="36"/>
      <c r="D283" s="36"/>
      <c r="E283" s="36"/>
      <c r="F283" s="36"/>
      <c r="G283" s="36"/>
      <c r="H283" s="36"/>
      <c r="I283" s="36"/>
      <c r="J283" s="36"/>
      <c r="K283" s="36"/>
      <c r="L283" s="37"/>
      <c r="M283" s="37"/>
      <c r="N283" s="37"/>
      <c r="O283" s="37"/>
      <c r="P283" s="36"/>
      <c r="Q283" s="38"/>
      <c r="R283" s="36"/>
      <c r="S283" s="36"/>
      <c r="T283" s="36"/>
      <c r="U283" s="36"/>
      <c r="V283" s="36"/>
      <c r="W283" s="36"/>
      <c r="X283" s="39"/>
      <c r="Y283" s="37"/>
      <c r="Z283" s="39"/>
      <c r="AA283" s="36"/>
      <c r="AB283" s="36"/>
      <c r="AC283" s="36"/>
    </row>
    <row r="284" spans="1:29" x14ac:dyDescent="0.25">
      <c r="A284" s="36"/>
      <c r="B284" s="36"/>
      <c r="C284" s="36"/>
      <c r="D284" s="36"/>
      <c r="E284" s="36"/>
      <c r="F284" s="36"/>
      <c r="G284" s="36"/>
      <c r="H284" s="36"/>
      <c r="I284" s="36"/>
      <c r="J284" s="36"/>
      <c r="K284" s="36"/>
      <c r="L284" s="37"/>
      <c r="M284" s="37"/>
      <c r="N284" s="37"/>
      <c r="O284" s="37"/>
      <c r="P284" s="36"/>
      <c r="Q284" s="38"/>
      <c r="R284" s="36"/>
      <c r="S284" s="36"/>
      <c r="T284" s="36"/>
      <c r="U284" s="36"/>
      <c r="V284" s="36"/>
      <c r="W284" s="36"/>
      <c r="X284" s="39"/>
      <c r="Y284" s="37"/>
      <c r="Z284" s="39"/>
      <c r="AA284" s="36"/>
      <c r="AB284" s="36"/>
      <c r="AC284" s="36"/>
    </row>
    <row r="285" spans="1:29" x14ac:dyDescent="0.25">
      <c r="A285" s="36"/>
      <c r="B285" s="36"/>
      <c r="C285" s="36"/>
      <c r="D285" s="36"/>
      <c r="E285" s="36"/>
      <c r="F285" s="36"/>
      <c r="G285" s="36"/>
      <c r="H285" s="36"/>
      <c r="I285" s="36"/>
      <c r="J285" s="36"/>
      <c r="K285" s="36"/>
      <c r="L285" s="37"/>
      <c r="M285" s="37"/>
      <c r="N285" s="37"/>
      <c r="O285" s="37"/>
      <c r="P285" s="36"/>
      <c r="Q285" s="38"/>
      <c r="R285" s="36"/>
      <c r="S285" s="36"/>
      <c r="T285" s="36"/>
      <c r="U285" s="36"/>
      <c r="V285" s="36"/>
      <c r="W285" s="36"/>
      <c r="X285" s="39"/>
      <c r="Y285" s="37"/>
      <c r="Z285" s="39"/>
      <c r="AA285" s="36"/>
      <c r="AB285" s="36"/>
      <c r="AC285" s="36"/>
    </row>
    <row r="286" spans="1:29" x14ac:dyDescent="0.25">
      <c r="A286" s="36"/>
      <c r="B286" s="36"/>
      <c r="C286" s="36"/>
      <c r="D286" s="36"/>
      <c r="E286" s="36"/>
      <c r="F286" s="36"/>
      <c r="G286" s="36"/>
      <c r="H286" s="36"/>
      <c r="I286" s="36"/>
      <c r="J286" s="36"/>
      <c r="K286" s="36"/>
      <c r="L286" s="37"/>
      <c r="M286" s="37"/>
      <c r="N286" s="37"/>
      <c r="O286" s="37"/>
      <c r="P286" s="36"/>
      <c r="Q286" s="38"/>
      <c r="R286" s="36"/>
      <c r="S286" s="36"/>
      <c r="T286" s="36"/>
      <c r="U286" s="36"/>
      <c r="V286" s="36"/>
      <c r="W286" s="36"/>
      <c r="X286" s="39"/>
      <c r="Y286" s="37"/>
      <c r="Z286" s="39"/>
      <c r="AA286" s="36"/>
      <c r="AB286" s="36"/>
      <c r="AC286" s="36"/>
    </row>
    <row r="287" spans="1:29" x14ac:dyDescent="0.25">
      <c r="A287" s="36"/>
      <c r="B287" s="36"/>
      <c r="C287" s="36"/>
      <c r="D287" s="36"/>
      <c r="E287" s="36"/>
      <c r="F287" s="36"/>
      <c r="G287" s="36"/>
      <c r="H287" s="36"/>
      <c r="I287" s="36"/>
      <c r="J287" s="36"/>
      <c r="K287" s="36"/>
      <c r="L287" s="37"/>
      <c r="M287" s="37"/>
      <c r="N287" s="37"/>
      <c r="O287" s="37"/>
      <c r="P287" s="36"/>
      <c r="Q287" s="38"/>
      <c r="R287" s="36"/>
      <c r="S287" s="36"/>
      <c r="T287" s="36"/>
      <c r="U287" s="36"/>
      <c r="V287" s="36"/>
      <c r="W287" s="36"/>
      <c r="X287" s="39"/>
      <c r="Y287" s="37"/>
      <c r="Z287" s="39"/>
      <c r="AA287" s="36"/>
      <c r="AB287" s="36"/>
      <c r="AC287" s="36"/>
    </row>
    <row r="288" spans="1:29" x14ac:dyDescent="0.25">
      <c r="A288" s="36"/>
      <c r="B288" s="36"/>
      <c r="C288" s="36"/>
      <c r="D288" s="36"/>
      <c r="E288" s="36"/>
      <c r="F288" s="36"/>
      <c r="G288" s="36"/>
      <c r="H288" s="36"/>
      <c r="I288" s="36"/>
      <c r="J288" s="36"/>
      <c r="K288" s="36"/>
      <c r="L288" s="37"/>
      <c r="M288" s="37"/>
      <c r="N288" s="37"/>
      <c r="O288" s="37"/>
      <c r="P288" s="36"/>
      <c r="Q288" s="38"/>
      <c r="R288" s="36"/>
      <c r="S288" s="36"/>
      <c r="T288" s="36"/>
      <c r="U288" s="36"/>
      <c r="V288" s="36"/>
      <c r="W288" s="36"/>
      <c r="X288" s="39"/>
      <c r="Y288" s="37"/>
      <c r="Z288" s="39"/>
      <c r="AA288" s="36"/>
      <c r="AB288" s="36"/>
      <c r="AC288" s="36"/>
    </row>
    <row r="289" spans="1:29" x14ac:dyDescent="0.25">
      <c r="A289" s="36"/>
      <c r="B289" s="36"/>
      <c r="C289" s="36"/>
      <c r="D289" s="36"/>
      <c r="E289" s="36"/>
      <c r="F289" s="36"/>
      <c r="G289" s="36"/>
      <c r="H289" s="36"/>
      <c r="I289" s="36"/>
      <c r="J289" s="36"/>
      <c r="K289" s="36"/>
      <c r="L289" s="37"/>
      <c r="M289" s="37"/>
      <c r="N289" s="37"/>
      <c r="O289" s="37"/>
      <c r="P289" s="36"/>
      <c r="Q289" s="38"/>
      <c r="R289" s="36"/>
      <c r="S289" s="36"/>
      <c r="T289" s="36"/>
      <c r="U289" s="36"/>
      <c r="V289" s="36"/>
      <c r="W289" s="36"/>
      <c r="X289" s="39"/>
      <c r="Y289" s="37"/>
      <c r="Z289" s="39"/>
      <c r="AA289" s="36"/>
      <c r="AB289" s="36"/>
      <c r="AC289" s="36"/>
    </row>
    <row r="290" spans="1:29" x14ac:dyDescent="0.25">
      <c r="A290" s="36"/>
      <c r="B290" s="36"/>
      <c r="C290" s="36"/>
      <c r="D290" s="36"/>
      <c r="E290" s="36"/>
      <c r="F290" s="36"/>
      <c r="G290" s="36"/>
      <c r="H290" s="36"/>
      <c r="I290" s="36"/>
      <c r="J290" s="36"/>
      <c r="K290" s="36"/>
      <c r="L290" s="37"/>
      <c r="M290" s="37"/>
      <c r="N290" s="37"/>
      <c r="O290" s="37"/>
      <c r="P290" s="36"/>
      <c r="Q290" s="38"/>
      <c r="R290" s="36"/>
      <c r="S290" s="36"/>
      <c r="T290" s="36"/>
      <c r="U290" s="36"/>
      <c r="V290" s="36"/>
      <c r="W290" s="36"/>
      <c r="X290" s="39"/>
      <c r="Y290" s="37"/>
      <c r="Z290" s="39"/>
      <c r="AA290" s="36"/>
      <c r="AB290" s="36"/>
      <c r="AC290" s="36"/>
    </row>
    <row r="291" spans="1:29" x14ac:dyDescent="0.25">
      <c r="A291" s="36"/>
      <c r="B291" s="36"/>
      <c r="C291" s="36"/>
      <c r="D291" s="36"/>
      <c r="E291" s="36"/>
      <c r="F291" s="36"/>
      <c r="G291" s="36"/>
      <c r="H291" s="36"/>
      <c r="I291" s="36"/>
      <c r="J291" s="36"/>
      <c r="K291" s="36"/>
      <c r="L291" s="37"/>
      <c r="M291" s="37"/>
      <c r="N291" s="37"/>
      <c r="O291" s="37"/>
      <c r="P291" s="36"/>
      <c r="Q291" s="38"/>
      <c r="R291" s="36"/>
      <c r="S291" s="36"/>
      <c r="T291" s="36"/>
      <c r="U291" s="36"/>
      <c r="V291" s="36"/>
      <c r="W291" s="36"/>
      <c r="X291" s="39"/>
      <c r="Y291" s="37"/>
      <c r="Z291" s="39"/>
      <c r="AA291" s="36"/>
      <c r="AB291" s="36"/>
      <c r="AC291" s="36"/>
    </row>
    <row r="292" spans="1:29" x14ac:dyDescent="0.25">
      <c r="A292" s="36"/>
      <c r="B292" s="36"/>
      <c r="C292" s="36"/>
      <c r="D292" s="36"/>
      <c r="E292" s="36"/>
      <c r="F292" s="36"/>
      <c r="G292" s="36"/>
      <c r="H292" s="36"/>
      <c r="I292" s="36"/>
      <c r="J292" s="36"/>
      <c r="K292" s="36"/>
      <c r="L292" s="37"/>
      <c r="M292" s="37"/>
      <c r="N292" s="37"/>
      <c r="O292" s="37"/>
      <c r="P292" s="36"/>
      <c r="Q292" s="38"/>
      <c r="R292" s="36"/>
      <c r="S292" s="36"/>
      <c r="T292" s="36"/>
      <c r="U292" s="36"/>
      <c r="V292" s="36"/>
      <c r="W292" s="36"/>
      <c r="X292" s="39"/>
      <c r="Y292" s="37"/>
      <c r="Z292" s="39"/>
      <c r="AA292" s="36"/>
      <c r="AB292" s="36"/>
      <c r="AC292" s="36"/>
    </row>
    <row r="293" spans="1:29" x14ac:dyDescent="0.25">
      <c r="A293" s="36"/>
      <c r="B293" s="36"/>
      <c r="C293" s="36"/>
      <c r="D293" s="36"/>
      <c r="E293" s="36"/>
      <c r="F293" s="36"/>
      <c r="G293" s="36"/>
      <c r="H293" s="36"/>
      <c r="I293" s="36"/>
      <c r="J293" s="36"/>
      <c r="K293" s="36"/>
      <c r="L293" s="37"/>
      <c r="M293" s="37"/>
      <c r="N293" s="37"/>
      <c r="O293" s="37"/>
      <c r="P293" s="36"/>
      <c r="Q293" s="38"/>
      <c r="R293" s="36"/>
      <c r="S293" s="36"/>
      <c r="T293" s="36"/>
      <c r="U293" s="36"/>
      <c r="V293" s="36"/>
      <c r="W293" s="36"/>
      <c r="X293" s="39"/>
      <c r="Y293" s="37"/>
      <c r="Z293" s="39"/>
      <c r="AA293" s="36"/>
      <c r="AB293" s="36"/>
      <c r="AC293" s="36"/>
    </row>
    <row r="294" spans="1:29" x14ac:dyDescent="0.25">
      <c r="A294" s="36"/>
      <c r="B294" s="36"/>
      <c r="C294" s="36"/>
      <c r="D294" s="36"/>
      <c r="E294" s="36"/>
      <c r="F294" s="36"/>
      <c r="G294" s="36"/>
      <c r="H294" s="36"/>
      <c r="I294" s="36"/>
      <c r="J294" s="36"/>
      <c r="K294" s="36"/>
      <c r="L294" s="37"/>
      <c r="M294" s="37"/>
      <c r="N294" s="37"/>
      <c r="O294" s="37"/>
      <c r="P294" s="36"/>
      <c r="Q294" s="38"/>
      <c r="R294" s="36"/>
      <c r="S294" s="36"/>
      <c r="T294" s="36"/>
      <c r="U294" s="36"/>
      <c r="V294" s="36"/>
      <c r="W294" s="36"/>
      <c r="X294" s="39"/>
      <c r="Y294" s="37"/>
      <c r="Z294" s="39"/>
      <c r="AA294" s="36"/>
      <c r="AB294" s="36"/>
      <c r="AC294" s="36"/>
    </row>
    <row r="295" spans="1:29" x14ac:dyDescent="0.25">
      <c r="A295" s="36"/>
      <c r="B295" s="36"/>
      <c r="C295" s="36"/>
      <c r="D295" s="36"/>
      <c r="E295" s="36"/>
      <c r="F295" s="36"/>
      <c r="G295" s="36"/>
      <c r="H295" s="36"/>
      <c r="I295" s="36"/>
      <c r="J295" s="36"/>
      <c r="K295" s="36"/>
      <c r="L295" s="37"/>
      <c r="M295" s="37"/>
      <c r="N295" s="37"/>
      <c r="O295" s="37"/>
      <c r="P295" s="36"/>
      <c r="Q295" s="38"/>
      <c r="R295" s="36"/>
      <c r="S295" s="36"/>
      <c r="T295" s="36"/>
      <c r="U295" s="36"/>
      <c r="V295" s="36"/>
      <c r="W295" s="36"/>
      <c r="X295" s="39"/>
      <c r="Y295" s="37"/>
      <c r="Z295" s="39"/>
      <c r="AA295" s="36"/>
      <c r="AB295" s="36"/>
      <c r="AC295" s="36"/>
    </row>
    <row r="296" spans="1:29" x14ac:dyDescent="0.25">
      <c r="A296" s="36"/>
      <c r="B296" s="36"/>
      <c r="C296" s="36"/>
      <c r="D296" s="36"/>
      <c r="E296" s="36"/>
      <c r="F296" s="36"/>
      <c r="G296" s="36"/>
      <c r="H296" s="36"/>
      <c r="I296" s="36"/>
      <c r="J296" s="36"/>
      <c r="K296" s="36"/>
      <c r="L296" s="37"/>
      <c r="M296" s="37"/>
      <c r="N296" s="37"/>
      <c r="O296" s="37"/>
      <c r="P296" s="36"/>
      <c r="Q296" s="38"/>
      <c r="R296" s="36"/>
      <c r="S296" s="36"/>
      <c r="T296" s="36"/>
      <c r="U296" s="36"/>
      <c r="V296" s="36"/>
      <c r="W296" s="36"/>
      <c r="X296" s="39"/>
      <c r="Y296" s="37"/>
      <c r="Z296" s="39"/>
      <c r="AA296" s="36"/>
      <c r="AB296" s="36"/>
      <c r="AC296" s="36"/>
    </row>
    <row r="297" spans="1:29" x14ac:dyDescent="0.25">
      <c r="A297" s="36"/>
      <c r="B297" s="36"/>
      <c r="C297" s="36"/>
      <c r="D297" s="36"/>
      <c r="E297" s="36"/>
      <c r="F297" s="36"/>
      <c r="G297" s="36"/>
      <c r="H297" s="36"/>
      <c r="I297" s="36"/>
      <c r="J297" s="36"/>
      <c r="K297" s="36"/>
      <c r="L297" s="37"/>
      <c r="M297" s="37"/>
      <c r="N297" s="37"/>
      <c r="O297" s="37"/>
      <c r="P297" s="36"/>
      <c r="Q297" s="38"/>
      <c r="R297" s="36"/>
      <c r="S297" s="36"/>
      <c r="T297" s="36"/>
      <c r="U297" s="36"/>
      <c r="V297" s="36"/>
      <c r="W297" s="36"/>
      <c r="X297" s="39"/>
      <c r="Y297" s="37"/>
      <c r="Z297" s="39"/>
      <c r="AA297" s="36"/>
      <c r="AB297" s="36"/>
      <c r="AC297" s="36"/>
    </row>
    <row r="298" spans="1:29" x14ac:dyDescent="0.25">
      <c r="A298" s="36"/>
      <c r="B298" s="36"/>
      <c r="C298" s="36"/>
      <c r="D298" s="36"/>
      <c r="E298" s="36"/>
      <c r="F298" s="36"/>
      <c r="G298" s="36"/>
      <c r="H298" s="36"/>
      <c r="I298" s="36"/>
      <c r="J298" s="36"/>
      <c r="K298" s="36"/>
      <c r="L298" s="37"/>
      <c r="M298" s="37"/>
      <c r="N298" s="37"/>
      <c r="O298" s="37"/>
      <c r="P298" s="36"/>
      <c r="Q298" s="38"/>
      <c r="R298" s="36"/>
      <c r="S298" s="36"/>
      <c r="T298" s="36"/>
      <c r="U298" s="36"/>
      <c r="V298" s="36"/>
      <c r="W298" s="36"/>
      <c r="X298" s="39"/>
      <c r="Y298" s="37"/>
      <c r="Z298" s="39"/>
      <c r="AA298" s="36"/>
      <c r="AB298" s="36"/>
      <c r="AC298" s="36"/>
    </row>
    <row r="299" spans="1:29" x14ac:dyDescent="0.25">
      <c r="A299" s="36"/>
      <c r="B299" s="36"/>
      <c r="C299" s="36"/>
      <c r="D299" s="36"/>
      <c r="E299" s="36"/>
      <c r="F299" s="36"/>
      <c r="G299" s="36"/>
      <c r="H299" s="36"/>
      <c r="I299" s="36"/>
      <c r="J299" s="36"/>
      <c r="K299" s="36"/>
      <c r="L299" s="37"/>
      <c r="M299" s="37"/>
      <c r="N299" s="37"/>
      <c r="O299" s="37"/>
      <c r="P299" s="36"/>
      <c r="Q299" s="38"/>
      <c r="R299" s="36"/>
      <c r="S299" s="36"/>
      <c r="T299" s="36"/>
      <c r="U299" s="36"/>
      <c r="V299" s="36"/>
      <c r="W299" s="36"/>
      <c r="X299" s="39"/>
      <c r="Y299" s="37"/>
      <c r="Z299" s="39"/>
      <c r="AA299" s="36"/>
      <c r="AB299" s="36"/>
      <c r="AC299" s="36"/>
    </row>
    <row r="300" spans="1:29" x14ac:dyDescent="0.25">
      <c r="A300" s="36"/>
      <c r="B300" s="36"/>
      <c r="C300" s="36"/>
      <c r="D300" s="36"/>
      <c r="E300" s="36"/>
      <c r="F300" s="36"/>
      <c r="G300" s="36"/>
      <c r="H300" s="36"/>
      <c r="I300" s="36"/>
      <c r="J300" s="36"/>
      <c r="K300" s="36"/>
      <c r="L300" s="37"/>
      <c r="M300" s="37"/>
      <c r="N300" s="37"/>
      <c r="O300" s="37"/>
      <c r="P300" s="36"/>
      <c r="Q300" s="38"/>
      <c r="R300" s="36"/>
      <c r="S300" s="36"/>
      <c r="T300" s="36"/>
      <c r="U300" s="36"/>
      <c r="V300" s="36"/>
      <c r="W300" s="36"/>
      <c r="X300" s="39"/>
      <c r="Y300" s="37"/>
      <c r="Z300" s="39"/>
      <c r="AA300" s="36"/>
      <c r="AB300" s="36"/>
      <c r="AC300" s="36"/>
    </row>
  </sheetData>
  <autoFilter ref="A4:AC16" xr:uid="{00000000-0009-0000-0000-00000F000000}"/>
  <mergeCells count="7">
    <mergeCell ref="V3:W3"/>
    <mergeCell ref="X3:AC3"/>
    <mergeCell ref="A3:C3"/>
    <mergeCell ref="D3:H3"/>
    <mergeCell ref="I3:O3"/>
    <mergeCell ref="P3:R3"/>
    <mergeCell ref="S3:U3"/>
  </mergeCells>
  <conditionalFormatting sqref="P5:P300">
    <cfRule type="expression" dxfId="9" priority="2">
      <formula>$P5="AVL"</formula>
    </cfRule>
    <cfRule type="expression" dxfId="8" priority="3">
      <formula>$P5="Qualified"</formula>
    </cfRule>
    <cfRule type="expression" dxfId="7" priority="4">
      <formula>$P5="Prequalified"</formula>
    </cfRule>
    <cfRule type="expression" dxfId="6" priority="5">
      <formula>$P5="On Hold"</formula>
    </cfRule>
    <cfRule type="expression" dxfId="5" priority="6">
      <formula>$P5="Disqualified"</formula>
    </cfRule>
  </conditionalFormatting>
  <conditionalFormatting sqref="W5:W300">
    <cfRule type="expression" dxfId="4" priority="7">
      <formula>$W5="High"</formula>
    </cfRule>
    <cfRule type="expression" dxfId="3" priority="8">
      <formula>$W5="FEOC Review"</formula>
    </cfRule>
    <cfRule type="expression" dxfId="2" priority="9">
      <formula>$W5="Medium"</formula>
    </cfRule>
    <cfRule type="expression" dxfId="1" priority="10">
      <formula>$W5="Low"</formula>
    </cfRule>
  </conditionalFormatting>
  <conditionalFormatting sqref="Z5:Z300">
    <cfRule type="expression" dxfId="0" priority="11">
      <formula>AND($Z5&lt;&gt;"",$Z5&lt;TODAY())</formula>
    </cfRule>
  </conditionalFormatting>
  <dataValidations count="6">
    <dataValidation type="list" allowBlank="1" showErrorMessage="1" errorTitle="Invalid entry" error="Pick a value from the list (edit the Lists tab to change options)." sqref="P5:P300" xr:uid="{00000000-0002-0000-0F00-000000000000}">
      <formula1>lst_status</formula1>
      <formula2>0</formula2>
    </dataValidation>
    <dataValidation type="list" allowBlank="1" showErrorMessage="1" errorTitle="Invalid entry" error="Pick a value from the list (edit the Lists tab to change options)." sqref="R5:R300" xr:uid="{00000000-0002-0000-0F00-000001000000}">
      <formula1>lst_rfx</formula1>
      <formula2>0</formula2>
    </dataValidation>
    <dataValidation type="list" allowBlank="1" showErrorMessage="1" errorTitle="Invalid entry" error="Pick a value from the list (edit the Lists tab to change options)." sqref="T5:T300" xr:uid="{00000000-0002-0000-0F00-000002000000}">
      <formula1>lst_fin</formula1>
      <formula2>0</formula2>
    </dataValidation>
    <dataValidation type="list" allowBlank="1" showErrorMessage="1" errorTitle="Invalid entry" error="Pick a value from the list (edit the Lists tab to change options)." sqref="W5:W300" xr:uid="{00000000-0002-0000-0F00-000003000000}">
      <formula1>lst_scr</formula1>
      <formula2>0</formula2>
    </dataValidation>
    <dataValidation type="list" allowBlank="1" showErrorMessage="1" errorTitle="Invalid entry" error="Pick a value from the list (edit the Lists tab to change options)." sqref="AB5:AB300" xr:uid="{00000000-0002-0000-0F00-000004000000}">
      <formula1>lst_ver</formula1>
      <formula2>0</formula2>
    </dataValidation>
    <dataValidation type="date" operator="greaterThan" allowBlank="1" showErrorMessage="1" error="Enter a date (yyyy-mm-dd)." sqref="Q5:Q300 X5:X300 Z5:Z300" xr:uid="{00000000-0002-0000-0F00-000005000000}">
      <formula1>DATE(2020,1,1)</formula1>
      <formula2>0</formula2>
    </dataValidation>
  </dataValidations>
  <hyperlinks>
    <hyperlink ref="I5" r:id="rId1" xr:uid="{00000000-0004-0000-0F00-000000000000}"/>
    <hyperlink ref="K5" r:id="rId2" xr:uid="{00000000-0004-0000-0F00-000001000000}"/>
    <hyperlink ref="AC5" r:id="rId3" xr:uid="{00000000-0004-0000-0F00-000002000000}"/>
    <hyperlink ref="I6" r:id="rId4" xr:uid="{00000000-0004-0000-0F00-000003000000}"/>
    <hyperlink ref="K6" r:id="rId5" xr:uid="{00000000-0004-0000-0F00-000004000000}"/>
    <hyperlink ref="AC6" r:id="rId6" xr:uid="{00000000-0004-0000-0F00-000005000000}"/>
    <hyperlink ref="I7" r:id="rId7" xr:uid="{00000000-0004-0000-0F00-000006000000}"/>
    <hyperlink ref="K7" r:id="rId8" xr:uid="{00000000-0004-0000-0F00-000007000000}"/>
    <hyperlink ref="AC7" r:id="rId9" xr:uid="{00000000-0004-0000-0F00-000008000000}"/>
    <hyperlink ref="I8" r:id="rId10" xr:uid="{00000000-0004-0000-0F00-000009000000}"/>
    <hyperlink ref="K8" r:id="rId11" xr:uid="{00000000-0004-0000-0F00-00000A000000}"/>
    <hyperlink ref="AC8" r:id="rId12" xr:uid="{00000000-0004-0000-0F00-00000B000000}"/>
    <hyperlink ref="I9" r:id="rId13" xr:uid="{00000000-0004-0000-0F00-00000C000000}"/>
    <hyperlink ref="K9" r:id="rId14" xr:uid="{00000000-0004-0000-0F00-00000D000000}"/>
    <hyperlink ref="AC9" r:id="rId15" xr:uid="{00000000-0004-0000-0F00-00000E000000}"/>
    <hyperlink ref="I10" r:id="rId16" xr:uid="{00000000-0004-0000-0F00-00000F000000}"/>
    <hyperlink ref="K10" r:id="rId17" xr:uid="{00000000-0004-0000-0F00-000010000000}"/>
    <hyperlink ref="AC10" r:id="rId18" xr:uid="{00000000-0004-0000-0F00-000011000000}"/>
    <hyperlink ref="I11" r:id="rId19" xr:uid="{00000000-0004-0000-0F00-000012000000}"/>
    <hyperlink ref="K11" r:id="rId20" xr:uid="{00000000-0004-0000-0F00-000013000000}"/>
    <hyperlink ref="AC11" r:id="rId21" xr:uid="{00000000-0004-0000-0F00-000014000000}"/>
    <hyperlink ref="I12" r:id="rId22" xr:uid="{00000000-0004-0000-0F00-000015000000}"/>
    <hyperlink ref="K12" r:id="rId23" xr:uid="{00000000-0004-0000-0F00-000016000000}"/>
    <hyperlink ref="AC12" r:id="rId24" xr:uid="{00000000-0004-0000-0F00-000017000000}"/>
    <hyperlink ref="I13" r:id="rId25" xr:uid="{00000000-0004-0000-0F00-000018000000}"/>
    <hyperlink ref="K13" r:id="rId26" xr:uid="{00000000-0004-0000-0F00-000019000000}"/>
    <hyperlink ref="AC13" r:id="rId27" xr:uid="{00000000-0004-0000-0F00-00001A000000}"/>
    <hyperlink ref="I14" r:id="rId28" xr:uid="{00000000-0004-0000-0F00-00001B000000}"/>
    <hyperlink ref="AC14" r:id="rId29" xr:uid="{00000000-0004-0000-0F00-00001C000000}"/>
    <hyperlink ref="I15" r:id="rId30" xr:uid="{00000000-0004-0000-0F00-00001D000000}"/>
    <hyperlink ref="K15" r:id="rId31" xr:uid="{00000000-0004-0000-0F00-00001E000000}"/>
    <hyperlink ref="AC15" r:id="rId32" xr:uid="{00000000-0004-0000-0F00-00001F000000}"/>
    <hyperlink ref="I16" r:id="rId33" xr:uid="{00000000-0004-0000-0F00-000020000000}"/>
    <hyperlink ref="K16" r:id="rId34" xr:uid="{00000000-0004-0000-0F00-000021000000}"/>
    <hyperlink ref="AC16" r:id="rId35" xr:uid="{00000000-0004-0000-0F00-000022000000}"/>
  </hyperlinks>
  <pageMargins left="0.75" right="0.75" top="1" bottom="1" header="0.511811023622047" footer="0.511811023622047"/>
  <pageSetup paperSize="9" orientation="portrait" horizontalDpi="300" verticalDpi="300"/>
  <legacyDrawing r:id="rId3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9"/>
  <sheetViews>
    <sheetView zoomScaleNormal="100" workbookViewId="0"/>
  </sheetViews>
  <sheetFormatPr defaultColWidth="8.7109375" defaultRowHeight="15" x14ac:dyDescent="0.25"/>
  <cols>
    <col min="1" max="5" width="22" customWidth="1"/>
  </cols>
  <sheetData>
    <row r="1" spans="1:5" x14ac:dyDescent="0.25">
      <c r="A1" s="14" t="s">
        <v>106</v>
      </c>
      <c r="B1" s="14" t="s">
        <v>108</v>
      </c>
      <c r="C1" s="14" t="s">
        <v>41</v>
      </c>
      <c r="D1" s="14" t="s">
        <v>112</v>
      </c>
      <c r="E1" s="14" t="s">
        <v>117</v>
      </c>
    </row>
    <row r="2" spans="1:5" x14ac:dyDescent="0.25">
      <c r="A2" s="40" t="s">
        <v>19</v>
      </c>
      <c r="B2" s="40" t="s">
        <v>126</v>
      </c>
      <c r="C2" s="40" t="s">
        <v>1137</v>
      </c>
      <c r="D2" s="40" t="s">
        <v>1138</v>
      </c>
      <c r="E2" s="40" t="s">
        <v>131</v>
      </c>
    </row>
    <row r="3" spans="1:5" x14ac:dyDescent="0.25">
      <c r="A3" s="40" t="s">
        <v>21</v>
      </c>
      <c r="B3" s="40" t="s">
        <v>1139</v>
      </c>
      <c r="C3" s="40" t="s">
        <v>1140</v>
      </c>
      <c r="D3" s="40" t="s">
        <v>1141</v>
      </c>
      <c r="E3" s="40" t="s">
        <v>1142</v>
      </c>
    </row>
    <row r="4" spans="1:5" x14ac:dyDescent="0.25">
      <c r="A4" s="40" t="s">
        <v>23</v>
      </c>
      <c r="B4" s="40" t="s">
        <v>1143</v>
      </c>
      <c r="C4" s="40" t="s">
        <v>1144</v>
      </c>
      <c r="D4" s="40" t="s">
        <v>1145</v>
      </c>
    </row>
    <row r="5" spans="1:5" x14ac:dyDescent="0.25">
      <c r="A5" s="40" t="s">
        <v>25</v>
      </c>
      <c r="B5" s="40" t="s">
        <v>1146</v>
      </c>
      <c r="C5" s="40" t="s">
        <v>128</v>
      </c>
      <c r="D5" s="40" t="s">
        <v>68</v>
      </c>
    </row>
    <row r="6" spans="1:5" x14ac:dyDescent="0.25">
      <c r="A6" s="40" t="s">
        <v>27</v>
      </c>
      <c r="B6" s="40" t="s">
        <v>1147</v>
      </c>
      <c r="D6" s="40" t="s">
        <v>128</v>
      </c>
    </row>
    <row r="7" spans="1:5" x14ac:dyDescent="0.25">
      <c r="A7" s="40" t="s">
        <v>29</v>
      </c>
      <c r="B7" s="40" t="s">
        <v>1148</v>
      </c>
    </row>
    <row r="8" spans="1:5" x14ac:dyDescent="0.25">
      <c r="B8" s="40" t="s">
        <v>1149</v>
      </c>
    </row>
    <row r="9" spans="1:5" x14ac:dyDescent="0.25">
      <c r="B9" s="40" t="s">
        <v>1150</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23"/>
  <sheetViews>
    <sheetView tabSelected="1" zoomScaleNormal="100" workbookViewId="0">
      <pane ySplit="1" topLeftCell="A2" activePane="bottomLeft" state="frozen"/>
      <selection pane="bottomLeft"/>
    </sheetView>
  </sheetViews>
  <sheetFormatPr defaultColWidth="8.7109375" defaultRowHeight="15" x14ac:dyDescent="0.25"/>
  <cols>
    <col min="1" max="1" width="11" customWidth="1"/>
    <col min="2" max="2" width="40" customWidth="1"/>
    <col min="3" max="3" width="18" customWidth="1"/>
    <col min="4" max="4" width="100" customWidth="1"/>
  </cols>
  <sheetData>
    <row r="1" spans="1:4" x14ac:dyDescent="0.25">
      <c r="A1" s="10" t="s">
        <v>91</v>
      </c>
      <c r="B1" s="10" t="s">
        <v>58</v>
      </c>
      <c r="C1" s="10" t="s">
        <v>1151</v>
      </c>
      <c r="D1" s="10" t="s">
        <v>1152</v>
      </c>
    </row>
    <row r="2" spans="1:4" x14ac:dyDescent="0.25">
      <c r="A2" s="41" t="s">
        <v>119</v>
      </c>
      <c r="B2" s="41" t="s">
        <v>120</v>
      </c>
      <c r="C2" s="41" t="s">
        <v>73</v>
      </c>
      <c r="D2" s="42" t="s">
        <v>132</v>
      </c>
    </row>
    <row r="3" spans="1:4" x14ac:dyDescent="0.25">
      <c r="A3" s="41" t="s">
        <v>119</v>
      </c>
      <c r="B3" s="41" t="s">
        <v>120</v>
      </c>
      <c r="C3" s="41" t="s">
        <v>73</v>
      </c>
      <c r="D3" s="42" t="s">
        <v>1153</v>
      </c>
    </row>
    <row r="4" spans="1:4" x14ac:dyDescent="0.25">
      <c r="A4" s="41" t="s">
        <v>119</v>
      </c>
      <c r="B4" s="41" t="s">
        <v>120</v>
      </c>
      <c r="C4" s="41" t="s">
        <v>73</v>
      </c>
      <c r="D4" s="42" t="s">
        <v>125</v>
      </c>
    </row>
    <row r="5" spans="1:4" x14ac:dyDescent="0.25">
      <c r="A5" s="41" t="s">
        <v>133</v>
      </c>
      <c r="B5" s="41" t="s">
        <v>134</v>
      </c>
      <c r="C5" s="41" t="s">
        <v>73</v>
      </c>
      <c r="D5" s="42" t="s">
        <v>141</v>
      </c>
    </row>
    <row r="6" spans="1:4" x14ac:dyDescent="0.25">
      <c r="A6" s="41" t="s">
        <v>133</v>
      </c>
      <c r="B6" s="41" t="s">
        <v>134</v>
      </c>
      <c r="C6" s="41" t="s">
        <v>73</v>
      </c>
      <c r="D6" s="42" t="s">
        <v>1154</v>
      </c>
    </row>
    <row r="7" spans="1:4" x14ac:dyDescent="0.25">
      <c r="A7" s="41" t="s">
        <v>133</v>
      </c>
      <c r="B7" s="41" t="s">
        <v>134</v>
      </c>
      <c r="C7" s="41" t="s">
        <v>73</v>
      </c>
      <c r="D7" s="42" t="s">
        <v>1155</v>
      </c>
    </row>
    <row r="8" spans="1:4" x14ac:dyDescent="0.25">
      <c r="A8" s="41" t="s">
        <v>145</v>
      </c>
      <c r="B8" s="41" t="s">
        <v>146</v>
      </c>
      <c r="C8" s="41" t="s">
        <v>73</v>
      </c>
      <c r="D8" s="42" t="s">
        <v>156</v>
      </c>
    </row>
    <row r="9" spans="1:4" x14ac:dyDescent="0.25">
      <c r="A9" s="41" t="s">
        <v>145</v>
      </c>
      <c r="B9" s="41" t="s">
        <v>146</v>
      </c>
      <c r="C9" s="41" t="s">
        <v>73</v>
      </c>
      <c r="D9" s="42" t="s">
        <v>1156</v>
      </c>
    </row>
    <row r="10" spans="1:4" x14ac:dyDescent="0.25">
      <c r="A10" s="41" t="s">
        <v>145</v>
      </c>
      <c r="B10" s="41" t="s">
        <v>146</v>
      </c>
      <c r="C10" s="41" t="s">
        <v>73</v>
      </c>
      <c r="D10" s="42" t="s">
        <v>1157</v>
      </c>
    </row>
    <row r="11" spans="1:4" x14ac:dyDescent="0.25">
      <c r="A11" s="41" t="s">
        <v>145</v>
      </c>
      <c r="B11" s="41" t="s">
        <v>146</v>
      </c>
      <c r="C11" s="41" t="s">
        <v>73</v>
      </c>
      <c r="D11" s="42" t="s">
        <v>1158</v>
      </c>
    </row>
    <row r="12" spans="1:4" x14ac:dyDescent="0.25">
      <c r="A12" s="41" t="s">
        <v>157</v>
      </c>
      <c r="B12" s="41" t="s">
        <v>158</v>
      </c>
      <c r="C12" s="41" t="s">
        <v>73</v>
      </c>
      <c r="D12" s="42" t="s">
        <v>168</v>
      </c>
    </row>
    <row r="13" spans="1:4" x14ac:dyDescent="0.25">
      <c r="A13" s="41" t="s">
        <v>157</v>
      </c>
      <c r="B13" s="41" t="s">
        <v>158</v>
      </c>
      <c r="C13" s="41" t="s">
        <v>73</v>
      </c>
      <c r="D13" s="42" t="s">
        <v>1159</v>
      </c>
    </row>
    <row r="14" spans="1:4" x14ac:dyDescent="0.25">
      <c r="A14" s="41" t="s">
        <v>157</v>
      </c>
      <c r="B14" s="41" t="s">
        <v>158</v>
      </c>
      <c r="C14" s="41" t="s">
        <v>73</v>
      </c>
      <c r="D14" s="42" t="s">
        <v>1160</v>
      </c>
    </row>
    <row r="15" spans="1:4" x14ac:dyDescent="0.25">
      <c r="A15" s="41" t="s">
        <v>157</v>
      </c>
      <c r="B15" s="41" t="s">
        <v>158</v>
      </c>
      <c r="C15" s="41" t="s">
        <v>73</v>
      </c>
      <c r="D15" s="42" t="s">
        <v>1161</v>
      </c>
    </row>
    <row r="16" spans="1:4" x14ac:dyDescent="0.25">
      <c r="A16" s="41" t="s">
        <v>169</v>
      </c>
      <c r="B16" s="41" t="s">
        <v>170</v>
      </c>
      <c r="C16" s="41" t="s">
        <v>73</v>
      </c>
      <c r="D16" s="42" t="s">
        <v>177</v>
      </c>
    </row>
    <row r="17" spans="1:4" x14ac:dyDescent="0.25">
      <c r="A17" s="41" t="s">
        <v>169</v>
      </c>
      <c r="B17" s="41" t="s">
        <v>170</v>
      </c>
      <c r="C17" s="41" t="s">
        <v>73</v>
      </c>
      <c r="D17" s="42" t="s">
        <v>1162</v>
      </c>
    </row>
    <row r="18" spans="1:4" x14ac:dyDescent="0.25">
      <c r="A18" s="41" t="s">
        <v>169</v>
      </c>
      <c r="B18" s="41" t="s">
        <v>170</v>
      </c>
      <c r="C18" s="41" t="s">
        <v>73</v>
      </c>
      <c r="D18" s="42" t="s">
        <v>1163</v>
      </c>
    </row>
    <row r="19" spans="1:4" x14ac:dyDescent="0.25">
      <c r="A19" s="41" t="s">
        <v>169</v>
      </c>
      <c r="B19" s="41" t="s">
        <v>170</v>
      </c>
      <c r="C19" s="41" t="s">
        <v>73</v>
      </c>
      <c r="D19" s="42" t="s">
        <v>1164</v>
      </c>
    </row>
    <row r="20" spans="1:4" x14ac:dyDescent="0.25">
      <c r="A20" s="41" t="s">
        <v>169</v>
      </c>
      <c r="B20" s="41" t="s">
        <v>170</v>
      </c>
      <c r="C20" s="41" t="s">
        <v>73</v>
      </c>
      <c r="D20" s="42" t="s">
        <v>1165</v>
      </c>
    </row>
    <row r="21" spans="1:4" x14ac:dyDescent="0.25">
      <c r="A21" s="41" t="s">
        <v>169</v>
      </c>
      <c r="B21" s="41" t="s">
        <v>170</v>
      </c>
      <c r="C21" s="41" t="s">
        <v>73</v>
      </c>
      <c r="D21" s="42" t="s">
        <v>1166</v>
      </c>
    </row>
    <row r="22" spans="1:4" x14ac:dyDescent="0.25">
      <c r="A22" s="41" t="s">
        <v>181</v>
      </c>
      <c r="B22" s="41" t="s">
        <v>182</v>
      </c>
      <c r="C22" s="41" t="s">
        <v>73</v>
      </c>
      <c r="D22" s="42" t="s">
        <v>193</v>
      </c>
    </row>
    <row r="23" spans="1:4" x14ac:dyDescent="0.25">
      <c r="A23" s="41" t="s">
        <v>181</v>
      </c>
      <c r="B23" s="41" t="s">
        <v>182</v>
      </c>
      <c r="C23" s="41" t="s">
        <v>73</v>
      </c>
      <c r="D23" s="42" t="s">
        <v>1167</v>
      </c>
    </row>
    <row r="24" spans="1:4" x14ac:dyDescent="0.25">
      <c r="A24" s="41" t="s">
        <v>181</v>
      </c>
      <c r="B24" s="41" t="s">
        <v>182</v>
      </c>
      <c r="C24" s="41" t="s">
        <v>73</v>
      </c>
      <c r="D24" s="42" t="s">
        <v>1168</v>
      </c>
    </row>
    <row r="25" spans="1:4" x14ac:dyDescent="0.25">
      <c r="A25" s="41" t="s">
        <v>194</v>
      </c>
      <c r="B25" s="41" t="s">
        <v>195</v>
      </c>
      <c r="C25" s="41" t="s">
        <v>73</v>
      </c>
      <c r="D25" s="42" t="s">
        <v>206</v>
      </c>
    </row>
    <row r="26" spans="1:4" x14ac:dyDescent="0.25">
      <c r="A26" s="41" t="s">
        <v>194</v>
      </c>
      <c r="B26" s="41" t="s">
        <v>195</v>
      </c>
      <c r="C26" s="41" t="s">
        <v>73</v>
      </c>
      <c r="D26" s="42" t="s">
        <v>202</v>
      </c>
    </row>
    <row r="27" spans="1:4" x14ac:dyDescent="0.25">
      <c r="A27" s="41" t="s">
        <v>194</v>
      </c>
      <c r="B27" s="41" t="s">
        <v>195</v>
      </c>
      <c r="C27" s="41" t="s">
        <v>73</v>
      </c>
      <c r="D27" s="42" t="s">
        <v>555</v>
      </c>
    </row>
    <row r="28" spans="1:4" x14ac:dyDescent="0.25">
      <c r="A28" s="41" t="s">
        <v>194</v>
      </c>
      <c r="B28" s="41" t="s">
        <v>195</v>
      </c>
      <c r="C28" s="41" t="s">
        <v>73</v>
      </c>
      <c r="D28" s="42" t="s">
        <v>1169</v>
      </c>
    </row>
    <row r="29" spans="1:4" x14ac:dyDescent="0.25">
      <c r="A29" s="41" t="s">
        <v>207</v>
      </c>
      <c r="B29" s="41" t="s">
        <v>208</v>
      </c>
      <c r="C29" s="41" t="s">
        <v>73</v>
      </c>
      <c r="D29" s="42" t="s">
        <v>215</v>
      </c>
    </row>
    <row r="30" spans="1:4" x14ac:dyDescent="0.25">
      <c r="A30" s="41" t="s">
        <v>207</v>
      </c>
      <c r="B30" s="41" t="s">
        <v>208</v>
      </c>
      <c r="C30" s="41" t="s">
        <v>73</v>
      </c>
      <c r="D30" s="42" t="s">
        <v>1170</v>
      </c>
    </row>
    <row r="31" spans="1:4" x14ac:dyDescent="0.25">
      <c r="A31" s="41" t="s">
        <v>207</v>
      </c>
      <c r="B31" s="41" t="s">
        <v>208</v>
      </c>
      <c r="C31" s="41" t="s">
        <v>73</v>
      </c>
      <c r="D31" s="42" t="s">
        <v>1171</v>
      </c>
    </row>
    <row r="32" spans="1:4" x14ac:dyDescent="0.25">
      <c r="A32" s="41" t="s">
        <v>207</v>
      </c>
      <c r="B32" s="41" t="s">
        <v>208</v>
      </c>
      <c r="C32" s="41" t="s">
        <v>73</v>
      </c>
      <c r="D32" s="42" t="s">
        <v>1172</v>
      </c>
    </row>
    <row r="33" spans="1:4" x14ac:dyDescent="0.25">
      <c r="A33" s="41" t="s">
        <v>221</v>
      </c>
      <c r="B33" s="41" t="s">
        <v>222</v>
      </c>
      <c r="C33" s="41" t="s">
        <v>74</v>
      </c>
      <c r="D33" s="42" t="s">
        <v>232</v>
      </c>
    </row>
    <row r="34" spans="1:4" x14ac:dyDescent="0.25">
      <c r="A34" s="41" t="s">
        <v>221</v>
      </c>
      <c r="B34" s="41" t="s">
        <v>222</v>
      </c>
      <c r="C34" s="41" t="s">
        <v>74</v>
      </c>
      <c r="D34" s="42" t="s">
        <v>1173</v>
      </c>
    </row>
    <row r="35" spans="1:4" x14ac:dyDescent="0.25">
      <c r="A35" s="41" t="s">
        <v>221</v>
      </c>
      <c r="B35" s="41" t="s">
        <v>222</v>
      </c>
      <c r="C35" s="41" t="s">
        <v>74</v>
      </c>
      <c r="D35" s="42" t="s">
        <v>228</v>
      </c>
    </row>
    <row r="36" spans="1:4" x14ac:dyDescent="0.25">
      <c r="A36" s="41" t="s">
        <v>233</v>
      </c>
      <c r="B36" s="41" t="s">
        <v>195</v>
      </c>
      <c r="C36" s="41" t="s">
        <v>74</v>
      </c>
      <c r="D36" s="42" t="s">
        <v>206</v>
      </c>
    </row>
    <row r="37" spans="1:4" x14ac:dyDescent="0.25">
      <c r="A37" s="41" t="s">
        <v>233</v>
      </c>
      <c r="B37" s="41" t="s">
        <v>195</v>
      </c>
      <c r="C37" s="41" t="s">
        <v>74</v>
      </c>
      <c r="D37" s="42" t="s">
        <v>555</v>
      </c>
    </row>
    <row r="38" spans="1:4" x14ac:dyDescent="0.25">
      <c r="A38" s="41" t="s">
        <v>233</v>
      </c>
      <c r="B38" s="41" t="s">
        <v>195</v>
      </c>
      <c r="C38" s="41" t="s">
        <v>74</v>
      </c>
      <c r="D38" s="42" t="s">
        <v>1169</v>
      </c>
    </row>
    <row r="39" spans="1:4" x14ac:dyDescent="0.25">
      <c r="A39" s="41" t="s">
        <v>237</v>
      </c>
      <c r="B39" s="41" t="s">
        <v>238</v>
      </c>
      <c r="C39" s="41" t="s">
        <v>74</v>
      </c>
      <c r="D39" s="42" t="s">
        <v>243</v>
      </c>
    </row>
    <row r="40" spans="1:4" x14ac:dyDescent="0.25">
      <c r="A40" s="41" t="s">
        <v>237</v>
      </c>
      <c r="B40" s="41" t="s">
        <v>238</v>
      </c>
      <c r="C40" s="41" t="s">
        <v>74</v>
      </c>
      <c r="D40" s="42" t="s">
        <v>1174</v>
      </c>
    </row>
    <row r="41" spans="1:4" x14ac:dyDescent="0.25">
      <c r="A41" s="41" t="s">
        <v>246</v>
      </c>
      <c r="B41" s="41" t="s">
        <v>247</v>
      </c>
      <c r="C41" s="41" t="s">
        <v>74</v>
      </c>
      <c r="D41" s="42" t="s">
        <v>253</v>
      </c>
    </row>
    <row r="42" spans="1:4" x14ac:dyDescent="0.25">
      <c r="A42" s="41" t="s">
        <v>246</v>
      </c>
      <c r="B42" s="41" t="s">
        <v>247</v>
      </c>
      <c r="C42" s="41" t="s">
        <v>74</v>
      </c>
      <c r="D42" s="42" t="s">
        <v>1175</v>
      </c>
    </row>
    <row r="43" spans="1:4" x14ac:dyDescent="0.25">
      <c r="A43" s="41" t="s">
        <v>246</v>
      </c>
      <c r="B43" s="41" t="s">
        <v>247</v>
      </c>
      <c r="C43" s="41" t="s">
        <v>74</v>
      </c>
      <c r="D43" s="42" t="s">
        <v>1176</v>
      </c>
    </row>
    <row r="44" spans="1:4" x14ac:dyDescent="0.25">
      <c r="A44" s="41" t="s">
        <v>246</v>
      </c>
      <c r="B44" s="41" t="s">
        <v>247</v>
      </c>
      <c r="C44" s="41" t="s">
        <v>74</v>
      </c>
      <c r="D44" s="42" t="s">
        <v>1177</v>
      </c>
    </row>
    <row r="45" spans="1:4" x14ac:dyDescent="0.25">
      <c r="A45" s="41" t="s">
        <v>256</v>
      </c>
      <c r="B45" s="41" t="s">
        <v>257</v>
      </c>
      <c r="C45" s="41" t="s">
        <v>74</v>
      </c>
      <c r="D45" s="42" t="s">
        <v>268</v>
      </c>
    </row>
    <row r="46" spans="1:4" x14ac:dyDescent="0.25">
      <c r="A46" s="41" t="s">
        <v>256</v>
      </c>
      <c r="B46" s="41" t="s">
        <v>257</v>
      </c>
      <c r="C46" s="41" t="s">
        <v>74</v>
      </c>
      <c r="D46" s="42" t="s">
        <v>1178</v>
      </c>
    </row>
    <row r="47" spans="1:4" x14ac:dyDescent="0.25">
      <c r="A47" s="41" t="s">
        <v>256</v>
      </c>
      <c r="B47" s="41" t="s">
        <v>257</v>
      </c>
      <c r="C47" s="41" t="s">
        <v>74</v>
      </c>
      <c r="D47" s="42" t="s">
        <v>1179</v>
      </c>
    </row>
    <row r="48" spans="1:4" x14ac:dyDescent="0.25">
      <c r="A48" s="41" t="s">
        <v>256</v>
      </c>
      <c r="B48" s="41" t="s">
        <v>257</v>
      </c>
      <c r="C48" s="41" t="s">
        <v>74</v>
      </c>
      <c r="D48" s="42" t="s">
        <v>262</v>
      </c>
    </row>
    <row r="49" spans="1:4" x14ac:dyDescent="0.25">
      <c r="A49" s="41" t="s">
        <v>269</v>
      </c>
      <c r="B49" s="41" t="s">
        <v>170</v>
      </c>
      <c r="C49" s="41" t="s">
        <v>74</v>
      </c>
      <c r="D49" s="42" t="s">
        <v>177</v>
      </c>
    </row>
    <row r="50" spans="1:4" x14ac:dyDescent="0.25">
      <c r="A50" s="41" t="s">
        <v>269</v>
      </c>
      <c r="B50" s="41" t="s">
        <v>170</v>
      </c>
      <c r="C50" s="41" t="s">
        <v>74</v>
      </c>
      <c r="D50" s="42" t="s">
        <v>1162</v>
      </c>
    </row>
    <row r="51" spans="1:4" x14ac:dyDescent="0.25">
      <c r="A51" s="41" t="s">
        <v>269</v>
      </c>
      <c r="B51" s="41" t="s">
        <v>170</v>
      </c>
      <c r="C51" s="41" t="s">
        <v>74</v>
      </c>
      <c r="D51" s="42" t="s">
        <v>1180</v>
      </c>
    </row>
    <row r="52" spans="1:4" x14ac:dyDescent="0.25">
      <c r="A52" s="41" t="s">
        <v>272</v>
      </c>
      <c r="B52" s="41" t="s">
        <v>273</v>
      </c>
      <c r="C52" s="41" t="s">
        <v>74</v>
      </c>
      <c r="D52" s="42" t="s">
        <v>283</v>
      </c>
    </row>
    <row r="53" spans="1:4" x14ac:dyDescent="0.25">
      <c r="A53" s="41" t="s">
        <v>272</v>
      </c>
      <c r="B53" s="41" t="s">
        <v>273</v>
      </c>
      <c r="C53" s="41" t="s">
        <v>74</v>
      </c>
      <c r="D53" s="42" t="s">
        <v>1181</v>
      </c>
    </row>
    <row r="54" spans="1:4" x14ac:dyDescent="0.25">
      <c r="A54" s="41" t="s">
        <v>272</v>
      </c>
      <c r="B54" s="41" t="s">
        <v>273</v>
      </c>
      <c r="C54" s="41" t="s">
        <v>74</v>
      </c>
      <c r="D54" s="42" t="s">
        <v>1182</v>
      </c>
    </row>
    <row r="55" spans="1:4" x14ac:dyDescent="0.25">
      <c r="A55" s="41" t="s">
        <v>272</v>
      </c>
      <c r="B55" s="41" t="s">
        <v>273</v>
      </c>
      <c r="C55" s="41" t="s">
        <v>74</v>
      </c>
      <c r="D55" s="42" t="s">
        <v>278</v>
      </c>
    </row>
    <row r="56" spans="1:4" x14ac:dyDescent="0.25">
      <c r="A56" s="41" t="s">
        <v>286</v>
      </c>
      <c r="B56" s="41" t="s">
        <v>287</v>
      </c>
      <c r="C56" s="41" t="s">
        <v>75</v>
      </c>
      <c r="D56" s="42" t="s">
        <v>296</v>
      </c>
    </row>
    <row r="57" spans="1:4" x14ac:dyDescent="0.25">
      <c r="A57" s="41" t="s">
        <v>286</v>
      </c>
      <c r="B57" s="41" t="s">
        <v>287</v>
      </c>
      <c r="C57" s="41" t="s">
        <v>75</v>
      </c>
      <c r="D57" s="42" t="s">
        <v>293</v>
      </c>
    </row>
    <row r="58" spans="1:4" x14ac:dyDescent="0.25">
      <c r="A58" s="41" t="s">
        <v>286</v>
      </c>
      <c r="B58" s="41" t="s">
        <v>287</v>
      </c>
      <c r="C58" s="41" t="s">
        <v>75</v>
      </c>
      <c r="D58" s="42" t="s">
        <v>1183</v>
      </c>
    </row>
    <row r="59" spans="1:4" x14ac:dyDescent="0.25">
      <c r="A59" s="41" t="s">
        <v>286</v>
      </c>
      <c r="B59" s="41" t="s">
        <v>287</v>
      </c>
      <c r="C59" s="41" t="s">
        <v>75</v>
      </c>
      <c r="D59" s="42" t="s">
        <v>1184</v>
      </c>
    </row>
    <row r="60" spans="1:4" x14ac:dyDescent="0.25">
      <c r="A60" s="41" t="s">
        <v>297</v>
      </c>
      <c r="B60" s="41" t="s">
        <v>298</v>
      </c>
      <c r="C60" s="41" t="s">
        <v>75</v>
      </c>
      <c r="D60" s="42" t="s">
        <v>304</v>
      </c>
    </row>
    <row r="61" spans="1:4" x14ac:dyDescent="0.25">
      <c r="A61" s="41" t="s">
        <v>297</v>
      </c>
      <c r="B61" s="41" t="s">
        <v>298</v>
      </c>
      <c r="C61" s="41" t="s">
        <v>75</v>
      </c>
      <c r="D61" s="42" t="s">
        <v>1185</v>
      </c>
    </row>
    <row r="62" spans="1:4" x14ac:dyDescent="0.25">
      <c r="A62" s="41" t="s">
        <v>297</v>
      </c>
      <c r="B62" s="41" t="s">
        <v>298</v>
      </c>
      <c r="C62" s="41" t="s">
        <v>75</v>
      </c>
      <c r="D62" s="42" t="s">
        <v>1186</v>
      </c>
    </row>
    <row r="63" spans="1:4" x14ac:dyDescent="0.25">
      <c r="A63" s="41" t="s">
        <v>308</v>
      </c>
      <c r="B63" s="41" t="s">
        <v>273</v>
      </c>
      <c r="C63" s="41" t="s">
        <v>75</v>
      </c>
      <c r="D63" s="42" t="s">
        <v>283</v>
      </c>
    </row>
    <row r="64" spans="1:4" x14ac:dyDescent="0.25">
      <c r="A64" s="41" t="s">
        <v>308</v>
      </c>
      <c r="B64" s="41" t="s">
        <v>273</v>
      </c>
      <c r="C64" s="41" t="s">
        <v>75</v>
      </c>
      <c r="D64" s="42" t="s">
        <v>1181</v>
      </c>
    </row>
    <row r="65" spans="1:4" x14ac:dyDescent="0.25">
      <c r="A65" s="41" t="s">
        <v>311</v>
      </c>
      <c r="B65" s="41" t="s">
        <v>312</v>
      </c>
      <c r="C65" s="41" t="s">
        <v>75</v>
      </c>
      <c r="D65" s="42" t="s">
        <v>317</v>
      </c>
    </row>
    <row r="66" spans="1:4" x14ac:dyDescent="0.25">
      <c r="A66" s="41" t="s">
        <v>311</v>
      </c>
      <c r="B66" s="41" t="s">
        <v>312</v>
      </c>
      <c r="C66" s="41" t="s">
        <v>75</v>
      </c>
      <c r="D66" s="42" t="s">
        <v>1187</v>
      </c>
    </row>
    <row r="67" spans="1:4" x14ac:dyDescent="0.25">
      <c r="A67" s="41" t="s">
        <v>311</v>
      </c>
      <c r="B67" s="41" t="s">
        <v>312</v>
      </c>
      <c r="C67" s="41" t="s">
        <v>75</v>
      </c>
      <c r="D67" s="42" t="s">
        <v>1188</v>
      </c>
    </row>
    <row r="68" spans="1:4" x14ac:dyDescent="0.25">
      <c r="A68" s="41" t="s">
        <v>320</v>
      </c>
      <c r="B68" s="41" t="s">
        <v>321</v>
      </c>
      <c r="C68" s="41" t="s">
        <v>75</v>
      </c>
      <c r="D68" s="42" t="s">
        <v>330</v>
      </c>
    </row>
    <row r="69" spans="1:4" x14ac:dyDescent="0.25">
      <c r="A69" s="41" t="s">
        <v>320</v>
      </c>
      <c r="B69" s="41" t="s">
        <v>321</v>
      </c>
      <c r="C69" s="41" t="s">
        <v>75</v>
      </c>
      <c r="D69" s="42" t="s">
        <v>1189</v>
      </c>
    </row>
    <row r="70" spans="1:4" x14ac:dyDescent="0.25">
      <c r="A70" s="41" t="s">
        <v>320</v>
      </c>
      <c r="B70" s="41" t="s">
        <v>321</v>
      </c>
      <c r="C70" s="41" t="s">
        <v>75</v>
      </c>
      <c r="D70" s="42" t="s">
        <v>168</v>
      </c>
    </row>
    <row r="71" spans="1:4" x14ac:dyDescent="0.25">
      <c r="A71" s="41" t="s">
        <v>320</v>
      </c>
      <c r="B71" s="41" t="s">
        <v>321</v>
      </c>
      <c r="C71" s="41" t="s">
        <v>75</v>
      </c>
      <c r="D71" s="42" t="s">
        <v>1190</v>
      </c>
    </row>
    <row r="72" spans="1:4" x14ac:dyDescent="0.25">
      <c r="A72" s="41" t="s">
        <v>320</v>
      </c>
      <c r="B72" s="41" t="s">
        <v>321</v>
      </c>
      <c r="C72" s="41" t="s">
        <v>75</v>
      </c>
      <c r="D72" s="42" t="s">
        <v>1191</v>
      </c>
    </row>
    <row r="73" spans="1:4" x14ac:dyDescent="0.25">
      <c r="A73" s="41" t="s">
        <v>331</v>
      </c>
      <c r="B73" s="41" t="s">
        <v>332</v>
      </c>
      <c r="C73" s="41" t="s">
        <v>75</v>
      </c>
      <c r="D73" s="42" t="s">
        <v>339</v>
      </c>
    </row>
    <row r="74" spans="1:4" x14ac:dyDescent="0.25">
      <c r="A74" s="41" t="s">
        <v>331</v>
      </c>
      <c r="B74" s="41" t="s">
        <v>332</v>
      </c>
      <c r="C74" s="41" t="s">
        <v>75</v>
      </c>
      <c r="D74" s="42" t="s">
        <v>1192</v>
      </c>
    </row>
    <row r="75" spans="1:4" x14ac:dyDescent="0.25">
      <c r="A75" s="41" t="s">
        <v>342</v>
      </c>
      <c r="B75" s="41" t="s">
        <v>321</v>
      </c>
      <c r="C75" s="41" t="s">
        <v>76</v>
      </c>
      <c r="D75" s="42" t="s">
        <v>330</v>
      </c>
    </row>
    <row r="76" spans="1:4" x14ac:dyDescent="0.25">
      <c r="A76" s="41" t="s">
        <v>342</v>
      </c>
      <c r="B76" s="41" t="s">
        <v>321</v>
      </c>
      <c r="C76" s="41" t="s">
        <v>76</v>
      </c>
      <c r="D76" s="42" t="s">
        <v>1189</v>
      </c>
    </row>
    <row r="77" spans="1:4" x14ac:dyDescent="0.25">
      <c r="A77" s="41" t="s">
        <v>342</v>
      </c>
      <c r="B77" s="41" t="s">
        <v>321</v>
      </c>
      <c r="C77" s="41" t="s">
        <v>76</v>
      </c>
      <c r="D77" s="42" t="s">
        <v>1191</v>
      </c>
    </row>
    <row r="78" spans="1:4" x14ac:dyDescent="0.25">
      <c r="A78" s="41" t="s">
        <v>346</v>
      </c>
      <c r="B78" s="41" t="s">
        <v>273</v>
      </c>
      <c r="C78" s="41" t="s">
        <v>76</v>
      </c>
      <c r="D78" s="42" t="s">
        <v>283</v>
      </c>
    </row>
    <row r="79" spans="1:4" x14ac:dyDescent="0.25">
      <c r="A79" s="41" t="s">
        <v>346</v>
      </c>
      <c r="B79" s="41" t="s">
        <v>273</v>
      </c>
      <c r="C79" s="41" t="s">
        <v>76</v>
      </c>
      <c r="D79" s="42" t="s">
        <v>1181</v>
      </c>
    </row>
    <row r="80" spans="1:4" x14ac:dyDescent="0.25">
      <c r="A80" s="41" t="s">
        <v>346</v>
      </c>
      <c r="B80" s="41" t="s">
        <v>273</v>
      </c>
      <c r="C80" s="41" t="s">
        <v>76</v>
      </c>
      <c r="D80" s="42" t="s">
        <v>1193</v>
      </c>
    </row>
    <row r="81" spans="1:4" x14ac:dyDescent="0.25">
      <c r="A81" s="41" t="s">
        <v>349</v>
      </c>
      <c r="B81" s="41" t="s">
        <v>298</v>
      </c>
      <c r="C81" s="41" t="s">
        <v>76</v>
      </c>
      <c r="D81" s="42" t="s">
        <v>304</v>
      </c>
    </row>
    <row r="82" spans="1:4" x14ac:dyDescent="0.25">
      <c r="A82" s="41" t="s">
        <v>349</v>
      </c>
      <c r="B82" s="41" t="s">
        <v>298</v>
      </c>
      <c r="C82" s="41" t="s">
        <v>76</v>
      </c>
      <c r="D82" s="42" t="s">
        <v>1185</v>
      </c>
    </row>
    <row r="83" spans="1:4" x14ac:dyDescent="0.25">
      <c r="A83" s="41" t="s">
        <v>349</v>
      </c>
      <c r="B83" s="41" t="s">
        <v>298</v>
      </c>
      <c r="C83" s="41" t="s">
        <v>76</v>
      </c>
      <c r="D83" s="42" t="s">
        <v>1194</v>
      </c>
    </row>
    <row r="84" spans="1:4" x14ac:dyDescent="0.25">
      <c r="A84" s="41" t="s">
        <v>353</v>
      </c>
      <c r="B84" s="41" t="s">
        <v>312</v>
      </c>
      <c r="C84" s="41" t="s">
        <v>76</v>
      </c>
      <c r="D84" s="42" t="s">
        <v>317</v>
      </c>
    </row>
    <row r="85" spans="1:4" x14ac:dyDescent="0.25">
      <c r="A85" s="41" t="s">
        <v>353</v>
      </c>
      <c r="B85" s="41" t="s">
        <v>312</v>
      </c>
      <c r="C85" s="41" t="s">
        <v>76</v>
      </c>
      <c r="D85" s="42" t="s">
        <v>1187</v>
      </c>
    </row>
    <row r="86" spans="1:4" x14ac:dyDescent="0.25">
      <c r="A86" s="41" t="s">
        <v>356</v>
      </c>
      <c r="B86" s="41" t="s">
        <v>357</v>
      </c>
      <c r="C86" s="41" t="s">
        <v>76</v>
      </c>
      <c r="D86" s="42" t="s">
        <v>363</v>
      </c>
    </row>
    <row r="87" spans="1:4" x14ac:dyDescent="0.25">
      <c r="A87" s="41" t="s">
        <v>356</v>
      </c>
      <c r="B87" s="41" t="s">
        <v>357</v>
      </c>
      <c r="C87" s="41" t="s">
        <v>76</v>
      </c>
      <c r="D87" s="42" t="s">
        <v>1195</v>
      </c>
    </row>
    <row r="88" spans="1:4" x14ac:dyDescent="0.25">
      <c r="A88" s="41" t="s">
        <v>356</v>
      </c>
      <c r="B88" s="41" t="s">
        <v>357</v>
      </c>
      <c r="C88" s="41" t="s">
        <v>76</v>
      </c>
      <c r="D88" s="42" t="s">
        <v>1196</v>
      </c>
    </row>
    <row r="89" spans="1:4" x14ac:dyDescent="0.25">
      <c r="A89" s="41" t="s">
        <v>367</v>
      </c>
      <c r="B89" s="41" t="s">
        <v>368</v>
      </c>
      <c r="C89" s="41" t="s">
        <v>76</v>
      </c>
      <c r="D89" s="42" t="s">
        <v>374</v>
      </c>
    </row>
    <row r="90" spans="1:4" x14ac:dyDescent="0.25">
      <c r="A90" s="41" t="s">
        <v>367</v>
      </c>
      <c r="B90" s="41" t="s">
        <v>368</v>
      </c>
      <c r="C90" s="41" t="s">
        <v>76</v>
      </c>
      <c r="D90" s="42" t="s">
        <v>1161</v>
      </c>
    </row>
    <row r="91" spans="1:4" x14ac:dyDescent="0.25">
      <c r="A91" s="41" t="s">
        <v>367</v>
      </c>
      <c r="B91" s="41" t="s">
        <v>368</v>
      </c>
      <c r="C91" s="41" t="s">
        <v>76</v>
      </c>
      <c r="D91" s="42" t="s">
        <v>168</v>
      </c>
    </row>
    <row r="92" spans="1:4" x14ac:dyDescent="0.25">
      <c r="A92" s="41" t="s">
        <v>377</v>
      </c>
      <c r="B92" s="41" t="s">
        <v>378</v>
      </c>
      <c r="C92" s="41" t="s">
        <v>76</v>
      </c>
      <c r="D92" s="42" t="s">
        <v>385</v>
      </c>
    </row>
    <row r="93" spans="1:4" x14ac:dyDescent="0.25">
      <c r="A93" s="41" t="s">
        <v>377</v>
      </c>
      <c r="B93" s="41" t="s">
        <v>378</v>
      </c>
      <c r="C93" s="41" t="s">
        <v>76</v>
      </c>
      <c r="D93" s="42" t="s">
        <v>1197</v>
      </c>
    </row>
    <row r="94" spans="1:4" x14ac:dyDescent="0.25">
      <c r="A94" s="41" t="s">
        <v>377</v>
      </c>
      <c r="B94" s="41" t="s">
        <v>378</v>
      </c>
      <c r="C94" s="41" t="s">
        <v>76</v>
      </c>
      <c r="D94" s="42" t="s">
        <v>1198</v>
      </c>
    </row>
    <row r="95" spans="1:4" x14ac:dyDescent="0.25">
      <c r="A95" s="41" t="s">
        <v>386</v>
      </c>
      <c r="B95" s="41" t="s">
        <v>332</v>
      </c>
      <c r="C95" s="41" t="s">
        <v>76</v>
      </c>
      <c r="D95" s="42" t="s">
        <v>339</v>
      </c>
    </row>
    <row r="96" spans="1:4" x14ac:dyDescent="0.25">
      <c r="A96" s="41" t="s">
        <v>386</v>
      </c>
      <c r="B96" s="41" t="s">
        <v>332</v>
      </c>
      <c r="C96" s="41" t="s">
        <v>76</v>
      </c>
      <c r="D96" s="42" t="s">
        <v>1192</v>
      </c>
    </row>
    <row r="97" spans="1:4" x14ac:dyDescent="0.25">
      <c r="A97" s="41" t="s">
        <v>392</v>
      </c>
      <c r="B97" s="41" t="s">
        <v>393</v>
      </c>
      <c r="C97" s="41" t="s">
        <v>77</v>
      </c>
      <c r="D97" s="42" t="s">
        <v>398</v>
      </c>
    </row>
    <row r="98" spans="1:4" x14ac:dyDescent="0.25">
      <c r="A98" s="41" t="s">
        <v>392</v>
      </c>
      <c r="B98" s="41" t="s">
        <v>393</v>
      </c>
      <c r="C98" s="41" t="s">
        <v>77</v>
      </c>
      <c r="D98" s="42" t="s">
        <v>1199</v>
      </c>
    </row>
    <row r="99" spans="1:4" x14ac:dyDescent="0.25">
      <c r="A99" s="41" t="s">
        <v>392</v>
      </c>
      <c r="B99" s="41" t="s">
        <v>393</v>
      </c>
      <c r="C99" s="41" t="s">
        <v>77</v>
      </c>
      <c r="D99" s="42" t="s">
        <v>1200</v>
      </c>
    </row>
    <row r="100" spans="1:4" x14ac:dyDescent="0.25">
      <c r="A100" s="41" t="s">
        <v>402</v>
      </c>
      <c r="B100" s="41" t="s">
        <v>403</v>
      </c>
      <c r="C100" s="41" t="s">
        <v>77</v>
      </c>
      <c r="D100" s="42" t="s">
        <v>409</v>
      </c>
    </row>
    <row r="101" spans="1:4" x14ac:dyDescent="0.25">
      <c r="A101" s="41" t="s">
        <v>402</v>
      </c>
      <c r="B101" s="41" t="s">
        <v>403</v>
      </c>
      <c r="C101" s="41" t="s">
        <v>77</v>
      </c>
      <c r="D101" s="42" t="s">
        <v>407</v>
      </c>
    </row>
    <row r="102" spans="1:4" x14ac:dyDescent="0.25">
      <c r="A102" s="41" t="s">
        <v>402</v>
      </c>
      <c r="B102" s="41" t="s">
        <v>403</v>
      </c>
      <c r="C102" s="41" t="s">
        <v>77</v>
      </c>
      <c r="D102" s="42" t="s">
        <v>1201</v>
      </c>
    </row>
    <row r="103" spans="1:4" x14ac:dyDescent="0.25">
      <c r="A103" s="41" t="s">
        <v>402</v>
      </c>
      <c r="B103" s="41" t="s">
        <v>403</v>
      </c>
      <c r="C103" s="41" t="s">
        <v>77</v>
      </c>
      <c r="D103" s="42" t="s">
        <v>1202</v>
      </c>
    </row>
    <row r="104" spans="1:4" x14ac:dyDescent="0.25">
      <c r="A104" s="41" t="s">
        <v>410</v>
      </c>
      <c r="B104" s="41" t="s">
        <v>411</v>
      </c>
      <c r="C104" s="41" t="s">
        <v>77</v>
      </c>
      <c r="D104" s="42" t="s">
        <v>414</v>
      </c>
    </row>
    <row r="105" spans="1:4" x14ac:dyDescent="0.25">
      <c r="A105" s="41" t="s">
        <v>410</v>
      </c>
      <c r="B105" s="41" t="s">
        <v>411</v>
      </c>
      <c r="C105" s="41" t="s">
        <v>77</v>
      </c>
      <c r="D105" s="42" t="s">
        <v>1203</v>
      </c>
    </row>
    <row r="106" spans="1:4" x14ac:dyDescent="0.25">
      <c r="A106" s="41" t="s">
        <v>410</v>
      </c>
      <c r="B106" s="41" t="s">
        <v>411</v>
      </c>
      <c r="C106" s="41" t="s">
        <v>77</v>
      </c>
      <c r="D106" s="42" t="s">
        <v>416</v>
      </c>
    </row>
    <row r="107" spans="1:4" x14ac:dyDescent="0.25">
      <c r="A107" s="41" t="s">
        <v>418</v>
      </c>
      <c r="B107" s="41" t="s">
        <v>419</v>
      </c>
      <c r="C107" s="41" t="s">
        <v>77</v>
      </c>
      <c r="D107" s="42" t="s">
        <v>424</v>
      </c>
    </row>
    <row r="108" spans="1:4" x14ac:dyDescent="0.25">
      <c r="A108" s="41" t="s">
        <v>418</v>
      </c>
      <c r="B108" s="41" t="s">
        <v>419</v>
      </c>
      <c r="C108" s="41" t="s">
        <v>77</v>
      </c>
      <c r="D108" s="42" t="s">
        <v>1204</v>
      </c>
    </row>
    <row r="109" spans="1:4" x14ac:dyDescent="0.25">
      <c r="A109" s="41" t="s">
        <v>418</v>
      </c>
      <c r="B109" s="41" t="s">
        <v>419</v>
      </c>
      <c r="C109" s="41" t="s">
        <v>77</v>
      </c>
      <c r="D109" s="42" t="s">
        <v>1205</v>
      </c>
    </row>
    <row r="110" spans="1:4" x14ac:dyDescent="0.25">
      <c r="A110" s="41" t="s">
        <v>427</v>
      </c>
      <c r="B110" s="41" t="s">
        <v>428</v>
      </c>
      <c r="C110" s="41" t="s">
        <v>77</v>
      </c>
      <c r="D110" s="42" t="s">
        <v>438</v>
      </c>
    </row>
    <row r="111" spans="1:4" x14ac:dyDescent="0.25">
      <c r="A111" s="41" t="s">
        <v>427</v>
      </c>
      <c r="B111" s="41" t="s">
        <v>428</v>
      </c>
      <c r="C111" s="41" t="s">
        <v>77</v>
      </c>
      <c r="D111" s="42" t="s">
        <v>1206</v>
      </c>
    </row>
    <row r="112" spans="1:4" x14ac:dyDescent="0.25">
      <c r="A112" s="41" t="s">
        <v>427</v>
      </c>
      <c r="B112" s="41" t="s">
        <v>428</v>
      </c>
      <c r="C112" s="41" t="s">
        <v>77</v>
      </c>
      <c r="D112" s="42" t="s">
        <v>1207</v>
      </c>
    </row>
    <row r="113" spans="1:4" x14ac:dyDescent="0.25">
      <c r="A113" s="41" t="s">
        <v>427</v>
      </c>
      <c r="B113" s="41" t="s">
        <v>428</v>
      </c>
      <c r="C113" s="41" t="s">
        <v>77</v>
      </c>
      <c r="D113" s="42" t="s">
        <v>1208</v>
      </c>
    </row>
    <row r="114" spans="1:4" x14ac:dyDescent="0.25">
      <c r="A114" s="41" t="s">
        <v>439</v>
      </c>
      <c r="B114" s="41" t="s">
        <v>440</v>
      </c>
      <c r="C114" s="41" t="s">
        <v>77</v>
      </c>
      <c r="D114" s="42" t="s">
        <v>450</v>
      </c>
    </row>
    <row r="115" spans="1:4" x14ac:dyDescent="0.25">
      <c r="A115" s="41" t="s">
        <v>439</v>
      </c>
      <c r="B115" s="41" t="s">
        <v>440</v>
      </c>
      <c r="C115" s="41" t="s">
        <v>77</v>
      </c>
      <c r="D115" s="42" t="s">
        <v>1209</v>
      </c>
    </row>
    <row r="116" spans="1:4" x14ac:dyDescent="0.25">
      <c r="A116" s="41" t="s">
        <v>439</v>
      </c>
      <c r="B116" s="41" t="s">
        <v>440</v>
      </c>
      <c r="C116" s="41" t="s">
        <v>77</v>
      </c>
      <c r="D116" s="42" t="s">
        <v>1210</v>
      </c>
    </row>
    <row r="117" spans="1:4" x14ac:dyDescent="0.25">
      <c r="A117" s="41" t="s">
        <v>451</v>
      </c>
      <c r="B117" s="41" t="s">
        <v>452</v>
      </c>
      <c r="C117" s="41" t="s">
        <v>77</v>
      </c>
      <c r="D117" s="42" t="s">
        <v>460</v>
      </c>
    </row>
    <row r="118" spans="1:4" x14ac:dyDescent="0.25">
      <c r="A118" s="41" t="s">
        <v>451</v>
      </c>
      <c r="B118" s="41" t="s">
        <v>452</v>
      </c>
      <c r="C118" s="41" t="s">
        <v>77</v>
      </c>
      <c r="D118" s="42" t="s">
        <v>1211</v>
      </c>
    </row>
    <row r="119" spans="1:4" x14ac:dyDescent="0.25">
      <c r="A119" s="41" t="s">
        <v>451</v>
      </c>
      <c r="B119" s="41" t="s">
        <v>452</v>
      </c>
      <c r="C119" s="41" t="s">
        <v>77</v>
      </c>
      <c r="D119" s="42" t="s">
        <v>1212</v>
      </c>
    </row>
    <row r="120" spans="1:4" x14ac:dyDescent="0.25">
      <c r="A120" s="41" t="s">
        <v>451</v>
      </c>
      <c r="B120" s="41" t="s">
        <v>452</v>
      </c>
      <c r="C120" s="41" t="s">
        <v>77</v>
      </c>
      <c r="D120" s="42" t="s">
        <v>1213</v>
      </c>
    </row>
    <row r="121" spans="1:4" x14ac:dyDescent="0.25">
      <c r="A121" s="41" t="s">
        <v>463</v>
      </c>
      <c r="B121" s="41" t="s">
        <v>428</v>
      </c>
      <c r="C121" s="41" t="s">
        <v>78</v>
      </c>
      <c r="D121" s="42" t="s">
        <v>472</v>
      </c>
    </row>
    <row r="122" spans="1:4" x14ac:dyDescent="0.25">
      <c r="A122" s="41" t="s">
        <v>463</v>
      </c>
      <c r="B122" s="41" t="s">
        <v>428</v>
      </c>
      <c r="C122" s="41" t="s">
        <v>78</v>
      </c>
      <c r="D122" s="42" t="s">
        <v>434</v>
      </c>
    </row>
    <row r="123" spans="1:4" x14ac:dyDescent="0.25">
      <c r="A123" s="41" t="s">
        <v>463</v>
      </c>
      <c r="B123" s="41" t="s">
        <v>428</v>
      </c>
      <c r="C123" s="41" t="s">
        <v>78</v>
      </c>
      <c r="D123" s="42" t="s">
        <v>1214</v>
      </c>
    </row>
    <row r="124" spans="1:4" x14ac:dyDescent="0.25">
      <c r="A124" s="41" t="s">
        <v>463</v>
      </c>
      <c r="B124" s="41" t="s">
        <v>428</v>
      </c>
      <c r="C124" s="41" t="s">
        <v>78</v>
      </c>
      <c r="D124" s="42" t="s">
        <v>438</v>
      </c>
    </row>
    <row r="125" spans="1:4" x14ac:dyDescent="0.25">
      <c r="A125" s="41" t="s">
        <v>463</v>
      </c>
      <c r="B125" s="41" t="s">
        <v>428</v>
      </c>
      <c r="C125" s="41" t="s">
        <v>78</v>
      </c>
      <c r="D125" s="42" t="s">
        <v>1215</v>
      </c>
    </row>
    <row r="126" spans="1:4" x14ac:dyDescent="0.25">
      <c r="A126" s="41" t="s">
        <v>473</v>
      </c>
      <c r="B126" s="41" t="s">
        <v>474</v>
      </c>
      <c r="C126" s="41" t="s">
        <v>78</v>
      </c>
      <c r="D126" s="42" t="s">
        <v>484</v>
      </c>
    </row>
    <row r="127" spans="1:4" x14ac:dyDescent="0.25">
      <c r="A127" s="41" t="s">
        <v>473</v>
      </c>
      <c r="B127" s="41" t="s">
        <v>474</v>
      </c>
      <c r="C127" s="41" t="s">
        <v>78</v>
      </c>
      <c r="D127" s="42" t="s">
        <v>480</v>
      </c>
    </row>
    <row r="128" spans="1:4" x14ac:dyDescent="0.25">
      <c r="A128" s="41" t="s">
        <v>473</v>
      </c>
      <c r="B128" s="41" t="s">
        <v>474</v>
      </c>
      <c r="C128" s="41" t="s">
        <v>78</v>
      </c>
      <c r="D128" s="42" t="s">
        <v>1216</v>
      </c>
    </row>
    <row r="129" spans="1:4" x14ac:dyDescent="0.25">
      <c r="A129" s="41" t="s">
        <v>485</v>
      </c>
      <c r="B129" s="41" t="s">
        <v>312</v>
      </c>
      <c r="C129" s="41" t="s">
        <v>78</v>
      </c>
      <c r="D129" s="42" t="s">
        <v>492</v>
      </c>
    </row>
    <row r="130" spans="1:4" x14ac:dyDescent="0.25">
      <c r="A130" s="41" t="s">
        <v>485</v>
      </c>
      <c r="B130" s="41" t="s">
        <v>312</v>
      </c>
      <c r="C130" s="41" t="s">
        <v>78</v>
      </c>
      <c r="D130" s="42" t="s">
        <v>317</v>
      </c>
    </row>
    <row r="131" spans="1:4" x14ac:dyDescent="0.25">
      <c r="A131" s="41" t="s">
        <v>485</v>
      </c>
      <c r="B131" s="41" t="s">
        <v>312</v>
      </c>
      <c r="C131" s="41" t="s">
        <v>78</v>
      </c>
      <c r="D131" s="42" t="s">
        <v>1217</v>
      </c>
    </row>
    <row r="132" spans="1:4" x14ac:dyDescent="0.25">
      <c r="A132" s="41" t="s">
        <v>485</v>
      </c>
      <c r="B132" s="41" t="s">
        <v>312</v>
      </c>
      <c r="C132" s="41" t="s">
        <v>78</v>
      </c>
      <c r="D132" s="42" t="s">
        <v>1218</v>
      </c>
    </row>
    <row r="133" spans="1:4" x14ac:dyDescent="0.25">
      <c r="A133" s="41" t="s">
        <v>485</v>
      </c>
      <c r="B133" s="41" t="s">
        <v>312</v>
      </c>
      <c r="C133" s="41" t="s">
        <v>78</v>
      </c>
      <c r="D133" s="42" t="s">
        <v>1219</v>
      </c>
    </row>
    <row r="134" spans="1:4" x14ac:dyDescent="0.25">
      <c r="A134" s="41" t="s">
        <v>485</v>
      </c>
      <c r="B134" s="41" t="s">
        <v>312</v>
      </c>
      <c r="C134" s="41" t="s">
        <v>78</v>
      </c>
      <c r="D134" s="42" t="s">
        <v>1187</v>
      </c>
    </row>
    <row r="135" spans="1:4" x14ac:dyDescent="0.25">
      <c r="A135" s="41" t="s">
        <v>493</v>
      </c>
      <c r="B135" s="41" t="s">
        <v>298</v>
      </c>
      <c r="C135" s="41" t="s">
        <v>78</v>
      </c>
      <c r="D135" s="42" t="s">
        <v>304</v>
      </c>
    </row>
    <row r="136" spans="1:4" x14ac:dyDescent="0.25">
      <c r="A136" s="41" t="s">
        <v>493</v>
      </c>
      <c r="B136" s="41" t="s">
        <v>298</v>
      </c>
      <c r="C136" s="41" t="s">
        <v>78</v>
      </c>
      <c r="D136" s="42" t="s">
        <v>1220</v>
      </c>
    </row>
    <row r="137" spans="1:4" x14ac:dyDescent="0.25">
      <c r="A137" s="41" t="s">
        <v>493</v>
      </c>
      <c r="B137" s="41" t="s">
        <v>298</v>
      </c>
      <c r="C137" s="41" t="s">
        <v>78</v>
      </c>
      <c r="D137" s="42" t="s">
        <v>1221</v>
      </c>
    </row>
    <row r="138" spans="1:4" x14ac:dyDescent="0.25">
      <c r="A138" s="41" t="s">
        <v>500</v>
      </c>
      <c r="B138" s="41" t="s">
        <v>501</v>
      </c>
      <c r="C138" s="41" t="s">
        <v>78</v>
      </c>
      <c r="D138" s="42" t="s">
        <v>508</v>
      </c>
    </row>
    <row r="139" spans="1:4" x14ac:dyDescent="0.25">
      <c r="A139" s="41" t="s">
        <v>500</v>
      </c>
      <c r="B139" s="41" t="s">
        <v>501</v>
      </c>
      <c r="C139" s="41" t="s">
        <v>78</v>
      </c>
      <c r="D139" s="42" t="s">
        <v>1222</v>
      </c>
    </row>
    <row r="140" spans="1:4" x14ac:dyDescent="0.25">
      <c r="A140" s="41" t="s">
        <v>500</v>
      </c>
      <c r="B140" s="41" t="s">
        <v>501</v>
      </c>
      <c r="C140" s="41" t="s">
        <v>78</v>
      </c>
      <c r="D140" s="42" t="s">
        <v>1223</v>
      </c>
    </row>
    <row r="141" spans="1:4" x14ac:dyDescent="0.25">
      <c r="A141" s="41" t="s">
        <v>509</v>
      </c>
      <c r="B141" s="41" t="s">
        <v>510</v>
      </c>
      <c r="C141" s="41" t="s">
        <v>78</v>
      </c>
      <c r="D141" s="42" t="s">
        <v>516</v>
      </c>
    </row>
    <row r="142" spans="1:4" x14ac:dyDescent="0.25">
      <c r="A142" s="41" t="s">
        <v>509</v>
      </c>
      <c r="B142" s="41" t="s">
        <v>510</v>
      </c>
      <c r="C142" s="41" t="s">
        <v>78</v>
      </c>
      <c r="D142" s="42" t="s">
        <v>232</v>
      </c>
    </row>
    <row r="143" spans="1:4" x14ac:dyDescent="0.25">
      <c r="A143" s="41" t="s">
        <v>509</v>
      </c>
      <c r="B143" s="41" t="s">
        <v>510</v>
      </c>
      <c r="C143" s="41" t="s">
        <v>78</v>
      </c>
      <c r="D143" s="42" t="s">
        <v>1224</v>
      </c>
    </row>
    <row r="144" spans="1:4" x14ac:dyDescent="0.25">
      <c r="A144" s="41" t="s">
        <v>517</v>
      </c>
      <c r="B144" s="41" t="s">
        <v>518</v>
      </c>
      <c r="C144" s="41" t="s">
        <v>78</v>
      </c>
      <c r="D144" s="42" t="s">
        <v>529</v>
      </c>
    </row>
    <row r="145" spans="1:4" x14ac:dyDescent="0.25">
      <c r="A145" s="41" t="s">
        <v>517</v>
      </c>
      <c r="B145" s="41" t="s">
        <v>518</v>
      </c>
      <c r="C145" s="41" t="s">
        <v>78</v>
      </c>
      <c r="D145" s="42" t="s">
        <v>525</v>
      </c>
    </row>
    <row r="146" spans="1:4" x14ac:dyDescent="0.25">
      <c r="A146" s="41" t="s">
        <v>517</v>
      </c>
      <c r="B146" s="41" t="s">
        <v>518</v>
      </c>
      <c r="C146" s="41" t="s">
        <v>78</v>
      </c>
      <c r="D146" s="42" t="s">
        <v>1225</v>
      </c>
    </row>
    <row r="147" spans="1:4" x14ac:dyDescent="0.25">
      <c r="A147" s="41" t="s">
        <v>532</v>
      </c>
      <c r="B147" s="41" t="s">
        <v>273</v>
      </c>
      <c r="C147" s="41" t="s">
        <v>79</v>
      </c>
      <c r="D147" s="42" t="s">
        <v>278</v>
      </c>
    </row>
    <row r="148" spans="1:4" x14ac:dyDescent="0.25">
      <c r="A148" s="41" t="s">
        <v>532</v>
      </c>
      <c r="B148" s="41" t="s">
        <v>273</v>
      </c>
      <c r="C148" s="41" t="s">
        <v>79</v>
      </c>
      <c r="D148" s="42" t="s">
        <v>1226</v>
      </c>
    </row>
    <row r="149" spans="1:4" x14ac:dyDescent="0.25">
      <c r="A149" s="41" t="s">
        <v>532</v>
      </c>
      <c r="B149" s="41" t="s">
        <v>273</v>
      </c>
      <c r="C149" s="41" t="s">
        <v>79</v>
      </c>
      <c r="D149" s="42" t="s">
        <v>1181</v>
      </c>
    </row>
    <row r="150" spans="1:4" x14ac:dyDescent="0.25">
      <c r="A150" s="41" t="s">
        <v>532</v>
      </c>
      <c r="B150" s="41" t="s">
        <v>273</v>
      </c>
      <c r="C150" s="41" t="s">
        <v>79</v>
      </c>
      <c r="D150" s="42" t="s">
        <v>982</v>
      </c>
    </row>
    <row r="151" spans="1:4" x14ac:dyDescent="0.25">
      <c r="A151" s="41" t="s">
        <v>532</v>
      </c>
      <c r="B151" s="41" t="s">
        <v>273</v>
      </c>
      <c r="C151" s="41" t="s">
        <v>79</v>
      </c>
      <c r="D151" s="42" t="s">
        <v>1227</v>
      </c>
    </row>
    <row r="152" spans="1:4" x14ac:dyDescent="0.25">
      <c r="A152" s="41" t="s">
        <v>537</v>
      </c>
      <c r="B152" s="41" t="s">
        <v>298</v>
      </c>
      <c r="C152" s="41" t="s">
        <v>79</v>
      </c>
      <c r="D152" s="42" t="s">
        <v>304</v>
      </c>
    </row>
    <row r="153" spans="1:4" x14ac:dyDescent="0.25">
      <c r="A153" s="41" t="s">
        <v>537</v>
      </c>
      <c r="B153" s="41" t="s">
        <v>298</v>
      </c>
      <c r="C153" s="41" t="s">
        <v>79</v>
      </c>
      <c r="D153" s="42" t="s">
        <v>1220</v>
      </c>
    </row>
    <row r="154" spans="1:4" x14ac:dyDescent="0.25">
      <c r="A154" s="41" t="s">
        <v>540</v>
      </c>
      <c r="B154" s="41" t="s">
        <v>541</v>
      </c>
      <c r="C154" s="41" t="s">
        <v>79</v>
      </c>
      <c r="D154" s="42" t="s">
        <v>547</v>
      </c>
    </row>
    <row r="155" spans="1:4" x14ac:dyDescent="0.25">
      <c r="A155" s="41" t="s">
        <v>540</v>
      </c>
      <c r="B155" s="41" t="s">
        <v>541</v>
      </c>
      <c r="C155" s="41" t="s">
        <v>79</v>
      </c>
      <c r="D155" s="42" t="s">
        <v>1228</v>
      </c>
    </row>
    <row r="156" spans="1:4" x14ac:dyDescent="0.25">
      <c r="A156" s="41" t="s">
        <v>540</v>
      </c>
      <c r="B156" s="41" t="s">
        <v>541</v>
      </c>
      <c r="C156" s="41" t="s">
        <v>79</v>
      </c>
      <c r="D156" s="42" t="s">
        <v>1229</v>
      </c>
    </row>
    <row r="157" spans="1:4" x14ac:dyDescent="0.25">
      <c r="A157" s="41" t="s">
        <v>548</v>
      </c>
      <c r="B157" s="41" t="s">
        <v>195</v>
      </c>
      <c r="C157" s="41" t="s">
        <v>79</v>
      </c>
      <c r="D157" s="42" t="s">
        <v>555</v>
      </c>
    </row>
    <row r="158" spans="1:4" x14ac:dyDescent="0.25">
      <c r="A158" s="41" t="s">
        <v>548</v>
      </c>
      <c r="B158" s="41" t="s">
        <v>195</v>
      </c>
      <c r="C158" s="41" t="s">
        <v>79</v>
      </c>
      <c r="D158" s="42" t="s">
        <v>206</v>
      </c>
    </row>
    <row r="159" spans="1:4" x14ac:dyDescent="0.25">
      <c r="A159" s="41" t="s">
        <v>548</v>
      </c>
      <c r="B159" s="41" t="s">
        <v>195</v>
      </c>
      <c r="C159" s="41" t="s">
        <v>79</v>
      </c>
      <c r="D159" s="42" t="s">
        <v>1230</v>
      </c>
    </row>
    <row r="160" spans="1:4" x14ac:dyDescent="0.25">
      <c r="A160" s="41" t="s">
        <v>548</v>
      </c>
      <c r="B160" s="41" t="s">
        <v>195</v>
      </c>
      <c r="C160" s="41" t="s">
        <v>79</v>
      </c>
      <c r="D160" s="42" t="s">
        <v>1231</v>
      </c>
    </row>
    <row r="161" spans="1:4" x14ac:dyDescent="0.25">
      <c r="A161" s="41" t="s">
        <v>556</v>
      </c>
      <c r="B161" s="41" t="s">
        <v>312</v>
      </c>
      <c r="C161" s="41" t="s">
        <v>79</v>
      </c>
      <c r="D161" s="42" t="s">
        <v>492</v>
      </c>
    </row>
    <row r="162" spans="1:4" x14ac:dyDescent="0.25">
      <c r="A162" s="41" t="s">
        <v>556</v>
      </c>
      <c r="B162" s="41" t="s">
        <v>312</v>
      </c>
      <c r="C162" s="41" t="s">
        <v>79</v>
      </c>
      <c r="D162" s="42" t="s">
        <v>1232</v>
      </c>
    </row>
    <row r="163" spans="1:4" x14ac:dyDescent="0.25">
      <c r="A163" s="41" t="s">
        <v>556</v>
      </c>
      <c r="B163" s="41" t="s">
        <v>312</v>
      </c>
      <c r="C163" s="41" t="s">
        <v>79</v>
      </c>
      <c r="D163" s="42" t="s">
        <v>1187</v>
      </c>
    </row>
    <row r="164" spans="1:4" x14ac:dyDescent="0.25">
      <c r="A164" s="41" t="s">
        <v>560</v>
      </c>
      <c r="B164" s="41" t="s">
        <v>510</v>
      </c>
      <c r="C164" s="41" t="s">
        <v>79</v>
      </c>
      <c r="D164" s="42" t="s">
        <v>516</v>
      </c>
    </row>
    <row r="165" spans="1:4" x14ac:dyDescent="0.25">
      <c r="A165" s="41" t="s">
        <v>560</v>
      </c>
      <c r="B165" s="41" t="s">
        <v>510</v>
      </c>
      <c r="C165" s="41" t="s">
        <v>79</v>
      </c>
      <c r="D165" s="42" t="s">
        <v>232</v>
      </c>
    </row>
    <row r="166" spans="1:4" x14ac:dyDescent="0.25">
      <c r="A166" s="41" t="s">
        <v>562</v>
      </c>
      <c r="B166" s="41" t="s">
        <v>563</v>
      </c>
      <c r="C166" s="41" t="s">
        <v>79</v>
      </c>
      <c r="D166" s="42" t="s">
        <v>570</v>
      </c>
    </row>
    <row r="167" spans="1:4" x14ac:dyDescent="0.25">
      <c r="A167" s="41" t="s">
        <v>562</v>
      </c>
      <c r="B167" s="41" t="s">
        <v>563</v>
      </c>
      <c r="C167" s="41" t="s">
        <v>79</v>
      </c>
      <c r="D167" s="42" t="s">
        <v>1179</v>
      </c>
    </row>
    <row r="168" spans="1:4" x14ac:dyDescent="0.25">
      <c r="A168" s="41" t="s">
        <v>562</v>
      </c>
      <c r="B168" s="41" t="s">
        <v>563</v>
      </c>
      <c r="C168" s="41" t="s">
        <v>79</v>
      </c>
      <c r="D168" s="42" t="s">
        <v>1233</v>
      </c>
    </row>
    <row r="169" spans="1:4" x14ac:dyDescent="0.25">
      <c r="A169" s="41" t="s">
        <v>562</v>
      </c>
      <c r="B169" s="41" t="s">
        <v>563</v>
      </c>
      <c r="C169" s="41" t="s">
        <v>79</v>
      </c>
      <c r="D169" s="42" t="s">
        <v>1234</v>
      </c>
    </row>
    <row r="170" spans="1:4" x14ac:dyDescent="0.25">
      <c r="A170" s="41" t="s">
        <v>573</v>
      </c>
      <c r="B170" s="41" t="s">
        <v>428</v>
      </c>
      <c r="C170" s="41" t="s">
        <v>80</v>
      </c>
      <c r="D170" s="42" t="s">
        <v>577</v>
      </c>
    </row>
    <row r="171" spans="1:4" x14ac:dyDescent="0.25">
      <c r="A171" s="41" t="s">
        <v>573</v>
      </c>
      <c r="B171" s="41" t="s">
        <v>428</v>
      </c>
      <c r="C171" s="41" t="s">
        <v>80</v>
      </c>
      <c r="D171" s="42" t="s">
        <v>1235</v>
      </c>
    </row>
    <row r="172" spans="1:4" x14ac:dyDescent="0.25">
      <c r="A172" s="41" t="s">
        <v>578</v>
      </c>
      <c r="B172" s="41" t="s">
        <v>474</v>
      </c>
      <c r="C172" s="41" t="s">
        <v>80</v>
      </c>
      <c r="D172" s="42" t="s">
        <v>584</v>
      </c>
    </row>
    <row r="173" spans="1:4" x14ac:dyDescent="0.25">
      <c r="A173" s="41" t="s">
        <v>578</v>
      </c>
      <c r="B173" s="41" t="s">
        <v>474</v>
      </c>
      <c r="C173" s="41" t="s">
        <v>80</v>
      </c>
      <c r="D173" s="42" t="s">
        <v>480</v>
      </c>
    </row>
    <row r="174" spans="1:4" x14ac:dyDescent="0.25">
      <c r="A174" s="41" t="s">
        <v>578</v>
      </c>
      <c r="B174" s="41" t="s">
        <v>474</v>
      </c>
      <c r="C174" s="41" t="s">
        <v>80</v>
      </c>
      <c r="D174" s="42" t="s">
        <v>1216</v>
      </c>
    </row>
    <row r="175" spans="1:4" x14ac:dyDescent="0.25">
      <c r="A175" s="41" t="s">
        <v>585</v>
      </c>
      <c r="B175" s="41" t="s">
        <v>586</v>
      </c>
      <c r="C175" s="41" t="s">
        <v>80</v>
      </c>
      <c r="D175" s="42" t="s">
        <v>592</v>
      </c>
    </row>
    <row r="176" spans="1:4" x14ac:dyDescent="0.25">
      <c r="A176" s="41" t="s">
        <v>585</v>
      </c>
      <c r="B176" s="41" t="s">
        <v>586</v>
      </c>
      <c r="C176" s="41" t="s">
        <v>80</v>
      </c>
      <c r="D176" s="42" t="s">
        <v>1236</v>
      </c>
    </row>
    <row r="177" spans="1:4" x14ac:dyDescent="0.25">
      <c r="A177" s="41" t="s">
        <v>585</v>
      </c>
      <c r="B177" s="41" t="s">
        <v>586</v>
      </c>
      <c r="C177" s="41" t="s">
        <v>80</v>
      </c>
      <c r="D177" s="42" t="s">
        <v>590</v>
      </c>
    </row>
    <row r="178" spans="1:4" x14ac:dyDescent="0.25">
      <c r="A178" s="41" t="s">
        <v>593</v>
      </c>
      <c r="B178" s="41" t="s">
        <v>298</v>
      </c>
      <c r="C178" s="41" t="s">
        <v>80</v>
      </c>
      <c r="D178" s="42" t="s">
        <v>596</v>
      </c>
    </row>
    <row r="179" spans="1:4" x14ac:dyDescent="0.25">
      <c r="A179" s="41" t="s">
        <v>593</v>
      </c>
      <c r="B179" s="41" t="s">
        <v>298</v>
      </c>
      <c r="C179" s="41" t="s">
        <v>80</v>
      </c>
      <c r="D179" s="42" t="s">
        <v>304</v>
      </c>
    </row>
    <row r="180" spans="1:4" x14ac:dyDescent="0.25">
      <c r="A180" s="41" t="s">
        <v>597</v>
      </c>
      <c r="B180" s="41" t="s">
        <v>518</v>
      </c>
      <c r="C180" s="41" t="s">
        <v>80</v>
      </c>
      <c r="D180" s="42" t="s">
        <v>600</v>
      </c>
    </row>
    <row r="181" spans="1:4" x14ac:dyDescent="0.25">
      <c r="A181" s="41" t="s">
        <v>597</v>
      </c>
      <c r="B181" s="41" t="s">
        <v>518</v>
      </c>
      <c r="C181" s="41" t="s">
        <v>80</v>
      </c>
      <c r="D181" s="42" t="s">
        <v>525</v>
      </c>
    </row>
    <row r="182" spans="1:4" x14ac:dyDescent="0.25">
      <c r="A182" s="41" t="s">
        <v>597</v>
      </c>
      <c r="B182" s="41" t="s">
        <v>518</v>
      </c>
      <c r="C182" s="41" t="s">
        <v>80</v>
      </c>
      <c r="D182" s="42" t="s">
        <v>529</v>
      </c>
    </row>
    <row r="183" spans="1:4" x14ac:dyDescent="0.25">
      <c r="A183" s="41" t="s">
        <v>601</v>
      </c>
      <c r="B183" s="41" t="s">
        <v>602</v>
      </c>
      <c r="C183" s="41" t="s">
        <v>80</v>
      </c>
      <c r="D183" s="42" t="s">
        <v>608</v>
      </c>
    </row>
    <row r="184" spans="1:4" x14ac:dyDescent="0.25">
      <c r="A184" s="41" t="s">
        <v>601</v>
      </c>
      <c r="B184" s="41" t="s">
        <v>602</v>
      </c>
      <c r="C184" s="41" t="s">
        <v>80</v>
      </c>
      <c r="D184" s="42" t="s">
        <v>1237</v>
      </c>
    </row>
    <row r="185" spans="1:4" x14ac:dyDescent="0.25">
      <c r="A185" s="41" t="s">
        <v>612</v>
      </c>
      <c r="B185" s="41" t="s">
        <v>613</v>
      </c>
      <c r="C185" s="41" t="s">
        <v>81</v>
      </c>
      <c r="D185" s="42" t="s">
        <v>616</v>
      </c>
    </row>
    <row r="186" spans="1:4" x14ac:dyDescent="0.25">
      <c r="A186" s="41" t="s">
        <v>612</v>
      </c>
      <c r="B186" s="41" t="s">
        <v>613</v>
      </c>
      <c r="C186" s="41" t="s">
        <v>81</v>
      </c>
      <c r="D186" s="42" t="s">
        <v>1238</v>
      </c>
    </row>
    <row r="187" spans="1:4" x14ac:dyDescent="0.25">
      <c r="A187" s="41" t="s">
        <v>612</v>
      </c>
      <c r="B187" s="41" t="s">
        <v>613</v>
      </c>
      <c r="C187" s="41" t="s">
        <v>81</v>
      </c>
      <c r="D187" s="42" t="s">
        <v>1239</v>
      </c>
    </row>
    <row r="188" spans="1:4" x14ac:dyDescent="0.25">
      <c r="A188" s="41" t="s">
        <v>620</v>
      </c>
      <c r="B188" s="41" t="s">
        <v>621</v>
      </c>
      <c r="C188" s="41" t="s">
        <v>81</v>
      </c>
      <c r="D188" s="42" t="s">
        <v>628</v>
      </c>
    </row>
    <row r="189" spans="1:4" x14ac:dyDescent="0.25">
      <c r="A189" s="41" t="s">
        <v>620</v>
      </c>
      <c r="B189" s="41" t="s">
        <v>621</v>
      </c>
      <c r="C189" s="41" t="s">
        <v>81</v>
      </c>
      <c r="D189" s="42" t="s">
        <v>1240</v>
      </c>
    </row>
    <row r="190" spans="1:4" x14ac:dyDescent="0.25">
      <c r="A190" s="41" t="s">
        <v>629</v>
      </c>
      <c r="B190" s="41" t="s">
        <v>630</v>
      </c>
      <c r="C190" s="41" t="s">
        <v>81</v>
      </c>
      <c r="D190" s="42" t="s">
        <v>642</v>
      </c>
    </row>
    <row r="191" spans="1:4" x14ac:dyDescent="0.25">
      <c r="A191" s="41" t="s">
        <v>629</v>
      </c>
      <c r="B191" s="41" t="s">
        <v>630</v>
      </c>
      <c r="C191" s="41" t="s">
        <v>81</v>
      </c>
      <c r="D191" s="42" t="s">
        <v>638</v>
      </c>
    </row>
    <row r="192" spans="1:4" x14ac:dyDescent="0.25">
      <c r="A192" s="41" t="s">
        <v>643</v>
      </c>
      <c r="B192" s="41" t="s">
        <v>644</v>
      </c>
      <c r="C192" s="41" t="s">
        <v>81</v>
      </c>
      <c r="D192" s="42" t="s">
        <v>652</v>
      </c>
    </row>
    <row r="193" spans="1:4" x14ac:dyDescent="0.25">
      <c r="A193" s="41" t="s">
        <v>643</v>
      </c>
      <c r="B193" s="41" t="s">
        <v>644</v>
      </c>
      <c r="C193" s="41" t="s">
        <v>81</v>
      </c>
      <c r="D193" s="42" t="s">
        <v>1241</v>
      </c>
    </row>
    <row r="194" spans="1:4" x14ac:dyDescent="0.25">
      <c r="A194" s="41" t="s">
        <v>643</v>
      </c>
      <c r="B194" s="41" t="s">
        <v>644</v>
      </c>
      <c r="C194" s="41" t="s">
        <v>81</v>
      </c>
      <c r="D194" s="42" t="s">
        <v>1242</v>
      </c>
    </row>
    <row r="195" spans="1:4" x14ac:dyDescent="0.25">
      <c r="A195" s="41" t="s">
        <v>653</v>
      </c>
      <c r="B195" s="41" t="s">
        <v>654</v>
      </c>
      <c r="C195" s="41" t="s">
        <v>81</v>
      </c>
      <c r="D195" s="42" t="s">
        <v>662</v>
      </c>
    </row>
    <row r="196" spans="1:4" x14ac:dyDescent="0.25">
      <c r="A196" s="41" t="s">
        <v>653</v>
      </c>
      <c r="B196" s="41" t="s">
        <v>654</v>
      </c>
      <c r="C196" s="41" t="s">
        <v>81</v>
      </c>
      <c r="D196" s="42" t="s">
        <v>1243</v>
      </c>
    </row>
    <row r="197" spans="1:4" x14ac:dyDescent="0.25">
      <c r="A197" s="41" t="s">
        <v>663</v>
      </c>
      <c r="B197" s="41" t="s">
        <v>664</v>
      </c>
      <c r="C197" s="41" t="s">
        <v>81</v>
      </c>
      <c r="D197" s="42" t="s">
        <v>676</v>
      </c>
    </row>
    <row r="198" spans="1:4" x14ac:dyDescent="0.25">
      <c r="A198" s="41" t="s">
        <v>663</v>
      </c>
      <c r="B198" s="41" t="s">
        <v>664</v>
      </c>
      <c r="C198" s="41" t="s">
        <v>81</v>
      </c>
      <c r="D198" s="42" t="s">
        <v>672</v>
      </c>
    </row>
    <row r="199" spans="1:4" x14ac:dyDescent="0.25">
      <c r="A199" s="41" t="s">
        <v>663</v>
      </c>
      <c r="B199" s="41" t="s">
        <v>664</v>
      </c>
      <c r="C199" s="41" t="s">
        <v>81</v>
      </c>
      <c r="D199" s="42" t="s">
        <v>1244</v>
      </c>
    </row>
    <row r="200" spans="1:4" x14ac:dyDescent="0.25">
      <c r="A200" s="41" t="s">
        <v>677</v>
      </c>
      <c r="B200" s="41" t="s">
        <v>678</v>
      </c>
      <c r="C200" s="41" t="s">
        <v>81</v>
      </c>
      <c r="D200" s="42" t="s">
        <v>686</v>
      </c>
    </row>
    <row r="201" spans="1:4" x14ac:dyDescent="0.25">
      <c r="A201" s="41" t="s">
        <v>677</v>
      </c>
      <c r="B201" s="41" t="s">
        <v>678</v>
      </c>
      <c r="C201" s="41" t="s">
        <v>81</v>
      </c>
      <c r="D201" s="42" t="s">
        <v>1245</v>
      </c>
    </row>
    <row r="202" spans="1:4" x14ac:dyDescent="0.25">
      <c r="A202" s="41" t="s">
        <v>677</v>
      </c>
      <c r="B202" s="41" t="s">
        <v>678</v>
      </c>
      <c r="C202" s="41" t="s">
        <v>81</v>
      </c>
      <c r="D202" s="42" t="s">
        <v>683</v>
      </c>
    </row>
    <row r="203" spans="1:4" x14ac:dyDescent="0.25">
      <c r="A203" s="41" t="s">
        <v>687</v>
      </c>
      <c r="B203" s="41" t="s">
        <v>688</v>
      </c>
      <c r="C203" s="41" t="s">
        <v>81</v>
      </c>
      <c r="D203" s="42" t="s">
        <v>697</v>
      </c>
    </row>
    <row r="204" spans="1:4" x14ac:dyDescent="0.25">
      <c r="A204" s="41" t="s">
        <v>687</v>
      </c>
      <c r="B204" s="41" t="s">
        <v>688</v>
      </c>
      <c r="C204" s="41" t="s">
        <v>81</v>
      </c>
      <c r="D204" s="42" t="s">
        <v>1246</v>
      </c>
    </row>
    <row r="205" spans="1:4" x14ac:dyDescent="0.25">
      <c r="A205" s="41" t="s">
        <v>698</v>
      </c>
      <c r="B205" s="41" t="s">
        <v>699</v>
      </c>
      <c r="C205" s="41" t="s">
        <v>81</v>
      </c>
      <c r="D205" s="42" t="s">
        <v>708</v>
      </c>
    </row>
    <row r="206" spans="1:4" x14ac:dyDescent="0.25">
      <c r="A206" s="41" t="s">
        <v>698</v>
      </c>
      <c r="B206" s="41" t="s">
        <v>699</v>
      </c>
      <c r="C206" s="41" t="s">
        <v>81</v>
      </c>
      <c r="D206" s="42" t="s">
        <v>1247</v>
      </c>
    </row>
    <row r="207" spans="1:4" x14ac:dyDescent="0.25">
      <c r="A207" s="41" t="s">
        <v>698</v>
      </c>
      <c r="B207" s="41" t="s">
        <v>699</v>
      </c>
      <c r="C207" s="41" t="s">
        <v>81</v>
      </c>
      <c r="D207" s="42" t="s">
        <v>704</v>
      </c>
    </row>
    <row r="208" spans="1:4" x14ac:dyDescent="0.25">
      <c r="A208" s="41" t="s">
        <v>698</v>
      </c>
      <c r="B208" s="41" t="s">
        <v>699</v>
      </c>
      <c r="C208" s="41" t="s">
        <v>81</v>
      </c>
      <c r="D208" s="42" t="s">
        <v>1248</v>
      </c>
    </row>
    <row r="209" spans="1:4" x14ac:dyDescent="0.25">
      <c r="A209" s="41" t="s">
        <v>709</v>
      </c>
      <c r="B209" s="41" t="s">
        <v>710</v>
      </c>
      <c r="C209" s="41" t="s">
        <v>81</v>
      </c>
      <c r="D209" s="42" t="s">
        <v>718</v>
      </c>
    </row>
    <row r="210" spans="1:4" x14ac:dyDescent="0.25">
      <c r="A210" s="41" t="s">
        <v>709</v>
      </c>
      <c r="B210" s="41" t="s">
        <v>710</v>
      </c>
      <c r="C210" s="41" t="s">
        <v>81</v>
      </c>
      <c r="D210" s="42" t="s">
        <v>1249</v>
      </c>
    </row>
    <row r="211" spans="1:4" x14ac:dyDescent="0.25">
      <c r="A211" s="41" t="s">
        <v>709</v>
      </c>
      <c r="B211" s="41" t="s">
        <v>710</v>
      </c>
      <c r="C211" s="41" t="s">
        <v>81</v>
      </c>
      <c r="D211" s="42" t="s">
        <v>1250</v>
      </c>
    </row>
    <row r="212" spans="1:4" x14ac:dyDescent="0.25">
      <c r="A212" s="41" t="s">
        <v>721</v>
      </c>
      <c r="B212" s="41" t="s">
        <v>722</v>
      </c>
      <c r="C212" s="41" t="s">
        <v>82</v>
      </c>
      <c r="D212" s="42" t="s">
        <v>731</v>
      </c>
    </row>
    <row r="213" spans="1:4" x14ac:dyDescent="0.25">
      <c r="A213" s="41" t="s">
        <v>721</v>
      </c>
      <c r="B213" s="41" t="s">
        <v>722</v>
      </c>
      <c r="C213" s="41" t="s">
        <v>82</v>
      </c>
      <c r="D213" s="42" t="s">
        <v>1251</v>
      </c>
    </row>
    <row r="214" spans="1:4" x14ac:dyDescent="0.25">
      <c r="A214" s="41" t="s">
        <v>721</v>
      </c>
      <c r="B214" s="41" t="s">
        <v>722</v>
      </c>
      <c r="C214" s="41" t="s">
        <v>82</v>
      </c>
      <c r="D214" s="42" t="s">
        <v>1252</v>
      </c>
    </row>
    <row r="215" spans="1:4" x14ac:dyDescent="0.25">
      <c r="A215" s="41" t="s">
        <v>732</v>
      </c>
      <c r="B215" s="41" t="s">
        <v>733</v>
      </c>
      <c r="C215" s="41" t="s">
        <v>82</v>
      </c>
      <c r="D215" s="42" t="s">
        <v>743</v>
      </c>
    </row>
    <row r="216" spans="1:4" x14ac:dyDescent="0.25">
      <c r="A216" s="41" t="s">
        <v>744</v>
      </c>
      <c r="B216" s="41" t="s">
        <v>745</v>
      </c>
      <c r="C216" s="41" t="s">
        <v>82</v>
      </c>
      <c r="D216" s="42" t="s">
        <v>754</v>
      </c>
    </row>
    <row r="217" spans="1:4" x14ac:dyDescent="0.25">
      <c r="A217" s="41" t="s">
        <v>744</v>
      </c>
      <c r="B217" s="41" t="s">
        <v>745</v>
      </c>
      <c r="C217" s="41" t="s">
        <v>82</v>
      </c>
      <c r="D217" s="42" t="s">
        <v>1253</v>
      </c>
    </row>
    <row r="218" spans="1:4" x14ac:dyDescent="0.25">
      <c r="A218" s="41" t="s">
        <v>755</v>
      </c>
      <c r="B218" s="41" t="s">
        <v>756</v>
      </c>
      <c r="C218" s="41" t="s">
        <v>82</v>
      </c>
      <c r="D218" s="42" t="s">
        <v>765</v>
      </c>
    </row>
    <row r="219" spans="1:4" x14ac:dyDescent="0.25">
      <c r="A219" s="41" t="s">
        <v>755</v>
      </c>
      <c r="B219" s="41" t="s">
        <v>756</v>
      </c>
      <c r="C219" s="41" t="s">
        <v>82</v>
      </c>
      <c r="D219" s="42" t="s">
        <v>1254</v>
      </c>
    </row>
    <row r="220" spans="1:4" x14ac:dyDescent="0.25">
      <c r="A220" s="41" t="s">
        <v>766</v>
      </c>
      <c r="B220" s="41" t="s">
        <v>767</v>
      </c>
      <c r="C220" s="41" t="s">
        <v>82</v>
      </c>
      <c r="D220" s="42" t="s">
        <v>775</v>
      </c>
    </row>
    <row r="221" spans="1:4" x14ac:dyDescent="0.25">
      <c r="A221" s="41" t="s">
        <v>766</v>
      </c>
      <c r="B221" s="41" t="s">
        <v>767</v>
      </c>
      <c r="C221" s="41" t="s">
        <v>82</v>
      </c>
      <c r="D221" s="42" t="s">
        <v>1255</v>
      </c>
    </row>
    <row r="222" spans="1:4" x14ac:dyDescent="0.25">
      <c r="A222" s="41" t="s">
        <v>766</v>
      </c>
      <c r="B222" s="41" t="s">
        <v>767</v>
      </c>
      <c r="C222" s="41" t="s">
        <v>82</v>
      </c>
      <c r="D222" s="42" t="s">
        <v>1256</v>
      </c>
    </row>
    <row r="223" spans="1:4" x14ac:dyDescent="0.25">
      <c r="A223" s="41" t="s">
        <v>776</v>
      </c>
      <c r="B223" s="41" t="s">
        <v>777</v>
      </c>
      <c r="C223" s="41" t="s">
        <v>82</v>
      </c>
      <c r="D223" s="42" t="s">
        <v>782</v>
      </c>
    </row>
    <row r="224" spans="1:4" x14ac:dyDescent="0.25">
      <c r="A224" s="41" t="s">
        <v>776</v>
      </c>
      <c r="B224" s="41" t="s">
        <v>777</v>
      </c>
      <c r="C224" s="41" t="s">
        <v>82</v>
      </c>
      <c r="D224" s="42" t="s">
        <v>1257</v>
      </c>
    </row>
    <row r="225" spans="1:4" x14ac:dyDescent="0.25">
      <c r="A225" s="41" t="s">
        <v>786</v>
      </c>
      <c r="B225" s="41" t="s">
        <v>787</v>
      </c>
      <c r="C225" s="41" t="s">
        <v>82</v>
      </c>
      <c r="D225" s="42" t="s">
        <v>795</v>
      </c>
    </row>
    <row r="226" spans="1:4" x14ac:dyDescent="0.25">
      <c r="A226" s="41" t="s">
        <v>786</v>
      </c>
      <c r="B226" s="41" t="s">
        <v>787</v>
      </c>
      <c r="C226" s="41" t="s">
        <v>82</v>
      </c>
      <c r="D226" s="42" t="s">
        <v>1258</v>
      </c>
    </row>
    <row r="227" spans="1:4" x14ac:dyDescent="0.25">
      <c r="A227" s="41" t="s">
        <v>796</v>
      </c>
      <c r="B227" s="41" t="s">
        <v>797</v>
      </c>
      <c r="C227" s="41" t="s">
        <v>82</v>
      </c>
      <c r="D227" s="42" t="s">
        <v>807</v>
      </c>
    </row>
    <row r="228" spans="1:4" x14ac:dyDescent="0.25">
      <c r="A228" s="41" t="s">
        <v>796</v>
      </c>
      <c r="B228" s="41" t="s">
        <v>797</v>
      </c>
      <c r="C228" s="41" t="s">
        <v>82</v>
      </c>
      <c r="D228" s="42" t="s">
        <v>1259</v>
      </c>
    </row>
    <row r="229" spans="1:4" x14ac:dyDescent="0.25">
      <c r="A229" s="41" t="s">
        <v>808</v>
      </c>
      <c r="B229" s="41" t="s">
        <v>809</v>
      </c>
      <c r="C229" s="41" t="s">
        <v>82</v>
      </c>
      <c r="D229" s="42" t="s">
        <v>818</v>
      </c>
    </row>
    <row r="230" spans="1:4" x14ac:dyDescent="0.25">
      <c r="A230" s="41" t="s">
        <v>808</v>
      </c>
      <c r="B230" s="41" t="s">
        <v>809</v>
      </c>
      <c r="C230" s="41" t="s">
        <v>82</v>
      </c>
      <c r="D230" s="42" t="s">
        <v>1260</v>
      </c>
    </row>
    <row r="231" spans="1:4" x14ac:dyDescent="0.25">
      <c r="A231" s="41" t="s">
        <v>808</v>
      </c>
      <c r="B231" s="41" t="s">
        <v>809</v>
      </c>
      <c r="C231" s="41" t="s">
        <v>82</v>
      </c>
      <c r="D231" s="42" t="s">
        <v>1261</v>
      </c>
    </row>
    <row r="232" spans="1:4" x14ac:dyDescent="0.25">
      <c r="A232" s="41" t="s">
        <v>819</v>
      </c>
      <c r="B232" s="41" t="s">
        <v>820</v>
      </c>
      <c r="C232" s="41" t="s">
        <v>82</v>
      </c>
      <c r="D232" s="42" t="s">
        <v>826</v>
      </c>
    </row>
    <row r="233" spans="1:4" x14ac:dyDescent="0.25">
      <c r="A233" s="41" t="s">
        <v>819</v>
      </c>
      <c r="B233" s="41" t="s">
        <v>820</v>
      </c>
      <c r="C233" s="41" t="s">
        <v>82</v>
      </c>
      <c r="D233" s="42" t="s">
        <v>1262</v>
      </c>
    </row>
    <row r="234" spans="1:4" x14ac:dyDescent="0.25">
      <c r="A234" s="41" t="s">
        <v>819</v>
      </c>
      <c r="B234" s="41" t="s">
        <v>820</v>
      </c>
      <c r="C234" s="41" t="s">
        <v>82</v>
      </c>
      <c r="D234" s="42" t="s">
        <v>1263</v>
      </c>
    </row>
    <row r="235" spans="1:4" x14ac:dyDescent="0.25">
      <c r="A235" s="41" t="s">
        <v>831</v>
      </c>
      <c r="B235" s="41" t="s">
        <v>722</v>
      </c>
      <c r="C235" s="41" t="s">
        <v>83</v>
      </c>
      <c r="D235" s="42" t="s">
        <v>835</v>
      </c>
    </row>
    <row r="236" spans="1:4" x14ac:dyDescent="0.25">
      <c r="A236" s="41" t="s">
        <v>831</v>
      </c>
      <c r="B236" s="41" t="s">
        <v>722</v>
      </c>
      <c r="C236" s="41" t="s">
        <v>83</v>
      </c>
      <c r="D236" s="42" t="s">
        <v>1264</v>
      </c>
    </row>
    <row r="237" spans="1:4" x14ac:dyDescent="0.25">
      <c r="A237" s="41" t="s">
        <v>831</v>
      </c>
      <c r="B237" s="41" t="s">
        <v>722</v>
      </c>
      <c r="C237" s="41" t="s">
        <v>83</v>
      </c>
      <c r="D237" s="42" t="s">
        <v>1251</v>
      </c>
    </row>
    <row r="238" spans="1:4" x14ac:dyDescent="0.25">
      <c r="A238" s="41" t="s">
        <v>836</v>
      </c>
      <c r="B238" s="41" t="s">
        <v>837</v>
      </c>
      <c r="C238" s="41" t="s">
        <v>83</v>
      </c>
      <c r="D238" s="42" t="s">
        <v>842</v>
      </c>
    </row>
    <row r="239" spans="1:4" x14ac:dyDescent="0.25">
      <c r="A239" s="41" t="s">
        <v>836</v>
      </c>
      <c r="B239" s="41" t="s">
        <v>837</v>
      </c>
      <c r="C239" s="41" t="s">
        <v>83</v>
      </c>
      <c r="D239" s="42" t="s">
        <v>1265</v>
      </c>
    </row>
    <row r="240" spans="1:4" x14ac:dyDescent="0.25">
      <c r="A240" s="41" t="s">
        <v>846</v>
      </c>
      <c r="B240" s="41" t="s">
        <v>847</v>
      </c>
      <c r="C240" s="41" t="s">
        <v>83</v>
      </c>
      <c r="D240" s="42" t="s">
        <v>851</v>
      </c>
    </row>
    <row r="241" spans="1:4" x14ac:dyDescent="0.25">
      <c r="A241" s="41" t="s">
        <v>846</v>
      </c>
      <c r="B241" s="41" t="s">
        <v>847</v>
      </c>
      <c r="C241" s="41" t="s">
        <v>83</v>
      </c>
      <c r="D241" s="42" t="s">
        <v>1266</v>
      </c>
    </row>
    <row r="242" spans="1:4" x14ac:dyDescent="0.25">
      <c r="A242" s="41" t="s">
        <v>846</v>
      </c>
      <c r="B242" s="41" t="s">
        <v>847</v>
      </c>
      <c r="C242" s="41" t="s">
        <v>83</v>
      </c>
      <c r="D242" s="42" t="s">
        <v>1267</v>
      </c>
    </row>
    <row r="243" spans="1:4" x14ac:dyDescent="0.25">
      <c r="A243" s="41" t="s">
        <v>855</v>
      </c>
      <c r="B243" s="41" t="s">
        <v>856</v>
      </c>
      <c r="C243" s="41" t="s">
        <v>83</v>
      </c>
      <c r="D243" s="42" t="s">
        <v>866</v>
      </c>
    </row>
    <row r="244" spans="1:4" x14ac:dyDescent="0.25">
      <c r="A244" s="41" t="s">
        <v>855</v>
      </c>
      <c r="B244" s="41" t="s">
        <v>856</v>
      </c>
      <c r="C244" s="41" t="s">
        <v>83</v>
      </c>
      <c r="D244" s="42" t="s">
        <v>1268</v>
      </c>
    </row>
    <row r="245" spans="1:4" x14ac:dyDescent="0.25">
      <c r="A245" s="41" t="s">
        <v>867</v>
      </c>
      <c r="B245" s="41" t="s">
        <v>868</v>
      </c>
      <c r="C245" s="41" t="s">
        <v>83</v>
      </c>
      <c r="D245" s="42" t="s">
        <v>875</v>
      </c>
    </row>
    <row r="246" spans="1:4" x14ac:dyDescent="0.25">
      <c r="A246" s="41" t="s">
        <v>867</v>
      </c>
      <c r="B246" s="41" t="s">
        <v>868</v>
      </c>
      <c r="C246" s="41" t="s">
        <v>83</v>
      </c>
      <c r="D246" s="42" t="s">
        <v>1269</v>
      </c>
    </row>
    <row r="247" spans="1:4" x14ac:dyDescent="0.25">
      <c r="A247" s="41" t="s">
        <v>867</v>
      </c>
      <c r="B247" s="41" t="s">
        <v>868</v>
      </c>
      <c r="C247" s="41" t="s">
        <v>83</v>
      </c>
      <c r="D247" s="42" t="s">
        <v>1270</v>
      </c>
    </row>
    <row r="248" spans="1:4" x14ac:dyDescent="0.25">
      <c r="A248" s="41" t="s">
        <v>876</v>
      </c>
      <c r="B248" s="41" t="s">
        <v>877</v>
      </c>
      <c r="C248" s="41" t="s">
        <v>83</v>
      </c>
      <c r="D248" s="42" t="s">
        <v>882</v>
      </c>
    </row>
    <row r="249" spans="1:4" x14ac:dyDescent="0.25">
      <c r="A249" s="41" t="s">
        <v>884</v>
      </c>
      <c r="B249" s="41" t="s">
        <v>733</v>
      </c>
      <c r="C249" s="41" t="s">
        <v>84</v>
      </c>
      <c r="D249" s="42" t="s">
        <v>888</v>
      </c>
    </row>
    <row r="250" spans="1:4" x14ac:dyDescent="0.25">
      <c r="A250" s="41" t="s">
        <v>884</v>
      </c>
      <c r="B250" s="41" t="s">
        <v>733</v>
      </c>
      <c r="C250" s="41" t="s">
        <v>84</v>
      </c>
      <c r="D250" s="42" t="s">
        <v>743</v>
      </c>
    </row>
    <row r="251" spans="1:4" x14ac:dyDescent="0.25">
      <c r="A251" s="41" t="s">
        <v>889</v>
      </c>
      <c r="B251" s="41" t="s">
        <v>890</v>
      </c>
      <c r="C251" s="41" t="s">
        <v>84</v>
      </c>
      <c r="D251" s="42" t="s">
        <v>899</v>
      </c>
    </row>
    <row r="252" spans="1:4" x14ac:dyDescent="0.25">
      <c r="A252" s="41" t="s">
        <v>889</v>
      </c>
      <c r="B252" s="41" t="s">
        <v>890</v>
      </c>
      <c r="C252" s="41" t="s">
        <v>84</v>
      </c>
      <c r="D252" s="42" t="s">
        <v>1271</v>
      </c>
    </row>
    <row r="253" spans="1:4" x14ac:dyDescent="0.25">
      <c r="A253" s="41" t="s">
        <v>900</v>
      </c>
      <c r="B253" s="41" t="s">
        <v>901</v>
      </c>
      <c r="C253" s="41" t="s">
        <v>84</v>
      </c>
      <c r="D253" s="42" t="s">
        <v>908</v>
      </c>
    </row>
    <row r="254" spans="1:4" x14ac:dyDescent="0.25">
      <c r="A254" s="41" t="s">
        <v>909</v>
      </c>
      <c r="B254" s="41" t="s">
        <v>910</v>
      </c>
      <c r="C254" s="41" t="s">
        <v>84</v>
      </c>
      <c r="D254" s="42" t="s">
        <v>918</v>
      </c>
    </row>
    <row r="255" spans="1:4" x14ac:dyDescent="0.25">
      <c r="A255" s="41" t="s">
        <v>909</v>
      </c>
      <c r="B255" s="41" t="s">
        <v>910</v>
      </c>
      <c r="C255" s="41" t="s">
        <v>84</v>
      </c>
      <c r="D255" s="42" t="s">
        <v>1272</v>
      </c>
    </row>
    <row r="256" spans="1:4" x14ac:dyDescent="0.25">
      <c r="A256" s="41" t="s">
        <v>919</v>
      </c>
      <c r="B256" s="41" t="s">
        <v>920</v>
      </c>
      <c r="C256" s="41" t="s">
        <v>84</v>
      </c>
      <c r="D256" s="42" t="s">
        <v>928</v>
      </c>
    </row>
    <row r="257" spans="1:4" x14ac:dyDescent="0.25">
      <c r="A257" s="41" t="s">
        <v>919</v>
      </c>
      <c r="B257" s="41" t="s">
        <v>920</v>
      </c>
      <c r="C257" s="41" t="s">
        <v>84</v>
      </c>
      <c r="D257" s="42" t="s">
        <v>1273</v>
      </c>
    </row>
    <row r="258" spans="1:4" x14ac:dyDescent="0.25">
      <c r="A258" s="41" t="s">
        <v>929</v>
      </c>
      <c r="B258" s="41" t="s">
        <v>930</v>
      </c>
      <c r="C258" s="41" t="s">
        <v>84</v>
      </c>
      <c r="D258" s="42" t="s">
        <v>935</v>
      </c>
    </row>
    <row r="259" spans="1:4" x14ac:dyDescent="0.25">
      <c r="A259" s="41" t="s">
        <v>929</v>
      </c>
      <c r="B259" s="41" t="s">
        <v>930</v>
      </c>
      <c r="C259" s="41" t="s">
        <v>84</v>
      </c>
      <c r="D259" s="42" t="s">
        <v>1274</v>
      </c>
    </row>
    <row r="260" spans="1:4" x14ac:dyDescent="0.25">
      <c r="A260" s="41" t="s">
        <v>936</v>
      </c>
      <c r="B260" s="41" t="s">
        <v>937</v>
      </c>
      <c r="C260" s="41" t="s">
        <v>84</v>
      </c>
      <c r="D260" s="42" t="s">
        <v>944</v>
      </c>
    </row>
    <row r="261" spans="1:4" x14ac:dyDescent="0.25">
      <c r="A261" s="41" t="s">
        <v>936</v>
      </c>
      <c r="B261" s="41" t="s">
        <v>937</v>
      </c>
      <c r="C261" s="41" t="s">
        <v>84</v>
      </c>
      <c r="D261" s="42" t="s">
        <v>1275</v>
      </c>
    </row>
    <row r="262" spans="1:4" x14ac:dyDescent="0.25">
      <c r="A262" s="41" t="s">
        <v>936</v>
      </c>
      <c r="B262" s="41" t="s">
        <v>937</v>
      </c>
      <c r="C262" s="41" t="s">
        <v>84</v>
      </c>
      <c r="D262" s="42" t="s">
        <v>1276</v>
      </c>
    </row>
    <row r="263" spans="1:4" x14ac:dyDescent="0.25">
      <c r="A263" s="41" t="s">
        <v>948</v>
      </c>
      <c r="B263" s="41" t="s">
        <v>949</v>
      </c>
      <c r="C263" s="41" t="s">
        <v>85</v>
      </c>
      <c r="D263" s="42" t="s">
        <v>958</v>
      </c>
    </row>
    <row r="264" spans="1:4" x14ac:dyDescent="0.25">
      <c r="A264" s="41" t="s">
        <v>948</v>
      </c>
      <c r="B264" s="41" t="s">
        <v>949</v>
      </c>
      <c r="C264" s="41" t="s">
        <v>85</v>
      </c>
      <c r="D264" s="42" t="s">
        <v>955</v>
      </c>
    </row>
    <row r="265" spans="1:4" x14ac:dyDescent="0.25">
      <c r="A265" s="41" t="s">
        <v>948</v>
      </c>
      <c r="B265" s="41" t="s">
        <v>949</v>
      </c>
      <c r="C265" s="41" t="s">
        <v>85</v>
      </c>
      <c r="D265" s="42" t="s">
        <v>1277</v>
      </c>
    </row>
    <row r="266" spans="1:4" x14ac:dyDescent="0.25">
      <c r="A266" s="41" t="s">
        <v>959</v>
      </c>
      <c r="B266" s="41" t="s">
        <v>960</v>
      </c>
      <c r="C266" s="41" t="s">
        <v>85</v>
      </c>
      <c r="D266" s="42" t="s">
        <v>968</v>
      </c>
    </row>
    <row r="267" spans="1:4" x14ac:dyDescent="0.25">
      <c r="A267" s="41" t="s">
        <v>959</v>
      </c>
      <c r="B267" s="41" t="s">
        <v>960</v>
      </c>
      <c r="C267" s="41" t="s">
        <v>85</v>
      </c>
      <c r="D267" s="42" t="s">
        <v>1278</v>
      </c>
    </row>
    <row r="268" spans="1:4" x14ac:dyDescent="0.25">
      <c r="A268" s="41" t="s">
        <v>959</v>
      </c>
      <c r="B268" s="41" t="s">
        <v>960</v>
      </c>
      <c r="C268" s="41" t="s">
        <v>85</v>
      </c>
      <c r="D268" s="42" t="s">
        <v>1279</v>
      </c>
    </row>
    <row r="269" spans="1:4" x14ac:dyDescent="0.25">
      <c r="A269" s="41" t="s">
        <v>959</v>
      </c>
      <c r="B269" s="41" t="s">
        <v>960</v>
      </c>
      <c r="C269" s="41" t="s">
        <v>85</v>
      </c>
      <c r="D269" s="42" t="s">
        <v>1277</v>
      </c>
    </row>
    <row r="270" spans="1:4" x14ac:dyDescent="0.25">
      <c r="A270" s="41" t="s">
        <v>969</v>
      </c>
      <c r="B270" s="41" t="s">
        <v>970</v>
      </c>
      <c r="C270" s="41" t="s">
        <v>85</v>
      </c>
      <c r="D270" s="42" t="s">
        <v>978</v>
      </c>
    </row>
    <row r="271" spans="1:4" x14ac:dyDescent="0.25">
      <c r="A271" s="41" t="s">
        <v>969</v>
      </c>
      <c r="B271" s="41" t="s">
        <v>970</v>
      </c>
      <c r="C271" s="41" t="s">
        <v>85</v>
      </c>
      <c r="D271" s="42" t="s">
        <v>975</v>
      </c>
    </row>
    <row r="272" spans="1:4" x14ac:dyDescent="0.25">
      <c r="A272" s="41" t="s">
        <v>969</v>
      </c>
      <c r="B272" s="41" t="s">
        <v>970</v>
      </c>
      <c r="C272" s="41" t="s">
        <v>85</v>
      </c>
      <c r="D272" s="42" t="s">
        <v>1280</v>
      </c>
    </row>
    <row r="273" spans="1:4" x14ac:dyDescent="0.25">
      <c r="A273" s="41" t="s">
        <v>969</v>
      </c>
      <c r="B273" s="41" t="s">
        <v>970</v>
      </c>
      <c r="C273" s="41" t="s">
        <v>85</v>
      </c>
      <c r="D273" s="42" t="s">
        <v>1277</v>
      </c>
    </row>
    <row r="274" spans="1:4" x14ac:dyDescent="0.25">
      <c r="A274" s="41" t="s">
        <v>979</v>
      </c>
      <c r="B274" s="41" t="s">
        <v>273</v>
      </c>
      <c r="C274" s="41" t="s">
        <v>85</v>
      </c>
      <c r="D274" s="42" t="s">
        <v>982</v>
      </c>
    </row>
    <row r="275" spans="1:4" x14ac:dyDescent="0.25">
      <c r="A275" s="41" t="s">
        <v>979</v>
      </c>
      <c r="B275" s="41" t="s">
        <v>273</v>
      </c>
      <c r="C275" s="41" t="s">
        <v>85</v>
      </c>
      <c r="D275" s="42" t="s">
        <v>1227</v>
      </c>
    </row>
    <row r="276" spans="1:4" x14ac:dyDescent="0.25">
      <c r="A276" s="41" t="s">
        <v>979</v>
      </c>
      <c r="B276" s="41" t="s">
        <v>273</v>
      </c>
      <c r="C276" s="41" t="s">
        <v>85</v>
      </c>
      <c r="D276" s="42" t="s">
        <v>1181</v>
      </c>
    </row>
    <row r="277" spans="1:4" x14ac:dyDescent="0.25">
      <c r="A277" s="41" t="s">
        <v>983</v>
      </c>
      <c r="B277" s="41" t="s">
        <v>984</v>
      </c>
      <c r="C277" s="41" t="s">
        <v>85</v>
      </c>
      <c r="D277" s="42" t="s">
        <v>990</v>
      </c>
    </row>
    <row r="278" spans="1:4" x14ac:dyDescent="0.25">
      <c r="A278" s="41" t="s">
        <v>983</v>
      </c>
      <c r="B278" s="41" t="s">
        <v>984</v>
      </c>
      <c r="C278" s="41" t="s">
        <v>85</v>
      </c>
      <c r="D278" s="42" t="s">
        <v>1281</v>
      </c>
    </row>
    <row r="279" spans="1:4" x14ac:dyDescent="0.25">
      <c r="A279" s="41" t="s">
        <v>983</v>
      </c>
      <c r="B279" s="41" t="s">
        <v>984</v>
      </c>
      <c r="C279" s="41" t="s">
        <v>85</v>
      </c>
      <c r="D279" s="42" t="s">
        <v>1277</v>
      </c>
    </row>
    <row r="280" spans="1:4" x14ac:dyDescent="0.25">
      <c r="A280" s="41" t="s">
        <v>993</v>
      </c>
      <c r="B280" s="41" t="s">
        <v>994</v>
      </c>
      <c r="C280" s="41" t="s">
        <v>85</v>
      </c>
      <c r="D280" s="42" t="s">
        <v>1000</v>
      </c>
    </row>
    <row r="281" spans="1:4" x14ac:dyDescent="0.25">
      <c r="A281" s="41" t="s">
        <v>993</v>
      </c>
      <c r="B281" s="41" t="s">
        <v>994</v>
      </c>
      <c r="C281" s="41" t="s">
        <v>85</v>
      </c>
      <c r="D281" s="42" t="s">
        <v>1282</v>
      </c>
    </row>
    <row r="282" spans="1:4" x14ac:dyDescent="0.25">
      <c r="A282" s="41" t="s">
        <v>993</v>
      </c>
      <c r="B282" s="41" t="s">
        <v>994</v>
      </c>
      <c r="C282" s="41" t="s">
        <v>85</v>
      </c>
      <c r="D282" s="42" t="s">
        <v>1283</v>
      </c>
    </row>
    <row r="283" spans="1:4" x14ac:dyDescent="0.25">
      <c r="A283" s="41" t="s">
        <v>1003</v>
      </c>
      <c r="B283" s="41" t="s">
        <v>1004</v>
      </c>
      <c r="C283" s="41" t="s">
        <v>85</v>
      </c>
      <c r="D283" s="42" t="s">
        <v>1009</v>
      </c>
    </row>
    <row r="284" spans="1:4" x14ac:dyDescent="0.25">
      <c r="A284" s="41" t="s">
        <v>1003</v>
      </c>
      <c r="B284" s="41" t="s">
        <v>1004</v>
      </c>
      <c r="C284" s="41" t="s">
        <v>85</v>
      </c>
      <c r="D284" s="42" t="s">
        <v>1284</v>
      </c>
    </row>
    <row r="285" spans="1:4" x14ac:dyDescent="0.25">
      <c r="A285" s="41" t="s">
        <v>1003</v>
      </c>
      <c r="B285" s="41" t="s">
        <v>1004</v>
      </c>
      <c r="C285" s="41" t="s">
        <v>85</v>
      </c>
      <c r="D285" s="42" t="s">
        <v>1277</v>
      </c>
    </row>
    <row r="286" spans="1:4" x14ac:dyDescent="0.25">
      <c r="A286" s="41" t="s">
        <v>1012</v>
      </c>
      <c r="B286" s="41" t="s">
        <v>1013</v>
      </c>
      <c r="C286" s="41" t="s">
        <v>85</v>
      </c>
      <c r="D286" s="42" t="s">
        <v>1020</v>
      </c>
    </row>
    <row r="287" spans="1:4" x14ac:dyDescent="0.25">
      <c r="A287" s="41" t="s">
        <v>1012</v>
      </c>
      <c r="B287" s="41" t="s">
        <v>1013</v>
      </c>
      <c r="C287" s="41" t="s">
        <v>85</v>
      </c>
      <c r="D287" s="42" t="s">
        <v>1285</v>
      </c>
    </row>
    <row r="288" spans="1:4" x14ac:dyDescent="0.25">
      <c r="A288" s="41" t="s">
        <v>1012</v>
      </c>
      <c r="B288" s="41" t="s">
        <v>1013</v>
      </c>
      <c r="C288" s="41" t="s">
        <v>85</v>
      </c>
      <c r="D288" s="42" t="s">
        <v>1286</v>
      </c>
    </row>
    <row r="289" spans="1:4" x14ac:dyDescent="0.25">
      <c r="A289" s="41" t="s">
        <v>1012</v>
      </c>
      <c r="B289" s="41" t="s">
        <v>1013</v>
      </c>
      <c r="C289" s="41" t="s">
        <v>85</v>
      </c>
      <c r="D289" s="42" t="s">
        <v>1287</v>
      </c>
    </row>
    <row r="290" spans="1:4" x14ac:dyDescent="0.25">
      <c r="A290" s="41" t="s">
        <v>1024</v>
      </c>
      <c r="B290" s="41" t="s">
        <v>1025</v>
      </c>
      <c r="C290" s="41" t="s">
        <v>86</v>
      </c>
      <c r="D290" s="42" t="s">
        <v>1028</v>
      </c>
    </row>
    <row r="291" spans="1:4" x14ac:dyDescent="0.25">
      <c r="A291" s="41" t="s">
        <v>1024</v>
      </c>
      <c r="B291" s="41" t="s">
        <v>1025</v>
      </c>
      <c r="C291" s="41" t="s">
        <v>86</v>
      </c>
      <c r="D291" s="42" t="s">
        <v>1029</v>
      </c>
    </row>
    <row r="292" spans="1:4" x14ac:dyDescent="0.25">
      <c r="A292" s="41" t="s">
        <v>1032</v>
      </c>
      <c r="B292" s="41" t="s">
        <v>1033</v>
      </c>
      <c r="C292" s="41" t="s">
        <v>86</v>
      </c>
      <c r="D292" s="42" t="s">
        <v>1036</v>
      </c>
    </row>
    <row r="293" spans="1:4" x14ac:dyDescent="0.25">
      <c r="A293" s="41" t="s">
        <v>1032</v>
      </c>
      <c r="B293" s="41" t="s">
        <v>1033</v>
      </c>
      <c r="C293" s="41" t="s">
        <v>86</v>
      </c>
      <c r="D293" s="42" t="s">
        <v>1288</v>
      </c>
    </row>
    <row r="294" spans="1:4" x14ac:dyDescent="0.25">
      <c r="A294" s="41" t="s">
        <v>1032</v>
      </c>
      <c r="B294" s="41" t="s">
        <v>1033</v>
      </c>
      <c r="C294" s="41" t="s">
        <v>86</v>
      </c>
      <c r="D294" s="42" t="s">
        <v>1289</v>
      </c>
    </row>
    <row r="295" spans="1:4" x14ac:dyDescent="0.25">
      <c r="A295" s="41" t="s">
        <v>1040</v>
      </c>
      <c r="B295" s="41" t="s">
        <v>1041</v>
      </c>
      <c r="C295" s="41" t="s">
        <v>86</v>
      </c>
      <c r="D295" s="42" t="s">
        <v>1049</v>
      </c>
    </row>
    <row r="296" spans="1:4" x14ac:dyDescent="0.25">
      <c r="A296" s="41" t="s">
        <v>1040</v>
      </c>
      <c r="B296" s="41" t="s">
        <v>1041</v>
      </c>
      <c r="C296" s="41" t="s">
        <v>86</v>
      </c>
      <c r="D296" s="42" t="s">
        <v>1046</v>
      </c>
    </row>
    <row r="297" spans="1:4" x14ac:dyDescent="0.25">
      <c r="A297" s="41" t="s">
        <v>1040</v>
      </c>
      <c r="B297" s="41" t="s">
        <v>1041</v>
      </c>
      <c r="C297" s="41" t="s">
        <v>86</v>
      </c>
      <c r="D297" s="42" t="s">
        <v>1290</v>
      </c>
    </row>
    <row r="298" spans="1:4" x14ac:dyDescent="0.25">
      <c r="A298" s="41" t="s">
        <v>1050</v>
      </c>
      <c r="B298" s="41" t="s">
        <v>1051</v>
      </c>
      <c r="C298" s="41" t="s">
        <v>86</v>
      </c>
      <c r="D298" s="42" t="s">
        <v>1057</v>
      </c>
    </row>
    <row r="299" spans="1:4" x14ac:dyDescent="0.25">
      <c r="A299" s="41" t="s">
        <v>1050</v>
      </c>
      <c r="B299" s="41" t="s">
        <v>1051</v>
      </c>
      <c r="C299" s="41" t="s">
        <v>86</v>
      </c>
      <c r="D299" s="42" t="s">
        <v>1291</v>
      </c>
    </row>
    <row r="300" spans="1:4" x14ac:dyDescent="0.25">
      <c r="A300" s="41" t="s">
        <v>1050</v>
      </c>
      <c r="B300" s="41" t="s">
        <v>1051</v>
      </c>
      <c r="C300" s="41" t="s">
        <v>86</v>
      </c>
      <c r="D300" s="42" t="s">
        <v>1292</v>
      </c>
    </row>
    <row r="301" spans="1:4" x14ac:dyDescent="0.25">
      <c r="A301" s="41" t="s">
        <v>1061</v>
      </c>
      <c r="B301" s="41" t="s">
        <v>1062</v>
      </c>
      <c r="C301" s="41" t="s">
        <v>86</v>
      </c>
      <c r="D301" s="42" t="s">
        <v>1069</v>
      </c>
    </row>
    <row r="302" spans="1:4" x14ac:dyDescent="0.25">
      <c r="A302" s="41" t="s">
        <v>1061</v>
      </c>
      <c r="B302" s="41" t="s">
        <v>1062</v>
      </c>
      <c r="C302" s="41" t="s">
        <v>86</v>
      </c>
      <c r="D302" s="42" t="s">
        <v>1066</v>
      </c>
    </row>
    <row r="303" spans="1:4" x14ac:dyDescent="0.25">
      <c r="A303" s="41" t="s">
        <v>1061</v>
      </c>
      <c r="B303" s="41" t="s">
        <v>1062</v>
      </c>
      <c r="C303" s="41" t="s">
        <v>86</v>
      </c>
      <c r="D303" s="42" t="s">
        <v>1293</v>
      </c>
    </row>
    <row r="304" spans="1:4" x14ac:dyDescent="0.25">
      <c r="A304" s="41" t="s">
        <v>1070</v>
      </c>
      <c r="B304" s="41" t="s">
        <v>1071</v>
      </c>
      <c r="C304" s="41" t="s">
        <v>86</v>
      </c>
      <c r="D304" s="42" t="s">
        <v>1076</v>
      </c>
    </row>
    <row r="305" spans="1:4" x14ac:dyDescent="0.25">
      <c r="A305" s="41" t="s">
        <v>1070</v>
      </c>
      <c r="B305" s="41" t="s">
        <v>1071</v>
      </c>
      <c r="C305" s="41" t="s">
        <v>86</v>
      </c>
      <c r="D305" s="42" t="s">
        <v>1294</v>
      </c>
    </row>
    <row r="306" spans="1:4" x14ac:dyDescent="0.25">
      <c r="A306" s="41" t="s">
        <v>1070</v>
      </c>
      <c r="B306" s="41" t="s">
        <v>1071</v>
      </c>
      <c r="C306" s="41" t="s">
        <v>86</v>
      </c>
      <c r="D306" s="42" t="s">
        <v>1295</v>
      </c>
    </row>
    <row r="307" spans="1:4" x14ac:dyDescent="0.25">
      <c r="A307" s="41" t="s">
        <v>1070</v>
      </c>
      <c r="B307" s="41" t="s">
        <v>1071</v>
      </c>
      <c r="C307" s="41" t="s">
        <v>86</v>
      </c>
      <c r="D307" s="42" t="s">
        <v>1296</v>
      </c>
    </row>
    <row r="308" spans="1:4" x14ac:dyDescent="0.25">
      <c r="A308" s="41" t="s">
        <v>1079</v>
      </c>
      <c r="B308" s="41" t="s">
        <v>1080</v>
      </c>
      <c r="C308" s="41" t="s">
        <v>86</v>
      </c>
      <c r="D308" s="42" t="s">
        <v>1089</v>
      </c>
    </row>
    <row r="309" spans="1:4" x14ac:dyDescent="0.25">
      <c r="A309" s="41" t="s">
        <v>1079</v>
      </c>
      <c r="B309" s="41" t="s">
        <v>1080</v>
      </c>
      <c r="C309" s="41" t="s">
        <v>86</v>
      </c>
      <c r="D309" s="42" t="s">
        <v>1297</v>
      </c>
    </row>
    <row r="310" spans="1:4" x14ac:dyDescent="0.25">
      <c r="A310" s="41" t="s">
        <v>1079</v>
      </c>
      <c r="B310" s="41" t="s">
        <v>1080</v>
      </c>
      <c r="C310" s="41" t="s">
        <v>86</v>
      </c>
      <c r="D310" s="42" t="s">
        <v>1298</v>
      </c>
    </row>
    <row r="311" spans="1:4" x14ac:dyDescent="0.25">
      <c r="A311" s="41" t="s">
        <v>1090</v>
      </c>
      <c r="B311" s="41" t="s">
        <v>1091</v>
      </c>
      <c r="C311" s="41" t="s">
        <v>86</v>
      </c>
      <c r="D311" s="42" t="s">
        <v>1097</v>
      </c>
    </row>
    <row r="312" spans="1:4" x14ac:dyDescent="0.25">
      <c r="A312" s="41" t="s">
        <v>1090</v>
      </c>
      <c r="B312" s="41" t="s">
        <v>1091</v>
      </c>
      <c r="C312" s="41" t="s">
        <v>86</v>
      </c>
      <c r="D312" s="42" t="s">
        <v>1299</v>
      </c>
    </row>
    <row r="313" spans="1:4" x14ac:dyDescent="0.25">
      <c r="A313" s="41" t="s">
        <v>1100</v>
      </c>
      <c r="B313" s="41" t="s">
        <v>1101</v>
      </c>
      <c r="C313" s="41" t="s">
        <v>86</v>
      </c>
      <c r="D313" s="42" t="s">
        <v>1107</v>
      </c>
    </row>
    <row r="314" spans="1:4" x14ac:dyDescent="0.25">
      <c r="A314" s="41" t="s">
        <v>1100</v>
      </c>
      <c r="B314" s="41" t="s">
        <v>1101</v>
      </c>
      <c r="C314" s="41" t="s">
        <v>86</v>
      </c>
      <c r="D314" s="42" t="s">
        <v>1104</v>
      </c>
    </row>
    <row r="315" spans="1:4" x14ac:dyDescent="0.25">
      <c r="A315" s="41" t="s">
        <v>1100</v>
      </c>
      <c r="B315" s="41" t="s">
        <v>1101</v>
      </c>
      <c r="C315" s="41" t="s">
        <v>86</v>
      </c>
      <c r="D315" s="42" t="s">
        <v>1300</v>
      </c>
    </row>
    <row r="316" spans="1:4" x14ac:dyDescent="0.25">
      <c r="A316" s="41" t="s">
        <v>1108</v>
      </c>
      <c r="B316" s="41" t="s">
        <v>1109</v>
      </c>
      <c r="C316" s="41" t="s">
        <v>86</v>
      </c>
      <c r="D316" s="42" t="s">
        <v>1115</v>
      </c>
    </row>
    <row r="317" spans="1:4" x14ac:dyDescent="0.25">
      <c r="A317" s="41" t="s">
        <v>1108</v>
      </c>
      <c r="B317" s="41" t="s">
        <v>1109</v>
      </c>
      <c r="C317" s="41" t="s">
        <v>86</v>
      </c>
      <c r="D317" s="42" t="s">
        <v>1301</v>
      </c>
    </row>
    <row r="318" spans="1:4" x14ac:dyDescent="0.25">
      <c r="A318" s="41" t="s">
        <v>1108</v>
      </c>
      <c r="B318" s="41" t="s">
        <v>1109</v>
      </c>
      <c r="C318" s="41" t="s">
        <v>86</v>
      </c>
      <c r="D318" s="42" t="s">
        <v>1302</v>
      </c>
    </row>
    <row r="319" spans="1:4" x14ac:dyDescent="0.25">
      <c r="A319" s="41" t="s">
        <v>1116</v>
      </c>
      <c r="B319" s="41" t="s">
        <v>1117</v>
      </c>
      <c r="C319" s="41" t="s">
        <v>86</v>
      </c>
      <c r="D319" s="42" t="s">
        <v>1122</v>
      </c>
    </row>
    <row r="320" spans="1:4" x14ac:dyDescent="0.25">
      <c r="A320" s="41" t="s">
        <v>1116</v>
      </c>
      <c r="B320" s="41" t="s">
        <v>1117</v>
      </c>
      <c r="C320" s="41" t="s">
        <v>86</v>
      </c>
      <c r="D320" s="42" t="s">
        <v>1303</v>
      </c>
    </row>
    <row r="321" spans="1:4" x14ac:dyDescent="0.25">
      <c r="A321" s="41" t="s">
        <v>1126</v>
      </c>
      <c r="B321" s="41" t="s">
        <v>1127</v>
      </c>
      <c r="C321" s="41" t="s">
        <v>86</v>
      </c>
      <c r="D321" s="42" t="s">
        <v>1131</v>
      </c>
    </row>
    <row r="322" spans="1:4" x14ac:dyDescent="0.25">
      <c r="A322" s="41" t="s">
        <v>1126</v>
      </c>
      <c r="B322" s="41" t="s">
        <v>1127</v>
      </c>
      <c r="C322" s="41" t="s">
        <v>86</v>
      </c>
      <c r="D322" s="42" t="s">
        <v>1133</v>
      </c>
    </row>
    <row r="323" spans="1:4" x14ac:dyDescent="0.25">
      <c r="A323" s="41" t="s">
        <v>1126</v>
      </c>
      <c r="B323" s="41" t="s">
        <v>1127</v>
      </c>
      <c r="C323" s="41" t="s">
        <v>86</v>
      </c>
      <c r="D323" s="42" t="s">
        <v>1304</v>
      </c>
    </row>
  </sheetData>
  <autoFilter ref="A1:D323" xr:uid="{00000000-0009-0000-0000-000011000000}"/>
  <hyperlinks>
    <hyperlink ref="D2" r:id="rId1" xr:uid="{00000000-0004-0000-1100-000000000000}"/>
    <hyperlink ref="D3" r:id="rId2" xr:uid="{00000000-0004-0000-1100-000001000000}"/>
    <hyperlink ref="D4" r:id="rId3" xr:uid="{00000000-0004-0000-1100-000002000000}"/>
    <hyperlink ref="D5" r:id="rId4" xr:uid="{00000000-0004-0000-1100-000003000000}"/>
    <hyperlink ref="D6" r:id="rId5" xr:uid="{00000000-0004-0000-1100-000004000000}"/>
    <hyperlink ref="D7" r:id="rId6" xr:uid="{00000000-0004-0000-1100-000005000000}"/>
    <hyperlink ref="D8" r:id="rId7" xr:uid="{00000000-0004-0000-1100-000006000000}"/>
    <hyperlink ref="D9" r:id="rId8" xr:uid="{00000000-0004-0000-1100-000007000000}"/>
    <hyperlink ref="D10" r:id="rId9" xr:uid="{00000000-0004-0000-1100-000008000000}"/>
    <hyperlink ref="D11" r:id="rId10" xr:uid="{00000000-0004-0000-1100-000009000000}"/>
    <hyperlink ref="D12" r:id="rId11" xr:uid="{00000000-0004-0000-1100-00000A000000}"/>
    <hyperlink ref="D13" r:id="rId12" xr:uid="{00000000-0004-0000-1100-00000B000000}"/>
    <hyperlink ref="D14" r:id="rId13" xr:uid="{00000000-0004-0000-1100-00000C000000}"/>
    <hyperlink ref="D15" r:id="rId14" xr:uid="{00000000-0004-0000-1100-00000D000000}"/>
    <hyperlink ref="D16" r:id="rId15" xr:uid="{00000000-0004-0000-1100-00000E000000}"/>
    <hyperlink ref="D17" r:id="rId16" xr:uid="{00000000-0004-0000-1100-00000F000000}"/>
    <hyperlink ref="D18" r:id="rId17" xr:uid="{00000000-0004-0000-1100-000010000000}"/>
    <hyperlink ref="D19" r:id="rId18" xr:uid="{00000000-0004-0000-1100-000011000000}"/>
    <hyperlink ref="D20" r:id="rId19" xr:uid="{00000000-0004-0000-1100-000012000000}"/>
    <hyperlink ref="D21" r:id="rId20" xr:uid="{00000000-0004-0000-1100-000013000000}"/>
    <hyperlink ref="D22" r:id="rId21" xr:uid="{00000000-0004-0000-1100-000014000000}"/>
    <hyperlink ref="D23" r:id="rId22" xr:uid="{00000000-0004-0000-1100-000015000000}"/>
    <hyperlink ref="D24" r:id="rId23" xr:uid="{00000000-0004-0000-1100-000016000000}"/>
    <hyperlink ref="D25" r:id="rId24" xr:uid="{00000000-0004-0000-1100-000017000000}"/>
    <hyperlink ref="D26" r:id="rId25" xr:uid="{00000000-0004-0000-1100-000018000000}"/>
    <hyperlink ref="D27" r:id="rId26" xr:uid="{00000000-0004-0000-1100-000019000000}"/>
    <hyperlink ref="D28" r:id="rId27" xr:uid="{00000000-0004-0000-1100-00001A000000}"/>
    <hyperlink ref="D29" r:id="rId28" xr:uid="{00000000-0004-0000-1100-00001B000000}"/>
    <hyperlink ref="D30" r:id="rId29" xr:uid="{00000000-0004-0000-1100-00001C000000}"/>
    <hyperlink ref="D31" r:id="rId30" xr:uid="{00000000-0004-0000-1100-00001D000000}"/>
    <hyperlink ref="D32" r:id="rId31" xr:uid="{00000000-0004-0000-1100-00001E000000}"/>
    <hyperlink ref="D33" r:id="rId32" xr:uid="{00000000-0004-0000-1100-00001F000000}"/>
    <hyperlink ref="D34" r:id="rId33" xr:uid="{00000000-0004-0000-1100-000020000000}"/>
    <hyperlink ref="D35" r:id="rId34" xr:uid="{00000000-0004-0000-1100-000021000000}"/>
    <hyperlink ref="D36" r:id="rId35" xr:uid="{00000000-0004-0000-1100-000022000000}"/>
    <hyperlink ref="D37" r:id="rId36" xr:uid="{00000000-0004-0000-1100-000023000000}"/>
    <hyperlink ref="D38" r:id="rId37" xr:uid="{00000000-0004-0000-1100-000024000000}"/>
    <hyperlink ref="D39" r:id="rId38" xr:uid="{00000000-0004-0000-1100-000025000000}"/>
    <hyperlink ref="D40" r:id="rId39" xr:uid="{00000000-0004-0000-1100-000026000000}"/>
    <hyperlink ref="D41" r:id="rId40" xr:uid="{00000000-0004-0000-1100-000027000000}"/>
    <hyperlink ref="D42" r:id="rId41" xr:uid="{00000000-0004-0000-1100-000028000000}"/>
    <hyperlink ref="D43" r:id="rId42" xr:uid="{00000000-0004-0000-1100-000029000000}"/>
    <hyperlink ref="D44" r:id="rId43" xr:uid="{00000000-0004-0000-1100-00002A000000}"/>
    <hyperlink ref="D45" r:id="rId44" xr:uid="{00000000-0004-0000-1100-00002B000000}"/>
    <hyperlink ref="D46" r:id="rId45" xr:uid="{00000000-0004-0000-1100-00002C000000}"/>
    <hyperlink ref="D47" r:id="rId46" xr:uid="{00000000-0004-0000-1100-00002D000000}"/>
    <hyperlink ref="D48" r:id="rId47" xr:uid="{00000000-0004-0000-1100-00002E000000}"/>
    <hyperlink ref="D49" r:id="rId48" xr:uid="{00000000-0004-0000-1100-00002F000000}"/>
    <hyperlink ref="D50" r:id="rId49" xr:uid="{00000000-0004-0000-1100-000030000000}"/>
    <hyperlink ref="D51" r:id="rId50" xr:uid="{00000000-0004-0000-1100-000031000000}"/>
    <hyperlink ref="D52" r:id="rId51" xr:uid="{00000000-0004-0000-1100-000032000000}"/>
    <hyperlink ref="D53" r:id="rId52" xr:uid="{00000000-0004-0000-1100-000033000000}"/>
    <hyperlink ref="D54" r:id="rId53" xr:uid="{00000000-0004-0000-1100-000034000000}"/>
    <hyperlink ref="D55" r:id="rId54" xr:uid="{00000000-0004-0000-1100-000035000000}"/>
    <hyperlink ref="D56" r:id="rId55" xr:uid="{00000000-0004-0000-1100-000036000000}"/>
    <hyperlink ref="D57" r:id="rId56" xr:uid="{00000000-0004-0000-1100-000037000000}"/>
    <hyperlink ref="D58" r:id="rId57" xr:uid="{00000000-0004-0000-1100-000038000000}"/>
    <hyperlink ref="D59" r:id="rId58" xr:uid="{00000000-0004-0000-1100-000039000000}"/>
    <hyperlink ref="D60" r:id="rId59" xr:uid="{00000000-0004-0000-1100-00003A000000}"/>
    <hyperlink ref="D61" r:id="rId60" xr:uid="{00000000-0004-0000-1100-00003B000000}"/>
    <hyperlink ref="D62" r:id="rId61" xr:uid="{00000000-0004-0000-1100-00003C000000}"/>
    <hyperlink ref="D63" r:id="rId62" xr:uid="{00000000-0004-0000-1100-00003D000000}"/>
    <hyperlink ref="D64" r:id="rId63" xr:uid="{00000000-0004-0000-1100-00003E000000}"/>
    <hyperlink ref="D65" r:id="rId64" xr:uid="{00000000-0004-0000-1100-00003F000000}"/>
    <hyperlink ref="D66" r:id="rId65" xr:uid="{00000000-0004-0000-1100-000040000000}"/>
    <hyperlink ref="D67" r:id="rId66" xr:uid="{00000000-0004-0000-1100-000041000000}"/>
    <hyperlink ref="D68" r:id="rId67" xr:uid="{00000000-0004-0000-1100-000042000000}"/>
    <hyperlink ref="D69" r:id="rId68" xr:uid="{00000000-0004-0000-1100-000043000000}"/>
    <hyperlink ref="D70" r:id="rId69" xr:uid="{00000000-0004-0000-1100-000044000000}"/>
    <hyperlink ref="D71" r:id="rId70" xr:uid="{00000000-0004-0000-1100-000045000000}"/>
    <hyperlink ref="D72" r:id="rId71" xr:uid="{00000000-0004-0000-1100-000046000000}"/>
    <hyperlink ref="D73" r:id="rId72" xr:uid="{00000000-0004-0000-1100-000047000000}"/>
    <hyperlink ref="D74" r:id="rId73" xr:uid="{00000000-0004-0000-1100-000048000000}"/>
    <hyperlink ref="D75" r:id="rId74" xr:uid="{00000000-0004-0000-1100-000049000000}"/>
    <hyperlink ref="D76" r:id="rId75" xr:uid="{00000000-0004-0000-1100-00004A000000}"/>
    <hyperlink ref="D77" r:id="rId76" xr:uid="{00000000-0004-0000-1100-00004B000000}"/>
    <hyperlink ref="D78" r:id="rId77" xr:uid="{00000000-0004-0000-1100-00004C000000}"/>
    <hyperlink ref="D79" r:id="rId78" xr:uid="{00000000-0004-0000-1100-00004D000000}"/>
    <hyperlink ref="D80" r:id="rId79" xr:uid="{00000000-0004-0000-1100-00004E000000}"/>
    <hyperlink ref="D81" r:id="rId80" xr:uid="{00000000-0004-0000-1100-00004F000000}"/>
    <hyperlink ref="D82" r:id="rId81" xr:uid="{00000000-0004-0000-1100-000050000000}"/>
    <hyperlink ref="D83" r:id="rId82" xr:uid="{00000000-0004-0000-1100-000051000000}"/>
    <hyperlink ref="D84" r:id="rId83" xr:uid="{00000000-0004-0000-1100-000052000000}"/>
    <hyperlink ref="D85" r:id="rId84" xr:uid="{00000000-0004-0000-1100-000053000000}"/>
    <hyperlink ref="D86" r:id="rId85" xr:uid="{00000000-0004-0000-1100-000054000000}"/>
    <hyperlink ref="D87" r:id="rId86" xr:uid="{00000000-0004-0000-1100-000055000000}"/>
    <hyperlink ref="D88" r:id="rId87" xr:uid="{00000000-0004-0000-1100-000056000000}"/>
    <hyperlink ref="D89" r:id="rId88" xr:uid="{00000000-0004-0000-1100-000057000000}"/>
    <hyperlink ref="D90" r:id="rId89" xr:uid="{00000000-0004-0000-1100-000058000000}"/>
    <hyperlink ref="D91" r:id="rId90" xr:uid="{00000000-0004-0000-1100-000059000000}"/>
    <hyperlink ref="D92" r:id="rId91" xr:uid="{00000000-0004-0000-1100-00005A000000}"/>
    <hyperlink ref="D93" r:id="rId92" xr:uid="{00000000-0004-0000-1100-00005B000000}"/>
    <hyperlink ref="D94" r:id="rId93" xr:uid="{00000000-0004-0000-1100-00005C000000}"/>
    <hyperlink ref="D95" r:id="rId94" xr:uid="{00000000-0004-0000-1100-00005D000000}"/>
    <hyperlink ref="D96" r:id="rId95" xr:uid="{00000000-0004-0000-1100-00005E000000}"/>
    <hyperlink ref="D97" r:id="rId96" xr:uid="{00000000-0004-0000-1100-00005F000000}"/>
    <hyperlink ref="D98" r:id="rId97" xr:uid="{00000000-0004-0000-1100-000060000000}"/>
    <hyperlink ref="D99" r:id="rId98" xr:uid="{00000000-0004-0000-1100-000061000000}"/>
    <hyperlink ref="D100" r:id="rId99" xr:uid="{00000000-0004-0000-1100-000062000000}"/>
    <hyperlink ref="D101" r:id="rId100" xr:uid="{00000000-0004-0000-1100-000063000000}"/>
    <hyperlink ref="D102" r:id="rId101" xr:uid="{00000000-0004-0000-1100-000064000000}"/>
    <hyperlink ref="D103" r:id="rId102" xr:uid="{00000000-0004-0000-1100-000065000000}"/>
    <hyperlink ref="D104" r:id="rId103" xr:uid="{00000000-0004-0000-1100-000066000000}"/>
    <hyperlink ref="D105" r:id="rId104" xr:uid="{00000000-0004-0000-1100-000067000000}"/>
    <hyperlink ref="D106" r:id="rId105" xr:uid="{00000000-0004-0000-1100-000068000000}"/>
    <hyperlink ref="D107" r:id="rId106" xr:uid="{00000000-0004-0000-1100-000069000000}"/>
    <hyperlink ref="D108" r:id="rId107" xr:uid="{00000000-0004-0000-1100-00006A000000}"/>
    <hyperlink ref="D109" r:id="rId108" xr:uid="{00000000-0004-0000-1100-00006B000000}"/>
    <hyperlink ref="D110" r:id="rId109" xr:uid="{00000000-0004-0000-1100-00006C000000}"/>
    <hyperlink ref="D111" r:id="rId110" xr:uid="{00000000-0004-0000-1100-00006D000000}"/>
    <hyperlink ref="D112" r:id="rId111" xr:uid="{00000000-0004-0000-1100-00006E000000}"/>
    <hyperlink ref="D113" r:id="rId112" xr:uid="{00000000-0004-0000-1100-00006F000000}"/>
    <hyperlink ref="D114" r:id="rId113" xr:uid="{00000000-0004-0000-1100-000070000000}"/>
    <hyperlink ref="D115" r:id="rId114" xr:uid="{00000000-0004-0000-1100-000071000000}"/>
    <hyperlink ref="D116" r:id="rId115" xr:uid="{00000000-0004-0000-1100-000072000000}"/>
    <hyperlink ref="D117" r:id="rId116" xr:uid="{00000000-0004-0000-1100-000073000000}"/>
    <hyperlink ref="D118" r:id="rId117" xr:uid="{00000000-0004-0000-1100-000074000000}"/>
    <hyperlink ref="D119" r:id="rId118" xr:uid="{00000000-0004-0000-1100-000075000000}"/>
    <hyperlink ref="D120" r:id="rId119" xr:uid="{00000000-0004-0000-1100-000076000000}"/>
    <hyperlink ref="D121" r:id="rId120" xr:uid="{00000000-0004-0000-1100-000077000000}"/>
    <hyperlink ref="D122" r:id="rId121" xr:uid="{00000000-0004-0000-1100-000078000000}"/>
    <hyperlink ref="D123" r:id="rId122" xr:uid="{00000000-0004-0000-1100-000079000000}"/>
    <hyperlink ref="D124" r:id="rId123" xr:uid="{00000000-0004-0000-1100-00007A000000}"/>
    <hyperlink ref="D125" r:id="rId124" display="https://jobs.dnv.com/job-search/energy-systems/engineer/houston-tx-united-states-austin-tx-united-states-dallas-tx-united-states-medford-ma-united-states-oakland-ca-united-states-san-diego-ca-united-states-new-york-ny-united-states-portland-or-united-states-seattle-wa-united-states/senior-project-manager-owners-engineering/300000914813084" xr:uid="{00000000-0004-0000-1100-00007B000000}"/>
    <hyperlink ref="D126" r:id="rId125" xr:uid="{00000000-0004-0000-1100-00007C000000}"/>
    <hyperlink ref="D127" r:id="rId126" xr:uid="{00000000-0004-0000-1100-00007D000000}"/>
    <hyperlink ref="D128" r:id="rId127" xr:uid="{00000000-0004-0000-1100-00007E000000}"/>
    <hyperlink ref="D129" r:id="rId128" xr:uid="{00000000-0004-0000-1100-00007F000000}"/>
    <hyperlink ref="D130" r:id="rId129" xr:uid="{00000000-0004-0000-1100-000080000000}"/>
    <hyperlink ref="D131" r:id="rId130" xr:uid="{00000000-0004-0000-1100-000081000000}"/>
    <hyperlink ref="D132" r:id="rId131" xr:uid="{00000000-0004-0000-1100-000082000000}"/>
    <hyperlink ref="D133" r:id="rId132" xr:uid="{00000000-0004-0000-1100-000083000000}"/>
    <hyperlink ref="D134" r:id="rId133" xr:uid="{00000000-0004-0000-1100-000084000000}"/>
    <hyperlink ref="D135" r:id="rId134" xr:uid="{00000000-0004-0000-1100-000085000000}"/>
    <hyperlink ref="D136" r:id="rId135" xr:uid="{00000000-0004-0000-1100-000086000000}"/>
    <hyperlink ref="D137" r:id="rId136" xr:uid="{00000000-0004-0000-1100-000087000000}"/>
    <hyperlink ref="D138" r:id="rId137" xr:uid="{00000000-0004-0000-1100-000088000000}"/>
    <hyperlink ref="D139" r:id="rId138" xr:uid="{00000000-0004-0000-1100-000089000000}"/>
    <hyperlink ref="D140" r:id="rId139" xr:uid="{00000000-0004-0000-1100-00008A000000}"/>
    <hyperlink ref="D141" r:id="rId140" xr:uid="{00000000-0004-0000-1100-00008B000000}"/>
    <hyperlink ref="D142" r:id="rId141" xr:uid="{00000000-0004-0000-1100-00008C000000}"/>
    <hyperlink ref="D143" r:id="rId142" xr:uid="{00000000-0004-0000-1100-00008D000000}"/>
    <hyperlink ref="D144" r:id="rId143" xr:uid="{00000000-0004-0000-1100-00008E000000}"/>
    <hyperlink ref="D145" r:id="rId144" xr:uid="{00000000-0004-0000-1100-00008F000000}"/>
    <hyperlink ref="D146" r:id="rId145" xr:uid="{00000000-0004-0000-1100-000090000000}"/>
    <hyperlink ref="D147" r:id="rId146" xr:uid="{00000000-0004-0000-1100-000091000000}"/>
    <hyperlink ref="D148" r:id="rId147" xr:uid="{00000000-0004-0000-1100-000092000000}"/>
    <hyperlink ref="D149" r:id="rId148" xr:uid="{00000000-0004-0000-1100-000093000000}"/>
    <hyperlink ref="D150" r:id="rId149" xr:uid="{00000000-0004-0000-1100-000094000000}"/>
    <hyperlink ref="D151" r:id="rId150" xr:uid="{00000000-0004-0000-1100-000095000000}"/>
    <hyperlink ref="D152" r:id="rId151" xr:uid="{00000000-0004-0000-1100-000096000000}"/>
    <hyperlink ref="D153" r:id="rId152" xr:uid="{00000000-0004-0000-1100-000097000000}"/>
    <hyperlink ref="D154" r:id="rId153" xr:uid="{00000000-0004-0000-1100-000098000000}"/>
    <hyperlink ref="D155" r:id="rId154" xr:uid="{00000000-0004-0000-1100-000099000000}"/>
    <hyperlink ref="D156" r:id="rId155" xr:uid="{00000000-0004-0000-1100-00009A000000}"/>
    <hyperlink ref="D157" r:id="rId156" xr:uid="{00000000-0004-0000-1100-00009B000000}"/>
    <hyperlink ref="D158" r:id="rId157" xr:uid="{00000000-0004-0000-1100-00009C000000}"/>
    <hyperlink ref="D159" r:id="rId158" xr:uid="{00000000-0004-0000-1100-00009D000000}"/>
    <hyperlink ref="D160" r:id="rId159" xr:uid="{00000000-0004-0000-1100-00009E000000}"/>
    <hyperlink ref="D161" r:id="rId160" xr:uid="{00000000-0004-0000-1100-00009F000000}"/>
    <hyperlink ref="D162" r:id="rId161" xr:uid="{00000000-0004-0000-1100-0000A0000000}"/>
    <hyperlink ref="D163" r:id="rId162" xr:uid="{00000000-0004-0000-1100-0000A1000000}"/>
    <hyperlink ref="D164" r:id="rId163" xr:uid="{00000000-0004-0000-1100-0000A2000000}"/>
    <hyperlink ref="D165" r:id="rId164" xr:uid="{00000000-0004-0000-1100-0000A3000000}"/>
    <hyperlink ref="D166" r:id="rId165" xr:uid="{00000000-0004-0000-1100-0000A4000000}"/>
    <hyperlink ref="D167" r:id="rId166" xr:uid="{00000000-0004-0000-1100-0000A5000000}"/>
    <hyperlink ref="D168" r:id="rId167" xr:uid="{00000000-0004-0000-1100-0000A6000000}"/>
    <hyperlink ref="D169" r:id="rId168" xr:uid="{00000000-0004-0000-1100-0000A7000000}"/>
    <hyperlink ref="D170" r:id="rId169" xr:uid="{00000000-0004-0000-1100-0000A8000000}"/>
    <hyperlink ref="D171" r:id="rId170" display="https://jobs.dnv.com/job-search/energy-systems/engineer/new-york-ny-united-states-austin-tx-united-states-houston-tx-united-states-chalfont-pa-united-states-medford-ma-united-states-seattle-wa-united-states-portland-me-united-states-portland-or-united-states-oakland-ca-united-states-san-diego-ca-united-states/project-manager-energy-storage-independent-engineering-multiple-locations/300001018677780" xr:uid="{00000000-0004-0000-1100-0000A9000000}"/>
    <hyperlink ref="D172" r:id="rId171" xr:uid="{00000000-0004-0000-1100-0000AA000000}"/>
    <hyperlink ref="D173" r:id="rId172" xr:uid="{00000000-0004-0000-1100-0000AB000000}"/>
    <hyperlink ref="D174" r:id="rId173" xr:uid="{00000000-0004-0000-1100-0000AC000000}"/>
    <hyperlink ref="D175" r:id="rId174" xr:uid="{00000000-0004-0000-1100-0000AD000000}"/>
    <hyperlink ref="D176" r:id="rId175" xr:uid="{00000000-0004-0000-1100-0000AE000000}"/>
    <hyperlink ref="D177" r:id="rId176" xr:uid="{00000000-0004-0000-1100-0000AF000000}"/>
    <hyperlink ref="D178" r:id="rId177" xr:uid="{00000000-0004-0000-1100-0000B0000000}"/>
    <hyperlink ref="D179" r:id="rId178" xr:uid="{00000000-0004-0000-1100-0000B1000000}"/>
    <hyperlink ref="D180" r:id="rId179" xr:uid="{00000000-0004-0000-1100-0000B2000000}"/>
    <hyperlink ref="D181" r:id="rId180" xr:uid="{00000000-0004-0000-1100-0000B3000000}"/>
    <hyperlink ref="D182" r:id="rId181" xr:uid="{00000000-0004-0000-1100-0000B4000000}"/>
    <hyperlink ref="D183" r:id="rId182" xr:uid="{00000000-0004-0000-1100-0000B5000000}"/>
    <hyperlink ref="D184" r:id="rId183" xr:uid="{00000000-0004-0000-1100-0000B6000000}"/>
    <hyperlink ref="D185" r:id="rId184" xr:uid="{00000000-0004-0000-1100-0000B7000000}"/>
    <hyperlink ref="D186" r:id="rId185" xr:uid="{00000000-0004-0000-1100-0000B8000000}"/>
    <hyperlink ref="D187" r:id="rId186" xr:uid="{00000000-0004-0000-1100-0000B9000000}"/>
    <hyperlink ref="D188" r:id="rId187" xr:uid="{00000000-0004-0000-1100-0000BA000000}"/>
    <hyperlink ref="D189" r:id="rId188" xr:uid="{00000000-0004-0000-1100-0000BB000000}"/>
    <hyperlink ref="D190" r:id="rId189" xr:uid="{00000000-0004-0000-1100-0000BC000000}"/>
    <hyperlink ref="D191" r:id="rId190" xr:uid="{00000000-0004-0000-1100-0000BD000000}"/>
    <hyperlink ref="D192" r:id="rId191" xr:uid="{00000000-0004-0000-1100-0000BE000000}"/>
    <hyperlink ref="D193" r:id="rId192" xr:uid="{00000000-0004-0000-1100-0000BF000000}"/>
    <hyperlink ref="D194" r:id="rId193" xr:uid="{00000000-0004-0000-1100-0000C0000000}"/>
    <hyperlink ref="D195" r:id="rId194" xr:uid="{00000000-0004-0000-1100-0000C1000000}"/>
    <hyperlink ref="D196" r:id="rId195" xr:uid="{00000000-0004-0000-1100-0000C2000000}"/>
    <hyperlink ref="D197" r:id="rId196" xr:uid="{00000000-0004-0000-1100-0000C3000000}"/>
    <hyperlink ref="D198" r:id="rId197" xr:uid="{00000000-0004-0000-1100-0000C4000000}"/>
    <hyperlink ref="D199" r:id="rId198" xr:uid="{00000000-0004-0000-1100-0000C5000000}"/>
    <hyperlink ref="D200" r:id="rId199" xr:uid="{00000000-0004-0000-1100-0000C6000000}"/>
    <hyperlink ref="D201" r:id="rId200" xr:uid="{00000000-0004-0000-1100-0000C7000000}"/>
    <hyperlink ref="D202" r:id="rId201" xr:uid="{00000000-0004-0000-1100-0000C8000000}"/>
    <hyperlink ref="D203" r:id="rId202" xr:uid="{00000000-0004-0000-1100-0000C9000000}"/>
    <hyperlink ref="D204" r:id="rId203" xr:uid="{00000000-0004-0000-1100-0000CA000000}"/>
    <hyperlink ref="D205" r:id="rId204" xr:uid="{00000000-0004-0000-1100-0000CB000000}"/>
    <hyperlink ref="D206" r:id="rId205" xr:uid="{00000000-0004-0000-1100-0000CC000000}"/>
    <hyperlink ref="D207" r:id="rId206" xr:uid="{00000000-0004-0000-1100-0000CD000000}"/>
    <hyperlink ref="D208" r:id="rId207" xr:uid="{00000000-0004-0000-1100-0000CE000000}"/>
    <hyperlink ref="D209" r:id="rId208" xr:uid="{00000000-0004-0000-1100-0000CF000000}"/>
    <hyperlink ref="D210" r:id="rId209" xr:uid="{00000000-0004-0000-1100-0000D0000000}"/>
    <hyperlink ref="D211" r:id="rId210" xr:uid="{00000000-0004-0000-1100-0000D1000000}"/>
    <hyperlink ref="D212" r:id="rId211" xr:uid="{00000000-0004-0000-1100-0000D2000000}"/>
    <hyperlink ref="D213" r:id="rId212" xr:uid="{00000000-0004-0000-1100-0000D3000000}"/>
    <hyperlink ref="D214" r:id="rId213" xr:uid="{00000000-0004-0000-1100-0000D4000000}"/>
    <hyperlink ref="D215" r:id="rId214" xr:uid="{00000000-0004-0000-1100-0000D5000000}"/>
    <hyperlink ref="D216" r:id="rId215" xr:uid="{00000000-0004-0000-1100-0000D6000000}"/>
    <hyperlink ref="D217" r:id="rId216" xr:uid="{00000000-0004-0000-1100-0000D7000000}"/>
    <hyperlink ref="D218" r:id="rId217" xr:uid="{00000000-0004-0000-1100-0000D8000000}"/>
    <hyperlink ref="D219" r:id="rId218" xr:uid="{00000000-0004-0000-1100-0000D9000000}"/>
    <hyperlink ref="D220" r:id="rId219" xr:uid="{00000000-0004-0000-1100-0000DA000000}"/>
    <hyperlink ref="D221" r:id="rId220" xr:uid="{00000000-0004-0000-1100-0000DB000000}"/>
    <hyperlink ref="D222" r:id="rId221" xr:uid="{00000000-0004-0000-1100-0000DC000000}"/>
    <hyperlink ref="D223" r:id="rId222" xr:uid="{00000000-0004-0000-1100-0000DD000000}"/>
    <hyperlink ref="D224" r:id="rId223" xr:uid="{00000000-0004-0000-1100-0000DE000000}"/>
    <hyperlink ref="D225" r:id="rId224" xr:uid="{00000000-0004-0000-1100-0000DF000000}"/>
    <hyperlink ref="D226" r:id="rId225" xr:uid="{00000000-0004-0000-1100-0000E0000000}"/>
    <hyperlink ref="D227" r:id="rId226" xr:uid="{00000000-0004-0000-1100-0000E1000000}"/>
    <hyperlink ref="D228" r:id="rId227" xr:uid="{00000000-0004-0000-1100-0000E2000000}"/>
    <hyperlink ref="D229" r:id="rId228" xr:uid="{00000000-0004-0000-1100-0000E3000000}"/>
    <hyperlink ref="D230" r:id="rId229" xr:uid="{00000000-0004-0000-1100-0000E4000000}"/>
    <hyperlink ref="D231" r:id="rId230" xr:uid="{00000000-0004-0000-1100-0000E5000000}"/>
    <hyperlink ref="D232" r:id="rId231" xr:uid="{00000000-0004-0000-1100-0000E6000000}"/>
    <hyperlink ref="D233" r:id="rId232" xr:uid="{00000000-0004-0000-1100-0000E7000000}"/>
    <hyperlink ref="D234" r:id="rId233" xr:uid="{00000000-0004-0000-1100-0000E8000000}"/>
    <hyperlink ref="D235" r:id="rId234" xr:uid="{00000000-0004-0000-1100-0000E9000000}"/>
    <hyperlink ref="D236" r:id="rId235" xr:uid="{00000000-0004-0000-1100-0000EA000000}"/>
    <hyperlink ref="D237" r:id="rId236" xr:uid="{00000000-0004-0000-1100-0000EB000000}"/>
    <hyperlink ref="D238" r:id="rId237" xr:uid="{00000000-0004-0000-1100-0000EC000000}"/>
    <hyperlink ref="D239" r:id="rId238" xr:uid="{00000000-0004-0000-1100-0000ED000000}"/>
    <hyperlink ref="D240" r:id="rId239" xr:uid="{00000000-0004-0000-1100-0000EE000000}"/>
    <hyperlink ref="D241" r:id="rId240" xr:uid="{00000000-0004-0000-1100-0000EF000000}"/>
    <hyperlink ref="D242" r:id="rId241" xr:uid="{00000000-0004-0000-1100-0000F0000000}"/>
    <hyperlink ref="D243" r:id="rId242" xr:uid="{00000000-0004-0000-1100-0000F1000000}"/>
    <hyperlink ref="D244" r:id="rId243" xr:uid="{00000000-0004-0000-1100-0000F2000000}"/>
    <hyperlink ref="D245" r:id="rId244" xr:uid="{00000000-0004-0000-1100-0000F3000000}"/>
    <hyperlink ref="D246" r:id="rId245" xr:uid="{00000000-0004-0000-1100-0000F4000000}"/>
    <hyperlink ref="D247" r:id="rId246" xr:uid="{00000000-0004-0000-1100-0000F5000000}"/>
    <hyperlink ref="D248" r:id="rId247" xr:uid="{00000000-0004-0000-1100-0000F6000000}"/>
    <hyperlink ref="D249" r:id="rId248" xr:uid="{00000000-0004-0000-1100-0000F7000000}"/>
    <hyperlink ref="D250" r:id="rId249" xr:uid="{00000000-0004-0000-1100-0000F8000000}"/>
    <hyperlink ref="D251" r:id="rId250" xr:uid="{00000000-0004-0000-1100-0000F9000000}"/>
    <hyperlink ref="D252" r:id="rId251" xr:uid="{00000000-0004-0000-1100-0000FA000000}"/>
    <hyperlink ref="D253" r:id="rId252" xr:uid="{00000000-0004-0000-1100-0000FB000000}"/>
    <hyperlink ref="D254" r:id="rId253" xr:uid="{00000000-0004-0000-1100-0000FC000000}"/>
    <hyperlink ref="D255" r:id="rId254" xr:uid="{00000000-0004-0000-1100-0000FD000000}"/>
    <hyperlink ref="D256" r:id="rId255" xr:uid="{00000000-0004-0000-1100-0000FE000000}"/>
    <hyperlink ref="D257" r:id="rId256" xr:uid="{00000000-0004-0000-1100-0000FF000000}"/>
    <hyperlink ref="D258" r:id="rId257" xr:uid="{00000000-0004-0000-1100-000000010000}"/>
    <hyperlink ref="D259" r:id="rId258" xr:uid="{00000000-0004-0000-1100-000001010000}"/>
    <hyperlink ref="D260" r:id="rId259" xr:uid="{00000000-0004-0000-1100-000002010000}"/>
    <hyperlink ref="D261" r:id="rId260" xr:uid="{00000000-0004-0000-1100-000003010000}"/>
    <hyperlink ref="D262" r:id="rId261" xr:uid="{00000000-0004-0000-1100-000004010000}"/>
    <hyperlink ref="D263" r:id="rId262" xr:uid="{00000000-0004-0000-1100-000005010000}"/>
    <hyperlink ref="D264" r:id="rId263" xr:uid="{00000000-0004-0000-1100-000006010000}"/>
    <hyperlink ref="D265" r:id="rId264" xr:uid="{00000000-0004-0000-1100-000007010000}"/>
    <hyperlink ref="D266" r:id="rId265" xr:uid="{00000000-0004-0000-1100-000008010000}"/>
    <hyperlink ref="D267" r:id="rId266" xr:uid="{00000000-0004-0000-1100-000009010000}"/>
    <hyperlink ref="D268" r:id="rId267" xr:uid="{00000000-0004-0000-1100-00000A010000}"/>
    <hyperlink ref="D269" r:id="rId268" xr:uid="{00000000-0004-0000-1100-00000B010000}"/>
    <hyperlink ref="D270" r:id="rId269" xr:uid="{00000000-0004-0000-1100-00000C010000}"/>
    <hyperlink ref="D271" r:id="rId270" xr:uid="{00000000-0004-0000-1100-00000D010000}"/>
    <hyperlink ref="D272" r:id="rId271" xr:uid="{00000000-0004-0000-1100-00000E010000}"/>
    <hyperlink ref="D273" r:id="rId272" xr:uid="{00000000-0004-0000-1100-00000F010000}"/>
    <hyperlink ref="D274" r:id="rId273" xr:uid="{00000000-0004-0000-1100-000010010000}"/>
    <hyperlink ref="D275" r:id="rId274" xr:uid="{00000000-0004-0000-1100-000011010000}"/>
    <hyperlink ref="D276" r:id="rId275" xr:uid="{00000000-0004-0000-1100-000012010000}"/>
    <hyperlink ref="D277" r:id="rId276" xr:uid="{00000000-0004-0000-1100-000013010000}"/>
    <hyperlink ref="D278" r:id="rId277" xr:uid="{00000000-0004-0000-1100-000014010000}"/>
    <hyperlink ref="D279" r:id="rId278" xr:uid="{00000000-0004-0000-1100-000015010000}"/>
    <hyperlink ref="D280" r:id="rId279" xr:uid="{00000000-0004-0000-1100-000016010000}"/>
    <hyperlink ref="D281" r:id="rId280" xr:uid="{00000000-0004-0000-1100-000017010000}"/>
    <hyperlink ref="D282" r:id="rId281" xr:uid="{00000000-0004-0000-1100-000018010000}"/>
    <hyperlink ref="D283" r:id="rId282" xr:uid="{00000000-0004-0000-1100-000019010000}"/>
    <hyperlink ref="D284" r:id="rId283" xr:uid="{00000000-0004-0000-1100-00001A010000}"/>
    <hyperlink ref="D285" r:id="rId284" xr:uid="{00000000-0004-0000-1100-00001B010000}"/>
    <hyperlink ref="D286" r:id="rId285" xr:uid="{00000000-0004-0000-1100-00001C010000}"/>
    <hyperlink ref="D287" r:id="rId286" xr:uid="{00000000-0004-0000-1100-00001D010000}"/>
    <hyperlink ref="D288" r:id="rId287" xr:uid="{00000000-0004-0000-1100-00001E010000}"/>
    <hyperlink ref="D289" r:id="rId288" xr:uid="{00000000-0004-0000-1100-00001F010000}"/>
    <hyperlink ref="D290" r:id="rId289" xr:uid="{00000000-0004-0000-1100-000020010000}"/>
    <hyperlink ref="D291" r:id="rId290" xr:uid="{00000000-0004-0000-1100-000021010000}"/>
    <hyperlink ref="D292" r:id="rId291" xr:uid="{00000000-0004-0000-1100-000022010000}"/>
    <hyperlink ref="D293" r:id="rId292" xr:uid="{00000000-0004-0000-1100-000023010000}"/>
    <hyperlink ref="D294" r:id="rId293" xr:uid="{00000000-0004-0000-1100-000024010000}"/>
    <hyperlink ref="D295" r:id="rId294" xr:uid="{00000000-0004-0000-1100-000025010000}"/>
    <hyperlink ref="D296" r:id="rId295" xr:uid="{00000000-0004-0000-1100-000026010000}"/>
    <hyperlink ref="D297" r:id="rId296" xr:uid="{00000000-0004-0000-1100-000027010000}"/>
    <hyperlink ref="D298" r:id="rId297" xr:uid="{00000000-0004-0000-1100-000028010000}"/>
    <hyperlink ref="D299" r:id="rId298" xr:uid="{00000000-0004-0000-1100-000029010000}"/>
    <hyperlink ref="D300" r:id="rId299" xr:uid="{00000000-0004-0000-1100-00002A010000}"/>
    <hyperlink ref="D301" r:id="rId300" xr:uid="{00000000-0004-0000-1100-00002B010000}"/>
    <hyperlink ref="D302" r:id="rId301" xr:uid="{00000000-0004-0000-1100-00002C010000}"/>
    <hyperlink ref="D303" r:id="rId302" xr:uid="{00000000-0004-0000-1100-00002D010000}"/>
    <hyperlink ref="D304" r:id="rId303" xr:uid="{00000000-0004-0000-1100-00002E010000}"/>
    <hyperlink ref="D305" r:id="rId304" xr:uid="{00000000-0004-0000-1100-00002F010000}"/>
    <hyperlink ref="D306" r:id="rId305" xr:uid="{00000000-0004-0000-1100-000030010000}"/>
    <hyperlink ref="D307" r:id="rId306" xr:uid="{00000000-0004-0000-1100-000031010000}"/>
    <hyperlink ref="D308" r:id="rId307" xr:uid="{00000000-0004-0000-1100-000032010000}"/>
    <hyperlink ref="D309" r:id="rId308" xr:uid="{00000000-0004-0000-1100-000033010000}"/>
    <hyperlink ref="D310" r:id="rId309" xr:uid="{00000000-0004-0000-1100-000034010000}"/>
    <hyperlink ref="D311" r:id="rId310" xr:uid="{00000000-0004-0000-1100-000035010000}"/>
    <hyperlink ref="D312" r:id="rId311" xr:uid="{00000000-0004-0000-1100-000036010000}"/>
    <hyperlink ref="D313" r:id="rId312" xr:uid="{00000000-0004-0000-1100-000037010000}"/>
    <hyperlink ref="D314" r:id="rId313" xr:uid="{00000000-0004-0000-1100-000038010000}"/>
    <hyperlink ref="D315" r:id="rId314" xr:uid="{00000000-0004-0000-1100-000039010000}"/>
    <hyperlink ref="D316" r:id="rId315" xr:uid="{00000000-0004-0000-1100-00003A010000}"/>
    <hyperlink ref="D317" r:id="rId316" xr:uid="{00000000-0004-0000-1100-00003B010000}"/>
    <hyperlink ref="D318" r:id="rId317" xr:uid="{00000000-0004-0000-1100-00003C010000}"/>
    <hyperlink ref="D319" r:id="rId318" xr:uid="{00000000-0004-0000-1100-00003D010000}"/>
    <hyperlink ref="D320" r:id="rId319" xr:uid="{00000000-0004-0000-1100-00003E010000}"/>
    <hyperlink ref="D321" r:id="rId320" xr:uid="{00000000-0004-0000-1100-00003F010000}"/>
    <hyperlink ref="D322" r:id="rId321" xr:uid="{00000000-0004-0000-1100-000040010000}"/>
    <hyperlink ref="D323" r:id="rId322" xr:uid="{00000000-0004-0000-1100-00004101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AE64251E621DC4EAA1D305EC56230F3" ma:contentTypeVersion="3" ma:contentTypeDescription="Create a new document." ma:contentTypeScope="" ma:versionID="4e61b3755a602d0c78739f2cc52d316b">
  <xsd:schema xmlns:xsd="http://www.w3.org/2001/XMLSchema" xmlns:xs="http://www.w3.org/2001/XMLSchema" xmlns:p="http://schemas.microsoft.com/office/2006/metadata/properties" xmlns:ns2="3b36bd2e-c813-4c61-8167-4957c0660b97" targetNamespace="http://schemas.microsoft.com/office/2006/metadata/properties" ma:root="true" ma:fieldsID="5696ffeb45c358ff8fd45dfd9dbf047f" ns2:_="">
    <xsd:import namespace="3b36bd2e-c813-4c61-8167-4957c0660b9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36bd2e-c813-4c61-8167-4957c0660b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613FCC-8FD5-4645-BF23-33C2330050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BB07B51-25B7-4099-A75A-B199362D9354}">
  <ds:schemaRefs>
    <ds:schemaRef ds:uri="http://schemas.microsoft.com/sharepoint/v3/contenttype/forms"/>
  </ds:schemaRefs>
</ds:datastoreItem>
</file>

<file path=customXml/itemProps3.xml><?xml version="1.0" encoding="utf-8"?>
<ds:datastoreItem xmlns:ds="http://schemas.openxmlformats.org/officeDocument/2006/customXml" ds:itemID="{3ABE2DC8-B346-4CF5-B03D-1797E44E07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36bd2e-c813-4c61-8167-4957c0660b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Read Me</vt:lpstr>
      <vt:lpstr>Dashboard</vt:lpstr>
      <vt:lpstr>Env Eng</vt:lpstr>
      <vt:lpstr>Civil Eng</vt:lpstr>
      <vt:lpstr>Structural Eng</vt:lpstr>
      <vt:lpstr>Electrical Eng</vt:lpstr>
      <vt:lpstr>Fire Eng</vt:lpstr>
      <vt:lpstr>Owners Eng</vt:lpstr>
      <vt:lpstr>Eng of Record</vt:lpstr>
      <vt:lpstr>Independent Eng</vt:lpstr>
      <vt:lpstr>BESS Equipment</vt:lpstr>
      <vt:lpstr>MV Transformers</vt:lpstr>
      <vt:lpstr>HV Breakers</vt:lpstr>
      <vt:lpstr>MV Breakers</vt:lpstr>
      <vt:lpstr>EPC</vt:lpstr>
      <vt:lpstr>Software</vt:lpstr>
      <vt:lpstr>Lists</vt:lpstr>
      <vt:lpstr>Sources</vt:lpstr>
      <vt:lpstr>lst_fin</vt:lpstr>
      <vt:lpstr>lst_rfx</vt:lpstr>
      <vt:lpstr>lst_scr</vt:lpstr>
      <vt:lpstr>lst_status</vt:lpstr>
      <vt:lpstr>lst_ver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Jason Knedlhans</cp:lastModifiedBy>
  <cp:revision>0</cp:revision>
  <dcterms:created xsi:type="dcterms:W3CDTF">2026-10-05T17:17:20Z</dcterms:created>
  <dcterms:modified xsi:type="dcterms:W3CDTF">2026-10-05T17:31:49Z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0x0101008AE64251E621DC4EAA1D305EC56230F3</vt:lpwstr>
  </property>
</Properties>
</file>