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comments8.xml" ContentType="application/vnd.openxmlformats-officedocument.spreadsheetml.comments+xml"/>
  <Override PartName="/xl/theme/theme1.xml" ContentType="application/vnd.openxmlformats-officedocument.theme+xml"/>
  <Override PartName="/xl/comments6.xml" ContentType="application/vnd.openxmlformats-officedocument.spreadsheetml.comments+xml"/>
  <Override PartName="/xl/styles.xml" ContentType="application/vnd.openxmlformats-officedocument.spreadsheetml.styles+xml"/>
  <Override PartName="/xl/comments16.xml" ContentType="application/vnd.openxmlformats-officedocument.spreadsheetml.comments+xml"/>
  <Override PartName="/xl/comments5.xml" ContentType="application/vnd.openxmlformats-officedocument.spreadsheetml.comments+xml"/>
  <Override PartName="/xl/comments15.xml" ContentType="application/vnd.openxmlformats-officedocument.spreadsheetml.comments+xml"/>
  <Override PartName="/xl/comments12.xml" ContentType="application/vnd.openxmlformats-officedocument.spreadsheetml.comments+xml"/>
  <Override PartName="/xl/comments11.xml" ContentType="application/vnd.openxmlformats-officedocument.spreadsheetml.comments+xml"/>
  <Override PartName="/xl/comments10.xml" ContentType="application/vnd.openxmlformats-officedocument.spreadsheetml.comments+xml"/>
  <Override PartName="/xl/workbook.xml" ContentType="application/vnd.openxmlformats-officedocument.spreadsheetml.sheet.main+xml"/>
  <Override PartName="/xl/comments7.xml" ContentType="application/vnd.openxmlformats-officedocument.spreadsheetml.comments+xml"/>
  <Override PartName="/xl/drawings/drawing7.xml" ContentType="application/vnd.openxmlformats-officedocument.drawing+xml"/>
  <Override PartName="/xl/drawings/vmlDrawing6.vml" ContentType="application/vnd.openxmlformats-officedocument.vmlDrawing"/>
  <Override PartName="/xl/drawings/drawing6.xml" ContentType="application/vnd.openxmlformats-officedocument.drawing+xml"/>
  <Override PartName="/xl/drawings/vmlDrawing5.vml" ContentType="application/vnd.openxmlformats-officedocument.vmlDrawing"/>
  <Override PartName="/xl/drawings/drawing15.xml" ContentType="application/vnd.openxmlformats-officedocument.drawing+xml"/>
  <Override PartName="/xl/drawings/drawing5.xml" ContentType="application/vnd.openxmlformats-officedocument.drawing+xml"/>
  <Override PartName="/xl/drawings/vmlDrawing4.vml" ContentType="application/vnd.openxmlformats-officedocument.vmlDrawing"/>
  <Override PartName="/xl/drawings/drawing14.xml" ContentType="application/vnd.openxmlformats-officedocument.drawing+xml"/>
  <Override PartName="/xl/drawings/drawing4.xml" ContentType="application/vnd.openxmlformats-officedocument.drawing+xml"/>
  <Override PartName="/xl/drawings/vmlDrawing3.vml" ContentType="application/vnd.openxmlformats-officedocument.vmlDrawing"/>
  <Override PartName="/xl/drawings/drawing13.xml" ContentType="application/vnd.openxmlformats-officedocument.drawing+xml"/>
  <Override PartName="/xl/drawings/drawing3.xml" ContentType="application/vnd.openxmlformats-officedocument.drawing+xml"/>
  <Override PartName="/xl/drawings/vmlDrawing2.vml" ContentType="application/vnd.openxmlformats-officedocument.vmlDrawing"/>
  <Override PartName="/xl/drawings/drawing12.xml" ContentType="application/vnd.openxmlformats-officedocument.drawing+xml"/>
  <Override PartName="/xl/drawings/vmlDrawing14.vml" ContentType="application/vnd.openxmlformats-officedocument.vmlDrawing"/>
  <Override PartName="/xl/drawings/vmlDrawing13.vml" ContentType="application/vnd.openxmlformats-officedocument.vmlDrawing"/>
  <Override PartName="/xl/drawings/vmlDrawing12.vml" ContentType="application/vnd.openxmlformats-officedocument.vmlDrawing"/>
  <Override PartName="/xl/drawings/vmlDrawing11.vml" ContentType="application/vnd.openxmlformats-officedocument.vmlDrawing"/>
  <Override PartName="/xl/drawings/vmlDrawing10.vml" ContentType="application/vnd.openxmlformats-officedocument.vmlDrawing"/>
  <Override PartName="/xl/drawings/vmlDrawing9.vml" ContentType="application/vnd.openxmlformats-officedocument.vmlDrawing"/>
  <Override PartName="/xl/drawings/drawing2.xml" ContentType="application/vnd.openxmlformats-officedocument.drawing+xml"/>
  <Override PartName="/xl/drawings/vmlDrawing1.vml" ContentType="application/vnd.openxmlformats-officedocument.vmlDrawing"/>
  <Override PartName="/xl/drawings/drawing11.xml" ContentType="application/vnd.openxmlformats-officedocument.drawing+xml"/>
  <Override PartName="/xl/drawings/drawing9.xml" ContentType="application/vnd.openxmlformats-officedocument.drawing+xml"/>
  <Override PartName="/xl/drawings/vmlDrawing8.vml" ContentType="application/vnd.openxmlformats-officedocument.vmlDrawing"/>
  <Override PartName="/xl/drawings/drawing8.xml" ContentType="application/vnd.openxmlformats-officedocument.drawing+xml"/>
  <Override PartName="/xl/drawings/vmlDrawing7.vml" ContentType="application/vnd.openxmlformats-officedocument.vmlDrawing"/>
  <Override PartName="/xl/drawings/drawing10.xml" ContentType="application/vnd.openxmlformats-officedocument.drawing+xml"/>
  <Override PartName="/xl/drawings/drawing1.xml" ContentType="application/vnd.openxmlformats-officedocument.drawing+xml"/>
  <Override PartName="/xl/comments13.xml" ContentType="application/vnd.openxmlformats-officedocument.spreadsheetml.comments+xml"/>
  <Override PartName="/xl/comments3.xml" ContentType="application/vnd.openxmlformats-officedocument.spreadsheetml.comments+xml"/>
  <Override PartName="/xl/worksheets/_rels/sheet5.xml.rels" ContentType="application/vnd.openxmlformats-package.relationships+xml"/>
  <Override PartName="/xl/worksheets/_rels/sheet14.xml.rels" ContentType="application/vnd.openxmlformats-package.relationships+xml"/>
  <Override PartName="/xl/worksheets/_rels/sheet8.xml.rels" ContentType="application/vnd.openxmlformats-package.relationships+xml"/>
  <Override PartName="/xl/worksheets/_rels/sheet11.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18.xml.rels" ContentType="application/vnd.openxmlformats-package.relationships+xml"/>
  <Override PartName="/xl/worksheets/_rels/sheet16.xml.rels" ContentType="application/vnd.openxmlformats-package.relationships+xml"/>
  <Override PartName="/xl/worksheets/_rels/sheet15.xml.rels" ContentType="application/vnd.openxmlformats-package.relationships+xml"/>
  <Override PartName="/xl/worksheets/_rels/sheet9.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sheet17.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16.xml" ContentType="application/vnd.openxmlformats-officedocument.spreadsheetml.worksheet+xml"/>
  <Override PartName="/xl/worksheets/sheet2.xml" ContentType="application/vnd.openxmlformats-officedocument.spreadsheetml.worksheet+xml"/>
  <Override PartName="/xl/comments9.xml" ContentType="application/vnd.openxmlformats-officedocument.spreadsheetml.comments+xml"/>
  <Override PartName="/xl/comments14.xml" ContentType="application/vnd.openxmlformats-officedocument.spreadsheetml.comments+xml"/>
  <Override PartName="/xl/comments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8.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4.xml" ContentType="application/vnd.openxmlformats-officedocument.spreadsheetml.worksheet+xml"/>
  <Override PartName="/xl/worksheets/sheet15.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xl/_rels/workbook.xml.rels" ContentType="application/vnd.openxmlformats-package.relationship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Dashboard" sheetId="2" state="visible" r:id="rId4"/>
    <sheet name="Env Eng" sheetId="3" state="visible" r:id="rId5"/>
    <sheet name="Civil Eng" sheetId="4" state="visible" r:id="rId6"/>
    <sheet name="Structural Eng" sheetId="5" state="visible" r:id="rId7"/>
    <sheet name="Electrical Eng" sheetId="6" state="visible" r:id="rId8"/>
    <sheet name="Fire Eng" sheetId="7" state="visible" r:id="rId9"/>
    <sheet name="Owners Eng" sheetId="8" state="visible" r:id="rId10"/>
    <sheet name="Eng of Record" sheetId="9" state="visible" r:id="rId11"/>
    <sheet name="Independent Eng" sheetId="10" state="visible" r:id="rId12"/>
    <sheet name="BESS Equipment" sheetId="11" state="visible" r:id="rId13"/>
    <sheet name="MV Transformers" sheetId="12" state="visible" r:id="rId14"/>
    <sheet name="HV Breakers" sheetId="13" state="visible" r:id="rId15"/>
    <sheet name="MV Breakers" sheetId="14" state="visible" r:id="rId16"/>
    <sheet name="EPC" sheetId="15" state="visible" r:id="rId17"/>
    <sheet name="Software" sheetId="16" state="visible" r:id="rId18"/>
    <sheet name="Lists" sheetId="17" state="visible" r:id="rId19"/>
    <sheet name="Sources" sheetId="18" state="visible" r:id="rId20"/>
  </sheets>
  <definedNames>
    <definedName function="false" hidden="true" localSheetId="10" name="_xlnm._FilterDatabase" vbProcedure="false">'BESS Equipment'!$A$4:$W$14</definedName>
    <definedName function="false" hidden="true" localSheetId="3" name="_xlnm._FilterDatabase" vbProcedure="false">'Civil Eng'!$A$4:$W$11</definedName>
    <definedName function="false" hidden="true" localSheetId="5" name="_xlnm._FilterDatabase" vbProcedure="false">'Electrical Eng'!$A$4:$W$12</definedName>
    <definedName function="false" hidden="true" localSheetId="8" name="_xlnm._FilterDatabase" vbProcedure="false">'Eng of Record'!$A$4:$W$11</definedName>
    <definedName function="false" hidden="true" localSheetId="2" name="_xlnm._FilterDatabase" vbProcedure="false">'Env Eng'!$A$4:$W$12</definedName>
    <definedName function="false" hidden="true" localSheetId="14" name="_xlnm._FilterDatabase" vbProcedure="false">EPC!$A$4:$W$12</definedName>
    <definedName function="false" hidden="true" localSheetId="6" name="_xlnm._FilterDatabase" vbProcedure="false">'Fire Eng'!$A$4:$W$11</definedName>
    <definedName function="false" hidden="true" localSheetId="12" name="_xlnm._FilterDatabase" vbProcedure="false">'HV Breakers'!$A$4:$W$10</definedName>
    <definedName function="false" hidden="true" localSheetId="9" name="_xlnm._FilterDatabase" vbProcedure="false">'Independent Eng'!$A$4:$W$10</definedName>
    <definedName function="false" hidden="true" localSheetId="13" name="_xlnm._FilterDatabase" vbProcedure="false">'MV Breakers'!$A$4:$W$11</definedName>
    <definedName function="false" hidden="true" localSheetId="11" name="_xlnm._FilterDatabase" vbProcedure="false">'MV Transformers'!$A$4:$W$14</definedName>
    <definedName function="false" hidden="true" localSheetId="7" name="_xlnm._FilterDatabase" vbProcedure="false">'Owners Eng'!$A$4:$W$11</definedName>
    <definedName function="false" hidden="true" localSheetId="15" name="_xlnm._FilterDatabase" vbProcedure="false">Software!$A$4:$W$16</definedName>
    <definedName function="false" hidden="true" localSheetId="17" name="_xlnm._FilterDatabase" vbProcedure="false">Sources!$A$1:$D$323</definedName>
    <definedName function="false" hidden="true" localSheetId="4" name="_xlnm._FilterDatabase" vbProcedure="false">'Structural Eng'!$A$4:$W$10</definedName>
    <definedName function="false" hidden="false" name="lst_fin" vbProcedure="false">Lists!$C$2:$C$5</definedName>
    <definedName function="false" hidden="false" name="lst_rfx" vbProcedure="false">Lists!$B$2:$B$9</definedName>
    <definedName function="false" hidden="false" name="lst_scr" vbProcedure="false">Lists!$D$2:$D$6</definedName>
    <definedName function="false" hidden="false" name="lst_status" vbProcedure="false">Lists!$A$2:$A$7</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T4" authorId="0">
      <text>
        <r>
          <rPr>
            <sz val="10"/>
            <rFont val="Arial"/>
            <family val="2"/>
          </rPr>
          <t xml:space="preserve">Default 'Not Assessed'. Rate only after reviewing financial statements, credit reports, or lender acceptance.</t>
        </r>
      </text>
    </comment>
    <comment ref="W4" authorId="0">
      <text>
        <r>
          <rPr>
            <sz val="10"/>
            <rFont val="Arial"/>
            <family val="2"/>
          </rPr>
          <t xml:space="preserve">FEOC Review = sources mention foreign-entity-of-concern / Chinese-parent or China-origin cell exposure. Flag only; not a determination. Confirm with counsel/tax advisor.</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T4" authorId="0">
      <text>
        <r>
          <rPr>
            <sz val="10"/>
            <rFont val="Arial"/>
            <family val="2"/>
          </rPr>
          <t xml:space="preserve">Default 'Not Assessed'. Rate only after reviewing financial statements, credit reports, or lender acceptance.</t>
        </r>
      </text>
    </comment>
    <comment ref="W4" authorId="0">
      <text>
        <r>
          <rPr>
            <sz val="10"/>
            <rFont val="Arial"/>
            <family val="2"/>
          </rPr>
          <t xml:space="preserve">FEOC Review = sources mention foreign-entity-of-concern / Chinese-parent or China-origin cell exposure. Flag only; not a determination. Confirm with counsel/tax advisor.</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T4" authorId="0">
      <text>
        <r>
          <rPr>
            <sz val="10"/>
            <rFont val="Arial"/>
            <family val="2"/>
          </rPr>
          <t xml:space="preserve">Default 'Not Assessed'. Rate only after reviewing financial statements, credit reports, or lender acceptance.</t>
        </r>
      </text>
    </comment>
    <comment ref="W4" authorId="0">
      <text>
        <r>
          <rPr>
            <sz val="10"/>
            <rFont val="Arial"/>
            <family val="2"/>
          </rPr>
          <t xml:space="preserve">FEOC Review = sources mention foreign-entity-of-concern / Chinese-parent or China-origin cell exposure. Flag only; not a determination. Confirm with counsel/tax advisor.</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T4" authorId="0">
      <text>
        <r>
          <rPr>
            <sz val="10"/>
            <rFont val="Arial"/>
            <family val="2"/>
          </rPr>
          <t xml:space="preserve">Default 'Not Assessed'. Rate only after reviewing financial statements, credit reports, or lender acceptance.</t>
        </r>
      </text>
    </comment>
    <comment ref="W4" authorId="0">
      <text>
        <r>
          <rPr>
            <sz val="10"/>
            <rFont val="Arial"/>
            <family val="2"/>
          </rPr>
          <t xml:space="preserve">FEOC Review = sources mention foreign-entity-of-concern / Chinese-parent or China-origin cell exposure. Flag only; not a determination. Confirm with counsel/tax advisor.</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T4" authorId="0">
      <text>
        <r>
          <rPr>
            <sz val="10"/>
            <rFont val="Arial"/>
            <family val="2"/>
          </rPr>
          <t xml:space="preserve">Default 'Not Assessed'. Rate only after reviewing financial statements, credit reports, or lender acceptance.</t>
        </r>
      </text>
    </comment>
    <comment ref="W4" authorId="0">
      <text>
        <r>
          <rPr>
            <sz val="10"/>
            <rFont val="Arial"/>
            <family val="2"/>
          </rPr>
          <t xml:space="preserve">FEOC Review = sources mention foreign-entity-of-concern / Chinese-parent or China-origin cell exposure. Flag only; not a determination. Confirm with counsel/tax advisor.</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T4" authorId="0">
      <text>
        <r>
          <rPr>
            <sz val="10"/>
            <rFont val="Arial"/>
            <family val="2"/>
          </rPr>
          <t xml:space="preserve">Default 'Not Assessed'. Rate only after reviewing financial statements, credit reports, or lender acceptance.</t>
        </r>
      </text>
    </comment>
    <comment ref="W4" authorId="0">
      <text>
        <r>
          <rPr>
            <sz val="10"/>
            <rFont val="Arial"/>
            <family val="2"/>
          </rPr>
          <t xml:space="preserve">FEOC Review = sources mention foreign-entity-of-concern / Chinese-parent or China-origin cell exposure. Flag only; not a determination. Confirm with counsel/tax advisor.</t>
        </r>
      </text>
    </comment>
  </commentList>
</comments>
</file>

<file path=xl/comments9.xml><?xml version="1.0" encoding="utf-8"?>
<comments xmlns="http://schemas.openxmlformats.org/spreadsheetml/2006/main" xmlns:xdr="http://schemas.openxmlformats.org/drawingml/2006/spreadsheetDrawing">
  <authors>
    <author>Unknown Author</author>
  </authors>
  <commentList>
    <comment ref="T4" authorId="0">
      <text>
        <r>
          <rPr>
            <sz val="10"/>
            <rFont val="Arial"/>
            <family val="2"/>
          </rPr>
          <t xml:space="preserve">Default 'Not Assessed'. Rate only after reviewing financial statements, credit reports, or lender acceptance.</t>
        </r>
      </text>
    </comment>
    <comment ref="W4" authorId="0">
      <text>
        <r>
          <rPr>
            <sz val="10"/>
            <rFont val="Arial"/>
            <family val="2"/>
          </rPr>
          <t xml:space="preserve">FEOC Review = sources mention foreign-entity-of-concern / Chinese-parent or China-origin cell exposure. Flag only; not a determination. Confirm with counsel/tax advisor.</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T4" authorId="0">
      <text>
        <r>
          <rPr>
            <sz val="10"/>
            <rFont val="Arial"/>
            <family val="2"/>
          </rPr>
          <t xml:space="preserve">Default 'Not Assessed'. Rate only after reviewing financial statements, credit reports, or lender acceptance.</t>
        </r>
      </text>
    </comment>
    <comment ref="W4" authorId="0">
      <text>
        <r>
          <rPr>
            <sz val="10"/>
            <rFont val="Arial"/>
            <family val="2"/>
          </rPr>
          <t xml:space="preserve">FEOC Review = sources mention foreign-entity-of-concern / Chinese-parent or China-origin cell exposure. Flag only; not a determination. Confirm with counsel/tax advisor.</t>
        </r>
      </text>
    </comment>
  </commentList>
</comments>
</file>

<file path=xl/comments11.xml><?xml version="1.0" encoding="utf-8"?>
<comments xmlns="http://schemas.openxmlformats.org/spreadsheetml/2006/main" xmlns:xdr="http://schemas.openxmlformats.org/drawingml/2006/spreadsheetDrawing">
  <authors>
    <author>Unknown Author</author>
  </authors>
  <commentList>
    <comment ref="T4" authorId="0">
      <text>
        <r>
          <rPr>
            <sz val="10"/>
            <rFont val="Arial"/>
            <family val="2"/>
          </rPr>
          <t xml:space="preserve">Default 'Not Assessed'. Rate only after reviewing financial statements, credit reports, or lender acceptance.</t>
        </r>
      </text>
    </comment>
    <comment ref="W4" authorId="0">
      <text>
        <r>
          <rPr>
            <sz val="10"/>
            <rFont val="Arial"/>
            <family val="2"/>
          </rPr>
          <t xml:space="preserve">FEOC Review = sources mention foreign-entity-of-concern / Chinese-parent or China-origin cell exposure. Flag only; not a determination. Confirm with counsel/tax advisor.</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T4" authorId="0">
      <text>
        <r>
          <rPr>
            <sz val="10"/>
            <rFont val="Arial"/>
            <family val="2"/>
          </rPr>
          <t xml:space="preserve">Default 'Not Assessed'. Rate only after reviewing financial statements, credit reports, or lender acceptance.</t>
        </r>
      </text>
    </comment>
    <comment ref="W4" authorId="0">
      <text>
        <r>
          <rPr>
            <sz val="10"/>
            <rFont val="Arial"/>
            <family val="2"/>
          </rPr>
          <t xml:space="preserve">FEOC Review = sources mention foreign-entity-of-concern / Chinese-parent or China-origin cell exposure. Flag only; not a determination. Confirm with counsel/tax advisor.</t>
        </r>
      </text>
    </comment>
  </commentList>
</comments>
</file>

<file path=xl/comments13.xml><?xml version="1.0" encoding="utf-8"?>
<comments xmlns="http://schemas.openxmlformats.org/spreadsheetml/2006/main" xmlns:xdr="http://schemas.openxmlformats.org/drawingml/2006/spreadsheetDrawing">
  <authors>
    <author>Unknown Author</author>
  </authors>
  <commentList>
    <comment ref="T4" authorId="0">
      <text>
        <r>
          <rPr>
            <sz val="10"/>
            <rFont val="Arial"/>
            <family val="2"/>
          </rPr>
          <t xml:space="preserve">Default 'Not Assessed'. Rate only after reviewing financial statements, credit reports, or lender acceptance.</t>
        </r>
      </text>
    </comment>
    <comment ref="W4" authorId="0">
      <text>
        <r>
          <rPr>
            <sz val="10"/>
            <rFont val="Arial"/>
            <family val="2"/>
          </rPr>
          <t xml:space="preserve">FEOC Review = sources mention foreign-entity-of-concern / Chinese-parent or China-origin cell exposure. Flag only; not a determination. Confirm with counsel/tax advisor.</t>
        </r>
      </text>
    </comment>
  </commentList>
</comments>
</file>

<file path=xl/comments14.xml><?xml version="1.0" encoding="utf-8"?>
<comments xmlns="http://schemas.openxmlformats.org/spreadsheetml/2006/main" xmlns:xdr="http://schemas.openxmlformats.org/drawingml/2006/spreadsheetDrawing">
  <authors>
    <author>Unknown Author</author>
  </authors>
  <commentList>
    <comment ref="T4" authorId="0">
      <text>
        <r>
          <rPr>
            <sz val="10"/>
            <rFont val="Arial"/>
            <family val="2"/>
          </rPr>
          <t xml:space="preserve">Default 'Not Assessed'. Rate only after reviewing financial statements, credit reports, or lender acceptance.</t>
        </r>
      </text>
    </comment>
    <comment ref="W4" authorId="0">
      <text>
        <r>
          <rPr>
            <sz val="10"/>
            <rFont val="Arial"/>
            <family val="2"/>
          </rPr>
          <t xml:space="preserve">FEOC Review = sources mention foreign-entity-of-concern / Chinese-parent or China-origin cell exposure. Flag only; not a determination. Confirm with counsel/tax advisor.</t>
        </r>
      </text>
    </comment>
  </commentList>
</comments>
</file>

<file path=xl/comments15.xml><?xml version="1.0" encoding="utf-8"?>
<comments xmlns="http://schemas.openxmlformats.org/spreadsheetml/2006/main" xmlns:xdr="http://schemas.openxmlformats.org/drawingml/2006/spreadsheetDrawing">
  <authors>
    <author>Unknown Author</author>
  </authors>
  <commentList>
    <comment ref="T4" authorId="0">
      <text>
        <r>
          <rPr>
            <sz val="10"/>
            <rFont val="Arial"/>
            <family val="2"/>
          </rPr>
          <t xml:space="preserve">Default 'Not Assessed'. Rate only after reviewing financial statements, credit reports, or lender acceptance.</t>
        </r>
      </text>
    </comment>
    <comment ref="W4" authorId="0">
      <text>
        <r>
          <rPr>
            <sz val="10"/>
            <rFont val="Arial"/>
            <family val="2"/>
          </rPr>
          <t xml:space="preserve">FEOC Review = sources mention foreign-entity-of-concern / Chinese-parent or China-origin cell exposure. Flag only; not a determination. Confirm with counsel/tax advisor.</t>
        </r>
      </text>
    </comment>
  </commentList>
</comments>
</file>

<file path=xl/comments16.xml><?xml version="1.0" encoding="utf-8"?>
<comments xmlns="http://schemas.openxmlformats.org/spreadsheetml/2006/main" xmlns:xdr="http://schemas.openxmlformats.org/drawingml/2006/spreadsheetDrawing">
  <authors>
    <author>Unknown Author</author>
  </authors>
  <commentList>
    <comment ref="T4" authorId="0">
      <text>
        <r>
          <rPr>
            <sz val="10"/>
            <rFont val="Arial"/>
            <family val="2"/>
          </rPr>
          <t xml:space="preserve">Default 'Not Assessed'. Rate only after reviewing financial statements, credit reports, or lender acceptance.</t>
        </r>
      </text>
    </comment>
    <comment ref="W4" authorId="0">
      <text>
        <r>
          <rPr>
            <sz val="10"/>
            <rFont val="Arial"/>
            <family val="2"/>
          </rPr>
          <t xml:space="preserve">FEOC Review = sources mention foreign-entity-of-concern / Chinese-parent or China-origin cell exposure. Flag only; not a determination. Confirm with counsel/tax advisor.</t>
        </r>
      </text>
    </comment>
  </commentList>
</comments>
</file>

<file path=xl/sharedStrings.xml><?xml version="1.0" encoding="utf-8"?>
<sst xmlns="http://schemas.openxmlformats.org/spreadsheetml/2006/main" count="3531" uniqueCount="1294">
  <si>
    <t xml:space="preserve">Vendor Landscape Tracker</t>
  </si>
  <si>
    <t xml:space="preserve">Agentic — Procurement | v02 | 2026-10-05 | Owner: Jason Knedlhans | Classification: Internal</t>
  </si>
  <si>
    <t xml:space="preserve">PURPOSE</t>
  </si>
  <si>
    <t xml:space="preserve">What</t>
  </si>
  <si>
    <t xml:space="preserve">Landscape of candidate vendors for each Agentic procurement scope; feeds prequalification, RFI/RFP/RFQ invitations and the AVL (Objectives 1 and 4).</t>
  </si>
  <si>
    <t xml:space="preserve">Structure</t>
  </si>
  <si>
    <t xml:space="preserve">Dashboard (live counts) → 14 vendor tabs (one per scope) → Lists (dropdown values) → Sources (all URLs used to seed).</t>
  </si>
  <si>
    <t xml:space="preserve">HOW TO USE</t>
  </si>
  <si>
    <t xml:space="preserve">Add a vendor</t>
  </si>
  <si>
    <t xml:space="preserve">Type in the next empty row of the right tab. Use the next Vendor ID (e.g., ENV-009). Dashboard updates automatically.</t>
  </si>
  <si>
    <t xml:space="preserve">Yellow columns</t>
  </si>
  <si>
    <t xml:space="preserve">Enter from direct vendor contact: Primary Contact Name/Title/Email/Phone.</t>
  </si>
  <si>
    <t xml:space="preserve">Dropdowns</t>
  </si>
  <si>
    <t xml:space="preserve">Qualification Status, Last RFx Stage, Financial Strength, Supply Chain Risk. Edit options on the Lists tab only.</t>
  </si>
  <si>
    <t xml:space="preserve">Verify before use</t>
  </si>
  <si>
    <t xml:space="preserve">Seeded data is unverified while a vendor is in Discovery. Confirm HQ, contact and ownership before moving it to Prequalified. Seed sources are on the Sources tab.</t>
  </si>
  <si>
    <t xml:space="preserve">Column scope</t>
  </si>
  <si>
    <t xml:space="preserve">Tracking columns (last contact, next action, notes, verified flag, source) removed per Procurement Lead 2026-10-05. Do not add them to new tabs.</t>
  </si>
  <si>
    <t xml:space="preserve">QUALIFICATION STATUS (per CONTEXT.md process)</t>
  </si>
  <si>
    <t xml:space="preserve">Discovery</t>
  </si>
  <si>
    <t xml:space="preserve">Identified in market scan; no contact yet. All seeded vendors start here.</t>
  </si>
  <si>
    <t xml:space="preserve">Prequalified</t>
  </si>
  <si>
    <t xml:space="preserve">Passed prequalification (as part of or before RFI).</t>
  </si>
  <si>
    <t xml:space="preserve">Qualified</t>
  </si>
  <si>
    <t xml:space="preserve">Passed qualification (as part of RFP).</t>
  </si>
  <si>
    <t xml:space="preserve">AVL</t>
  </si>
  <si>
    <t xml:space="preserve">On Approved Vendor List; eligible for RFQ.</t>
  </si>
  <si>
    <t xml:space="preserve">On Hold</t>
  </si>
  <si>
    <t xml:space="preserve">Paused (capacity, pending M&amp;A, info outstanding).</t>
  </si>
  <si>
    <t xml:space="preserve">Disqualified</t>
  </si>
  <si>
    <t xml:space="preserve">Failed a gate or excluded; record reason in Notes.</t>
  </si>
  <si>
    <t xml:space="preserve">ADDITIONAL TRACKED ITEMS (selected 2026-10-05)</t>
  </si>
  <si>
    <t xml:space="preserve">Financial Strength / Bankability</t>
  </si>
  <si>
    <t xml:space="preserve">Ownership/parent, financial notes (M&amp;A, listings, scale), and a rating (Strong / Adequate / Weak / Not Assessed). Why: counterparty, warranty and lender-acceptance risk on long-lead, high-value scopes.</t>
  </si>
  <si>
    <t xml:space="preserve">Supply Chain / Origin Risk</t>
  </si>
  <si>
    <t xml:space="preserve">Manufacturing/cell origin or staff/delivery origin, plus a risk flag. Why: FEOC rules, tariffs and lead-time exposure, esp. BESS and transformers.</t>
  </si>
  <si>
    <t xml:space="preserve">SEEDED DATA — LIMITS AND RISKS</t>
  </si>
  <si>
    <t xml:space="preserve">Status</t>
  </si>
  <si>
    <t xml:space="preserve">Seeded by AI web research on 2026-10-05. Every seeded row is 'Discovery'. Not confirmed market data.</t>
  </si>
  <si>
    <t xml:space="preserve">Contacts</t>
  </si>
  <si>
    <t xml:space="preserve">Only main phone numbers/contact pages published on official pages were entered. No individual contacts were added; blanks mean not confirmed.</t>
  </si>
  <si>
    <t xml:space="preserve">Financial Strength</t>
  </si>
  <si>
    <t xml:space="preserve">All set to 'Not Assessed'. AI did not rate financial strength; ratings need statements, credit reports or lender acceptance.</t>
  </si>
  <si>
    <t xml:space="preserve">FEOC Review flag</t>
  </si>
  <si>
    <t xml:space="preserve">Set where sources mention Chinese-parent or China-origin cell exposure. It is a review flag, not a legal determination; confirm with counsel/tax advisor.</t>
  </si>
  <si>
    <t xml:space="preserve">Pending M&amp;A (as of 2026-10-05)</t>
  </si>
  <si>
    <t xml:space="preserve">Bowman (Bernhard Capital, pending), Jensen Hughes (New Mountain Capital, expected Q4 2026), PCI Energy Solutions (Mitsubishi Electric, pending), Enverus (Blackstone; close not confirmed). Re-check before RFx.</t>
  </si>
  <si>
    <t xml:space="preserve">Common ownership</t>
  </si>
  <si>
    <t xml:space="preserve">WSP owns POWER Engineers and TRC; MasTec owns former IEA/Wanzek/White. Treat as related bidders when assessing competition.</t>
  </si>
  <si>
    <t xml:space="preserve">Thin markets</t>
  </si>
  <si>
    <t xml:space="preserve">HV Breakers: ~5 suppliers with current 345 kV offerings (HD Hyundai listed as watchlist). Expect long lead times; engage early.</t>
  </si>
  <si>
    <t xml:space="preserve">Duplicates</t>
  </si>
  <si>
    <t xml:space="preserve">Some firms sit on several tabs by design (one row per scope). Keep contact data consistent across tabs.</t>
  </si>
  <si>
    <t xml:space="preserve">Software scope</t>
  </si>
  <si>
    <t xml:space="preserve">Assumed: ERCOT QSE/bidding, BESS EMS/optimization, asset performance, market data. Adjust if procurement/ERP software was intended.</t>
  </si>
  <si>
    <t xml:space="preserve">Legend</t>
  </si>
  <si>
    <t xml:space="preserve">Enter from vendor</t>
  </si>
  <si>
    <t xml:space="preserve">Yellow fill = user-entered fields</t>
  </si>
  <si>
    <t xml:space="preserve">Vendor</t>
  </si>
  <si>
    <t xml:space="preserve">Column group band on vendor tabs</t>
  </si>
  <si>
    <t xml:space="preserve">HQ Location</t>
  </si>
  <si>
    <t xml:space="preserve">Contact Information</t>
  </si>
  <si>
    <t xml:space="preserve">Qualification</t>
  </si>
  <si>
    <t xml:space="preserve">Vendor Landscape — Dashboard</t>
  </si>
  <si>
    <t xml:space="preserve">All figures are live formulas over the vendor tabs.</t>
  </si>
  <si>
    <t xml:space="preserve">Vendor Tab</t>
  </si>
  <si>
    <t xml:space="preserve">Total</t>
  </si>
  <si>
    <t xml:space="preserve">FEOC Review</t>
  </si>
  <si>
    <t xml:space="preserve">High SC Risk</t>
  </si>
  <si>
    <t xml:space="preserve">Fin. Not Assessed</t>
  </si>
  <si>
    <t xml:space="preserve">Env Eng</t>
  </si>
  <si>
    <t xml:space="preserve">Civil Eng</t>
  </si>
  <si>
    <t xml:space="preserve">Structural Eng</t>
  </si>
  <si>
    <t xml:space="preserve">Electrical Eng</t>
  </si>
  <si>
    <t xml:space="preserve">Fire Eng</t>
  </si>
  <si>
    <t xml:space="preserve">Owners Eng</t>
  </si>
  <si>
    <t xml:space="preserve">Eng of Record</t>
  </si>
  <si>
    <t xml:space="preserve">Independent Eng</t>
  </si>
  <si>
    <t xml:space="preserve">BESS Equipment</t>
  </si>
  <si>
    <t xml:space="preserve">MV Transformers</t>
  </si>
  <si>
    <t xml:space="preserve">HV Breakers</t>
  </si>
  <si>
    <t xml:space="preserve">MV Breakers</t>
  </si>
  <si>
    <t xml:space="preserve">EPC</t>
  </si>
  <si>
    <t xml:space="preserve">Software</t>
  </si>
  <si>
    <t xml:space="preserve">Total (vendor-tab entries)</t>
  </si>
  <si>
    <t xml:space="preserve">Note: some firms appear on several tabs (e.g., Burns &amp; McDonnell, Sargent &amp; Lundy, DNV), so totals count tab entries, not unique companies.</t>
  </si>
  <si>
    <t xml:space="preserve">Environmental engineering consultants — Vendor Landscape</t>
  </si>
  <si>
    <t xml:space="preserve">Seeded 2026-10-05 from public sources (Discovery stage, unverified). Yellow columns = enter from vendor contact. Confirm all data before use; see Read Me.</t>
  </si>
  <si>
    <t xml:space="preserve">Vendor ID</t>
  </si>
  <si>
    <t xml:space="preserve">Vendor Name</t>
  </si>
  <si>
    <t xml:space="preserve">Environmental Services</t>
  </si>
  <si>
    <t xml:space="preserve">HQ City</t>
  </si>
  <si>
    <t xml:space="preserve">HQ State / Prov</t>
  </si>
  <si>
    <t xml:space="preserve">HQ Country</t>
  </si>
  <si>
    <t xml:space="preserve">US HQ (if foreign)</t>
  </si>
  <si>
    <t xml:space="preserve">Texas Presence</t>
  </si>
  <si>
    <t xml:space="preserve">Website</t>
  </si>
  <si>
    <t xml:space="preserve">Main Phone</t>
  </si>
  <si>
    <t xml:space="preserve">Contact Page</t>
  </si>
  <si>
    <t xml:space="preserve">Primary Contact Name</t>
  </si>
  <si>
    <t xml:space="preserve">Contact Title</t>
  </si>
  <si>
    <t xml:space="preserve">Contact Email</t>
  </si>
  <si>
    <t xml:space="preserve">Contact Phone</t>
  </si>
  <si>
    <t xml:space="preserve">Qualification Status</t>
  </si>
  <si>
    <t xml:space="preserve">Status Date</t>
  </si>
  <si>
    <t xml:space="preserve">Last RFx Stage</t>
  </si>
  <si>
    <t xml:space="preserve">Ownership / Parent</t>
  </si>
  <si>
    <t xml:space="preserve">Financial / Bankability Notes</t>
  </si>
  <si>
    <t xml:space="preserve">Staff / Delivery Origin</t>
  </si>
  <si>
    <t xml:space="preserve">Supply Chain Risk</t>
  </si>
  <si>
    <t xml:space="preserve">ENV-001</t>
  </si>
  <si>
    <t xml:space="preserve">ERM (Environmental Resources Management)</t>
  </si>
  <si>
    <t xml:space="preserve">Environmental, health, safety, risk and social consulting; permitting/impact assessment and sustainability services for energy projects</t>
  </si>
  <si>
    <t xml:space="preserve">London</t>
  </si>
  <si>
    <t xml:space="preserve">United Kingdom</t>
  </si>
  <si>
    <t xml:space="preserve">https://www.erm.com/</t>
  </si>
  <si>
    <t xml:space="preserve">https://www.erm.com/contact-us/</t>
  </si>
  <si>
    <t xml:space="preserve">None</t>
  </si>
  <si>
    <t xml:space="preserve">PE-backed: KKR majority stake (acquired May 2021, ~US$2.7B valuation); ERM partners hold minority</t>
  </si>
  <si>
    <t xml:space="preserve">Not Assessed</t>
  </si>
  <si>
    <t xml:space="preserve">~8,000 employees, 140+ offices in 40+ countries; revenue US$1.32B (2023); June 2024 agreed to acquire energy-transition advisory Energetics</t>
  </si>
  <si>
    <t xml:space="preserve">Global firm; US offices exist but Texas office locations not confirmed (locations page blocked)</t>
  </si>
  <si>
    <t xml:space="preserve">ENV-002</t>
  </si>
  <si>
    <t xml:space="preserve">Tetra Tech, Inc.</t>
  </si>
  <si>
    <t xml:space="preserve">Environmental consulting and engineering (water, environment, energy); permitting, site assessment, natural/cultural resources</t>
  </si>
  <si>
    <t xml:space="preserve">Pasadena</t>
  </si>
  <si>
    <t xml:space="preserve">CA</t>
  </si>
  <si>
    <t xml:space="preserve">USA</t>
  </si>
  <si>
    <t xml:space="preserve">https://www.tetratech.com/</t>
  </si>
  <si>
    <t xml:space="preserve">+1 (626) 351-4664</t>
  </si>
  <si>
    <t xml:space="preserve">https://www.tetratech.com/contact/</t>
  </si>
  <si>
    <t xml:space="preserve">Public (NASDAQ: TTEK)</t>
  </si>
  <si>
    <t xml:space="preserve">~28,000 employees (Oct 2024); 550 locations globally; acquired LS Technologies (Feb 2024) and Convergence Controls &amp; Engineering (May 2024)</t>
  </si>
  <si>
    <t xml:space="preserve">US-based; site states offices in every US state (Texas cities not listed on fetched pages)</t>
  </si>
  <si>
    <t xml:space="preserve">ENV-003</t>
  </si>
  <si>
    <t xml:space="preserve">Stantec Inc.</t>
  </si>
  <si>
    <t xml:space="preserve">Environmental consulting and engineering; environmental permitting and studies for energy/infrastructure projects</t>
  </si>
  <si>
    <t xml:space="preserve">Edmonton</t>
  </si>
  <si>
    <t xml:space="preserve">AB</t>
  </si>
  <si>
    <t xml:space="preserve">Canada</t>
  </si>
  <si>
    <t xml:space="preserve">Austin; Dallas; Houston; San Antonio</t>
  </si>
  <si>
    <t xml:space="preserve">https://www.stantec.com/en</t>
  </si>
  <si>
    <t xml:space="preserve">Public (TSX/NYSE: STN)</t>
  </si>
  <si>
    <t xml:space="preserve">~30,000 employees (2024); acquired Page (architecture, Aug 2025)</t>
  </si>
  <si>
    <t xml:space="preserve">Texas offices confirmed via stantec.com office pages (Houston 1100 Louisiana St; Barkers Landing; Dallas Main St; Austin Aldrich St/6th St; San Antonio)</t>
  </si>
  <si>
    <t xml:space="preserve">ENV-004</t>
  </si>
  <si>
    <t xml:space="preserve">WSP Global Inc. (WSP USA)</t>
  </si>
  <si>
    <t xml:space="preserve">Environmental, engineering and permitting consulting; power &amp; energy platform (incl. POWER Engineers and TRC)</t>
  </si>
  <si>
    <t xml:space="preserve">Montreal</t>
  </si>
  <si>
    <t xml:space="preserve">QC</t>
  </si>
  <si>
    <t xml:space="preserve">Austin; Corpus Christi; Dallas; El Paso; Fort Worth; Houston; San Antonio; Spring; Tyler; Victoria</t>
  </si>
  <si>
    <t xml:space="preserve">https://www.wsp.com/en-us</t>
  </si>
  <si>
    <t xml:space="preserve">https://www.wsp.com/en-us/contact-us</t>
  </si>
  <si>
    <t xml:space="preserve">Public (TSX: WSP)</t>
  </si>
  <si>
    <t xml:space="preserve">~83,000 employees (Feb 2026); revenue C$16.17B (2024); acquired POWER Engineers (closed Oct 1 2024, US$1.78B), Ricardo (Jun 2025), TRC (closed Feb 24 2026, ~$3.3B); abandoned Arcadis bid Sep 2026</t>
  </si>
  <si>
    <t xml:space="preserve">US operations led from New York (One Penn Plaza) per office listing</t>
  </si>
  <si>
    <t xml:space="preserve">ENV-005</t>
  </si>
  <si>
    <t xml:space="preserve">Terracon Consultants, Inc.</t>
  </si>
  <si>
    <t xml:space="preserve">Environmental site assessment (Phase I/II ESA), geotechnical, materials testing and facilities consulting</t>
  </si>
  <si>
    <t xml:space="preserve">Olathe</t>
  </si>
  <si>
    <t xml:space="preserve">KS</t>
  </si>
  <si>
    <t xml:space="preserve">Austin; Houston; San Antonio; Frisco; DFW Metro</t>
  </si>
  <si>
    <t xml:space="preserve">https://www.terracon.com/</t>
  </si>
  <si>
    <t xml:space="preserve">(800) 593-7777</t>
  </si>
  <si>
    <t xml:space="preserve">https://www.terracon.com/contact/</t>
  </si>
  <si>
    <t xml:space="preserve">Private, 100% employee-owned</t>
  </si>
  <si>
    <t xml:space="preserve">6,000+ employees, 200+ locations; ENR Top 500 Design Firms #18 (2024); founded 1965</t>
  </si>
  <si>
    <t xml:space="preserve">US-based staff; national office network</t>
  </si>
  <si>
    <t xml:space="preserve">ENV-006</t>
  </si>
  <si>
    <t xml:space="preserve">SWCA Environmental Consultants</t>
  </si>
  <si>
    <t xml:space="preserve">Environmental planning/permitting, natural &amp; cultural resources, renewable energy environmental services</t>
  </si>
  <si>
    <t xml:space="preserve">Phoenix</t>
  </si>
  <si>
    <t xml:space="preserve">AZ</t>
  </si>
  <si>
    <t xml:space="preserve">Arlington; Austin; Houston; San Antonio</t>
  </si>
  <si>
    <t xml:space="preserve">https://www.swca.com/</t>
  </si>
  <si>
    <t xml:space="preserve">602-274-3831</t>
  </si>
  <si>
    <t xml:space="preserve">https://www.swca.com/contact/</t>
  </si>
  <si>
    <t xml:space="preserve">Private, 100% employee-owned (ESOP since 2000)</t>
  </si>
  <si>
    <t xml:space="preserve">1,700+ employees, 46 US offices; ENR Top 500 Design Firms #93 (2026); founded 1980 in Flagstaff</t>
  </si>
  <si>
    <t xml:space="preserve">US-based staff; Phoenix office is corporate HQ and focuses on renewable energy, environmental planning, cultural resources</t>
  </si>
  <si>
    <t xml:space="preserve">ENV-007</t>
  </si>
  <si>
    <t xml:space="preserve">Westwood Professional Services</t>
  </si>
  <si>
    <t xml:space="preserve">Renewable/BESS development support incl. environmental permitting, survey, and design of standalone and hybrid battery storage</t>
  </si>
  <si>
    <t xml:space="preserve">Plano</t>
  </si>
  <si>
    <t xml:space="preserve">TX</t>
  </si>
  <si>
    <t xml:space="preserve">Plano (HQ); Austin; Celina; Dallas; Farmers Branch; Fort Worth; Frisco; Houston; San Antonio; Victoria</t>
  </si>
  <si>
    <t xml:space="preserve">https://westwoodps.com/</t>
  </si>
  <si>
    <t xml:space="preserve">214-473-4640 (HQ); 1-888-937-5150 (toll-free)</t>
  </si>
  <si>
    <t xml:space="preserve">https://westwoodps.com/contact-us</t>
  </si>
  <si>
    <t xml:space="preserve">PE-backed: Blackstone (Energy Transition Partners) majority since Aug 2024; management/employees retain minority (prior owner Endurance Partners)</t>
  </si>
  <si>
    <t xml:space="preserve">1,600+ employees (2024); HQ relocated from Minneapolis to Plano, TX late 2023; founded 1971</t>
  </si>
  <si>
    <t xml:space="preserve">US-based staff; strong Texas presence</t>
  </si>
  <si>
    <t xml:space="preserve">ENV-008</t>
  </si>
  <si>
    <t xml:space="preserve">HDR, Inc.</t>
  </si>
  <si>
    <t xml:space="preserve">Engineering, environmental and architecture consulting incl. environmental planning for infrastructure/energy</t>
  </si>
  <si>
    <t xml:space="preserve">Omaha</t>
  </si>
  <si>
    <t xml:space="preserve">NE</t>
  </si>
  <si>
    <t xml:space="preserve">Austin; Dallas; Houston; San Antonio; El Paso; Spring Branch</t>
  </si>
  <si>
    <t xml:space="preserve">https://www.hdrinc.com/</t>
  </si>
  <si>
    <t xml:space="preserve">(402) 399-1000</t>
  </si>
  <si>
    <t xml:space="preserve">https://www.hdrinc.com/contact-us</t>
  </si>
  <si>
    <t xml:space="preserve">Private, employee-owned</t>
  </si>
  <si>
    <t xml:space="preserve">12,000+ employees; revenue $2.8B (2022); ENR #6 design firm (2023)</t>
  </si>
  <si>
    <t xml:space="preserve">US-based staff</t>
  </si>
  <si>
    <t xml:space="preserve">Civil engineering consultants — Vendor Landscape</t>
  </si>
  <si>
    <t xml:space="preserve">Civil Services</t>
  </si>
  <si>
    <t xml:space="preserve">CIV-001</t>
  </si>
  <si>
    <t xml:space="preserve">Kimley-Horn and Associates, Inc.</t>
  </si>
  <si>
    <t xml:space="preserve">Site civil, grading/drainage, roads and planning/design; energy and infrastructure site development</t>
  </si>
  <si>
    <t xml:space="preserve">Raleigh</t>
  </si>
  <si>
    <t xml:space="preserve">NC</t>
  </si>
  <si>
    <t xml:space="preserve">Austin; Bryan/College Station; Celina; Childress; Dallas; Denton; Fort Worth; Frisco; Georgetown; Houston; Irving; Lubbock; McKinney; Pearland; Richardson; San Antonio; San Marcos; Sherman; Terrell; The Woodlands; Tyler; Weatherford</t>
  </si>
  <si>
    <t xml:space="preserve">https://www.kimley-horn.com/</t>
  </si>
  <si>
    <t xml:space="preserve">https://www.kimley-horn.com/contact/</t>
  </si>
  <si>
    <t xml:space="preserve">Private</t>
  </si>
  <si>
    <t xml:space="preserve">11,000+ employees (2026); revenue $2.8B (2025); ENR Top 500 Design Firms #8 (2025)</t>
  </si>
  <si>
    <t xml:space="preserve">US-based staff; 170+ US locations</t>
  </si>
  <si>
    <t xml:space="preserve">CIV-002</t>
  </si>
  <si>
    <t xml:space="preserve">Civil/site design, survey, and permitting for utility-scale solar, wind and BESS; power delivery</t>
  </si>
  <si>
    <t xml:space="preserve">PE-backed: Blackstone majority since Aug 2024</t>
  </si>
  <si>
    <t xml:space="preserve">1,600+ employees (2024); HQ moved to Plano, TX late 2023</t>
  </si>
  <si>
    <t xml:space="preserve">CIV-003</t>
  </si>
  <si>
    <t xml:space="preserve">Halff Associates, Inc.</t>
  </si>
  <si>
    <t xml:space="preserve">Infrastructure consulting: site civil, drainage/water resources, survey, transportation</t>
  </si>
  <si>
    <t xml:space="preserve">Richardson</t>
  </si>
  <si>
    <t xml:space="preserve">Richardson (HQ); Austin; Brownsville; Corpus Christi; Dallas; Fort Worth; Frisco; Houston; Lubbock; McAllen; Midland; San Antonio; The Woodlands; Tyler</t>
  </si>
  <si>
    <t xml:space="preserve">https://www.halff.com/</t>
  </si>
  <si>
    <t xml:space="preserve">https://www.halff.com/contact/</t>
  </si>
  <si>
    <t xml:space="preserve">30+ offices in AR, FL, LA, OK, TX; Nov 2024 announced HQ move to 2380 Performance Dr, Richardson (80,000 sf); founded ~1950</t>
  </si>
  <si>
    <t xml:space="preserve">US-based staff; Texas-headquartered</t>
  </si>
  <si>
    <t xml:space="preserve">CIV-004</t>
  </si>
  <si>
    <t xml:space="preserve">Pape-Dawson Engineers</t>
  </si>
  <si>
    <t xml:space="preserve">Civil engineering, survey, permitting; substation/switchyard civil design (170+ substations) and wind/solar civil</t>
  </si>
  <si>
    <t xml:space="preserve">San Antonio</t>
  </si>
  <si>
    <t xml:space="preserve">San Antonio (HQ); Amarillo; Austin; Corpus Christi; Dallas; Fort Worth; Houston; Longview; Lufkin; McKinney; Nacogdoches; New Braunfels; The Woodlands; Tyler</t>
  </si>
  <si>
    <t xml:space="preserve">https://www.pape-dawson.com/</t>
  </si>
  <si>
    <t xml:space="preserve">210-375-9000</t>
  </si>
  <si>
    <t xml:space="preserve">https://www.pape-dawson.com/contact</t>
  </si>
  <si>
    <t xml:space="preserve">Private; Dawson family/management majority with growth capital from Palm Beach Capital (Apr 2023)</t>
  </si>
  <si>
    <t xml:space="preserve">Serial acquirer (e.g., BHC, KSA Engineers, Poulos &amp; Bennett, GradyMinor); offices in TX, FL, GA, TN, KS, OK, LA, AL, AZ, KY</t>
  </si>
  <si>
    <t xml:space="preserve">CIV-005</t>
  </si>
  <si>
    <t xml:space="preserve">Bowman Consulting Group Ltd.</t>
  </si>
  <si>
    <t xml:space="preserve">Infrastructure design, civil engineering, survey, environmental; energy design incl. battery storage</t>
  </si>
  <si>
    <t xml:space="preserve">Reston</t>
  </si>
  <si>
    <t xml:space="preserve">VA</t>
  </si>
  <si>
    <t xml:space="preserve">Austin; Arlington; Dallas (Plano); Houston; Marshall; Midland; San Antonio; San Marcos; Waco</t>
  </si>
  <si>
    <t xml:space="preserve">https://bowman.com/</t>
  </si>
  <si>
    <t xml:space="preserve">(703) 464-1000</t>
  </si>
  <si>
    <t xml:space="preserve">https://bowman.com/contact</t>
  </si>
  <si>
    <t xml:space="preserve">Public (NASDAQ: BWMN) - pending take-private by Bernhard Capital Partners</t>
  </si>
  <si>
    <t xml:space="preserve">2,500+ employees; Aug 10 2026 agreed to be acquired by Bernhard Capital Partners at $43.00/sh (~$1.0B EV), expected close Q4 2026/Q1 2027; 42 acquisitions since 2021 IPO</t>
  </si>
  <si>
    <t xml:space="preserve">US-based staff; offices in 34+ states</t>
  </si>
  <si>
    <t xml:space="preserve">CIV-006</t>
  </si>
  <si>
    <t xml:space="preserve">Geotechnical engineering, materials testing and construction QA for site/foundation design</t>
  </si>
  <si>
    <t xml:space="preserve">6,000+ employees, 200+ locations; ENR #18 (2024)</t>
  </si>
  <si>
    <t xml:space="preserve">CIV-007</t>
  </si>
  <si>
    <t xml:space="preserve">Burns &amp; McDonnell</t>
  </si>
  <si>
    <t xml:space="preserve">Engineering/EPC incl. site civil for power generation, substations and transmission</t>
  </si>
  <si>
    <t xml:space="preserve">Kansas City</t>
  </si>
  <si>
    <t xml:space="preserve">MO</t>
  </si>
  <si>
    <t xml:space="preserve">Amarillo; Austin; Dallas-Fort Worth; Houston; Pearland; San Antonio</t>
  </si>
  <si>
    <t xml:space="preserve">https://www.burnsmcd.com/</t>
  </si>
  <si>
    <t xml:space="preserve">https://info.burnsmcd.com/contact-us</t>
  </si>
  <si>
    <t xml:space="preserve">Private, 100% employee-owned (ESOP)</t>
  </si>
  <si>
    <t xml:space="preserve">13,500+ employees (2023); revenue US$6.9B (2023); ENR Top 500 #7; 75+ offices</t>
  </si>
  <si>
    <t xml:space="preserve">US-based staff; Houston office 1700 West Loop South</t>
  </si>
  <si>
    <t xml:space="preserve">Structural engineering consultants — Vendor Landscape</t>
  </si>
  <si>
    <t xml:space="preserve">Structural Services</t>
  </si>
  <si>
    <t xml:space="preserve">STR-001</t>
  </si>
  <si>
    <t xml:space="preserve">Walter P Moore</t>
  </si>
  <si>
    <t xml:space="preserve">Structural and civil engineering, foundations, forensic engineering</t>
  </si>
  <si>
    <t xml:space="preserve">Houston</t>
  </si>
  <si>
    <t xml:space="preserve">Houston (HQ); Austin; Dallas; El Paso; Fort Worth; The Woodlands</t>
  </si>
  <si>
    <t xml:space="preserve">https://www.walterpmoore.com/</t>
  </si>
  <si>
    <t xml:space="preserve">800-364-7300 (general); 713-630-7300 (Houston HQ)</t>
  </si>
  <si>
    <t xml:space="preserve">https://www.walterpmoore.com/contact</t>
  </si>
  <si>
    <t xml:space="preserve">1,250+ staff, 36 offices in 6 countries; founded 1931</t>
  </si>
  <si>
    <t xml:space="preserve">US-based staff; Texas-headquartered; India office exists</t>
  </si>
  <si>
    <t xml:space="preserve">STR-002</t>
  </si>
  <si>
    <t xml:space="preserve">Sargent &amp; Lundy</t>
  </si>
  <si>
    <t xml:space="preserve">Power engineering incl. structural design for generation, BESS, substations and transmission structures</t>
  </si>
  <si>
    <t xml:space="preserve">Chicago</t>
  </si>
  <si>
    <t xml:space="preserve">IL</t>
  </si>
  <si>
    <t xml:space="preserve">https://www.sargentlundy.com/</t>
  </si>
  <si>
    <t xml:space="preserve">(312) 269-2000</t>
  </si>
  <si>
    <t xml:space="preserve">https://www.sargentlundy.com/contact-us</t>
  </si>
  <si>
    <t xml:space="preserve">Private, engineer-owned</t>
  </si>
  <si>
    <t xml:space="preserve">~2,000+ employees; 30-40+ offices; founded 1891</t>
  </si>
  <si>
    <t xml:space="preserve">US-based staff; international offices incl. India, UAE, Saudi Arabia, South Korea</t>
  </si>
  <si>
    <t xml:space="preserve">STR-003</t>
  </si>
  <si>
    <t xml:space="preserve">Structural/civil design for substations, equipment foundations and power plants (engineering/EPC)</t>
  </si>
  <si>
    <t xml:space="preserve">13,500+ employees (2023); revenue US$6.9B (2023); ENR #7</t>
  </si>
  <si>
    <t xml:space="preserve">STR-004</t>
  </si>
  <si>
    <t xml:space="preserve">Black &amp; Veatch</t>
  </si>
  <si>
    <t xml:space="preserve">Engineering/EPC for power generation, power delivery and substations incl. structural design</t>
  </si>
  <si>
    <t xml:space="preserve">Overland Park</t>
  </si>
  <si>
    <t xml:space="preserve">https://www.bv.com/</t>
  </si>
  <si>
    <t xml:space="preserve">+1 913-458-2000</t>
  </si>
  <si>
    <t xml:space="preserve">https://www.bv.com/contact-us</t>
  </si>
  <si>
    <t xml:space="preserve">~13,000 employees (2024); revenue $4.735B (2023); 100+ offices; acquired Bird Electric Enterprises (2023)</t>
  </si>
  <si>
    <t xml:space="preserve">US-based staff with global offices</t>
  </si>
  <si>
    <t xml:space="preserve">STR-005</t>
  </si>
  <si>
    <t xml:space="preserve">POWER Engineers (a WSP company)</t>
  </si>
  <si>
    <t xml:space="preserve">Power delivery engineering incl. substation and transmission structural/civil design; renewables &amp; storage</t>
  </si>
  <si>
    <t xml:space="preserve">Hailey</t>
  </si>
  <si>
    <t xml:space="preserve">ID</t>
  </si>
  <si>
    <t xml:space="preserve">Houston; Tyler</t>
  </si>
  <si>
    <t xml:space="preserve">https://www.powereng.com/</t>
  </si>
  <si>
    <t xml:space="preserve">Subsidiary of WSP Global (TSX: WSP); acquisition closed Oct 1 2024 (US$1.78B); previously employee-owned</t>
  </si>
  <si>
    <t xml:space="preserve">~4,000 employees, 50 North American offices at acquisition; founded 1976</t>
  </si>
  <si>
    <t xml:space="preserve">US-based staff; powereng.com not fetchable (robots), Texas offices from powereng.com press release titles</t>
  </si>
  <si>
    <t xml:space="preserve">STR-006</t>
  </si>
  <si>
    <t xml:space="preserve">Electrical Consultants, Inc. (ECI)</t>
  </si>
  <si>
    <t xml:space="preserve">Power delivery only: civil, structural, electrical, survey for substations, transmission (to 765 kV), renewables and battery storage</t>
  </si>
  <si>
    <t xml:space="preserve">Billings</t>
  </si>
  <si>
    <t xml:space="preserve">MT</t>
  </si>
  <si>
    <t xml:space="preserve">https://eciusa.com/</t>
  </si>
  <si>
    <t xml:space="preserve">900+ professionals, 33+ offices (per FL Public Power assn listing); acquired Relay Application Innovation (2019); subsidiary EPC Services Company (design-build)</t>
  </si>
  <si>
    <t xml:space="preserve">US-based staff; company website not fetchable (SSL error) - phone/contact not verified on official page</t>
  </si>
  <si>
    <t xml:space="preserve">Electrical engineering consultants — Vendor Landscape</t>
  </si>
  <si>
    <t xml:space="preserve">Electrical Services</t>
  </si>
  <si>
    <t xml:space="preserve">ELE-001</t>
  </si>
  <si>
    <t xml:space="preserve">Substation, transmission and interconnection engineering; renewables &amp; storage power delivery</t>
  </si>
  <si>
    <t xml:space="preserve">Subsidiary of WSP Global (TSX: WSP) since Oct 1 2024</t>
  </si>
  <si>
    <t xml:space="preserve">~4,000 employees, 50 offices at acquisition (US$1.78B); WSP also closed TRC acquisition Feb 2026</t>
  </si>
  <si>
    <t xml:space="preserve">ELE-002</t>
  </si>
  <si>
    <t xml:space="preserve">Substation/transmission design and EPC, interconnection and power generation electrical engineering</t>
  </si>
  <si>
    <t xml:space="preserve">13,500+ employees (2023); revenue US$6.9B (2023); ENR #7; selected by CPS Energy for turnkey grid modernization program</t>
  </si>
  <si>
    <t xml:space="preserve">ELE-003</t>
  </si>
  <si>
    <t xml:space="preserve">Grid/substation/transmission engineering, renewables and BESS electrical design, owner's engineer/due diligence</t>
  </si>
  <si>
    <t xml:space="preserve">~2,000+ employees; founded 1891</t>
  </si>
  <si>
    <t xml:space="preserve">US-based staff; international offices incl. India</t>
  </si>
  <si>
    <t xml:space="preserve">ELE-004</t>
  </si>
  <si>
    <t xml:space="preserve">Power delivery (substation/transmission) engineering and EPC; generation and storage</t>
  </si>
  <si>
    <t xml:space="preserve">~13,000 employees (2024); revenue $4.735B (2023)</t>
  </si>
  <si>
    <t xml:space="preserve">ELE-005</t>
  </si>
  <si>
    <t xml:space="preserve">Electric Power Engineers, LLC (EPE)</t>
  </si>
  <si>
    <t xml:space="preserve">Grid analysis/interconnection studies, utility engineering, regulatory/compliance; renewables &amp; storage</t>
  </si>
  <si>
    <t xml:space="preserve">Austin</t>
  </si>
  <si>
    <t xml:space="preserve">Austin (HQ)</t>
  </si>
  <si>
    <t xml:space="preserve">https://epeconsulting.com/</t>
  </si>
  <si>
    <t xml:space="preserve">512-382-6700</t>
  </si>
  <si>
    <t xml:space="preserve">https://epeconsulting.com/contact</t>
  </si>
  <si>
    <t xml:space="preserve">PE-backed: Berkshire Partners strategic growth investment (Jan 7 2025); Lime Rock New Energy exited; CEO/COO remain significant investors</t>
  </si>
  <si>
    <t xml:space="preserve">Founded 1968; 100+ developer/generation/utility clients</t>
  </si>
  <si>
    <t xml:space="preserve">US HQ Austin; other offices in Champaign IL, Waterloo ON, Beirut (Lebanon), Panama City</t>
  </si>
  <si>
    <t xml:space="preserve">ELE-006</t>
  </si>
  <si>
    <t xml:space="preserve">TRC Companies, Inc. (a member of WSP)</t>
  </si>
  <si>
    <t xml:space="preserve">Power &amp; utilities engineering incl. substation, transmission and interconnection; environmental</t>
  </si>
  <si>
    <t xml:space="preserve">Windsor</t>
  </si>
  <si>
    <t xml:space="preserve">CT</t>
  </si>
  <si>
    <t xml:space="preserve">https://www.trccompanies.com/</t>
  </si>
  <si>
    <t xml:space="preserve">+1 (860) 298-9692</t>
  </si>
  <si>
    <t xml:space="preserve">https://www.trccompanies.com/contact-us/</t>
  </si>
  <si>
    <t xml:space="preserve">Subsidiary of WSP Global (TSX: WSP); acquisition closed Feb 24 2026</t>
  </si>
  <si>
    <t xml:space="preserve">~8,000 professionals; ENR Top 500 #17; deal ~$3.3B per Wikipedia</t>
  </si>
  <si>
    <t xml:space="preserve">ELE-007</t>
  </si>
  <si>
    <t xml:space="preserve">Leidos (Power Delivery / Energy)</t>
  </si>
  <si>
    <t xml:space="preserve">Substation design (4-765 kV), T&amp;D lines, SCADA, system planning, NERC compliance for Texas utilities</t>
  </si>
  <si>
    <t xml:space="preserve">Houston; Fort Worth (per Leidos careers postings); site cites design centers across Texas</t>
  </si>
  <si>
    <t xml:space="preserve">https://www.leidos.com/</t>
  </si>
  <si>
    <t xml:space="preserve">https://www.leidos.com/contact-us</t>
  </si>
  <si>
    <t xml:space="preserve">Public (NYSE: LDOS)</t>
  </si>
  <si>
    <t xml:space="preserve">~47,000 employees (2026); revenue $17.2B (2025); Jan 2026 agreed to acquire Entrust Solutions Group (utility engineering) for ~$2.4B; ENR #4 T&amp;D design (2022)</t>
  </si>
  <si>
    <t xml:space="preserve">ELE-008</t>
  </si>
  <si>
    <t xml:space="preserve">Power delivery engineering: substations, transmission to 765 kV, protection &amp; control, renewables/BESS</t>
  </si>
  <si>
    <t xml:space="preserve">900+ professionals, 33+ offices (FL Public Power assn listing); acquired Relay Application Innovation (2019)</t>
  </si>
  <si>
    <t xml:space="preserve">US-based staff; official site not reachable for verification</t>
  </si>
  <si>
    <t xml:space="preserve">Fire protection engineering consultants — Vendor Landscape</t>
  </si>
  <si>
    <t xml:space="preserve">Fire / BESS Hazard Services</t>
  </si>
  <si>
    <t xml:space="preserve">FIRE-001</t>
  </si>
  <si>
    <t xml:space="preserve">Jensen Hughes</t>
  </si>
  <si>
    <t xml:space="preserve">Lithium-ion/BESS risk consulting: hazard mitigation, NFPA 855/UL 9540A expertise, explosion protection (CFD, deflagration venting), large-scale fire testing</t>
  </si>
  <si>
    <t xml:space="preserve">Columbia</t>
  </si>
  <si>
    <t xml:space="preserve">MD</t>
  </si>
  <si>
    <t xml:space="preserve">https://www.jensenhughes.com/</t>
  </si>
  <si>
    <t xml:space="preserve">https://www.jensenhughes.com/contact-us</t>
  </si>
  <si>
    <t xml:space="preserve">PE-backed: Gryphon Investors; Aug 5 2026 definitive agreement for New Mountain Capital to acquire (close expected Q4 2026)</t>
  </si>
  <si>
    <t xml:space="preserve">~2,000 employees, 110 offices; founded 1939</t>
  </si>
  <si>
    <t xml:space="preserve">Global firm; Texas office not confirmed</t>
  </si>
  <si>
    <t xml:space="preserve">FIRE-002</t>
  </si>
  <si>
    <t xml:space="preserve">ESRG (Energy Safety Response Group)</t>
  </si>
  <si>
    <t xml:space="preserve">Energy-storage-only safety: testing, permitting/project review, emergency response plans &amp; first-responder training, incident response</t>
  </si>
  <si>
    <t xml:space="preserve">https://www.energyresponsegroup.com/</t>
  </si>
  <si>
    <t xml:space="preserve">1-833-SAFE-ESS</t>
  </si>
  <si>
    <t xml:space="preserve">https://www.energyresponsegroup.com/contact</t>
  </si>
  <si>
    <t xml:space="preserve">Team of fire-service veterans; HQ not stated on site</t>
  </si>
  <si>
    <t xml:space="preserve">FIRE-003</t>
  </si>
  <si>
    <t xml:space="preserve">Fire &amp; Risk Alliance</t>
  </si>
  <si>
    <t xml:space="preserve">BESS code consulting (NFPA 855/IFC), HMA, UL 9540A assessment, deflagration (NFPA 68/69) and heat-flux modeling, FMEA, ERP and responder training</t>
  </si>
  <si>
    <t xml:space="preserve">Rockville</t>
  </si>
  <si>
    <t xml:space="preserve">https://fireriskalliance.com/</t>
  </si>
  <si>
    <t xml:space="preserve">(301) 658-3060</t>
  </si>
  <si>
    <t xml:space="preserve">https://fireriskalliance.com/contact-us/</t>
  </si>
  <si>
    <t xml:space="preserve">Single listed office (Rockville, MD); 24/7 availability</t>
  </si>
  <si>
    <t xml:space="preserve">FIRE-004</t>
  </si>
  <si>
    <t xml:space="preserve">Telgian Engineering &amp; Consulting</t>
  </si>
  <si>
    <t xml:space="preserve">Fire protection engineering and code consulting; has published ESS fire-hazard guidance (BESS-specific services not detailed on site)</t>
  </si>
  <si>
    <t xml:space="preserve">Richardson (Dallas office)</t>
  </si>
  <si>
    <t xml:space="preserve">https://www.telgian.com/</t>
  </si>
  <si>
    <t xml:space="preserve">480.753.5444</t>
  </si>
  <si>
    <t xml:space="preserve">https://www.telgian.com/contact/</t>
  </si>
  <si>
    <t xml:space="preserve">Private (Telgian Holdings, Inc.)</t>
  </si>
  <si>
    <t xml:space="preserve">US-based staff; offices in Atlanta, Chicago, Dallas, Denver, Irvine, Phoenix, Seattle, Wilmington DE, plus Toronto and Mexico City</t>
  </si>
  <si>
    <t xml:space="preserve">FIRE-005</t>
  </si>
  <si>
    <t xml:space="preserve">DNV</t>
  </si>
  <si>
    <t xml:space="preserve">Battery safety, risk analysis (QRA) and permitting support; energy storage technical due diligence and engineering review</t>
  </si>
  <si>
    <t xml:space="preserve">Høvik (Oslo)</t>
  </si>
  <si>
    <t xml:space="preserve">Norway</t>
  </si>
  <si>
    <t xml:space="preserve">Houston (North American HQ)</t>
  </si>
  <si>
    <t xml:space="preserve">https://www.dnv.com/</t>
  </si>
  <si>
    <t xml:space="preserve">https://www.dnv.us/contact/</t>
  </si>
  <si>
    <t xml:space="preserve">Owned by the independent Det Norske Veritas Foundation</t>
  </si>
  <si>
    <t xml:space="preserve">~15,000 employees (2024); revenue NOK 31.6B (2023); 1,500+ US employees</t>
  </si>
  <si>
    <t xml:space="preserve">Global firm; North American HQ Houston, TX</t>
  </si>
  <si>
    <t xml:space="preserve">FIRE-006</t>
  </si>
  <si>
    <t xml:space="preserve">UL Solutions Inc.</t>
  </si>
  <si>
    <t xml:space="preserve">UL 9540A testing, NFPA 855 documentation readiness review, fire/explosion hazard assessment, AHJ-focused technical support</t>
  </si>
  <si>
    <t xml:space="preserve">Northbrook</t>
  </si>
  <si>
    <t xml:space="preserve">Houston; Plano; Rollingwood (Austin area)</t>
  </si>
  <si>
    <t xml:space="preserve">https://www.ul.com/</t>
  </si>
  <si>
    <t xml:space="preserve">+1.877.854.3577 (customer service)</t>
  </si>
  <si>
    <t xml:space="preserve">https://www.ul.com/contact-us</t>
  </si>
  <si>
    <t xml:space="preserve">Public (NYSE: ULS), IPO April 16 2024</t>
  </si>
  <si>
    <t xml:space="preserve">IPO ~US$1.08B (Apr 2024); serves 80,000+ companies</t>
  </si>
  <si>
    <t xml:space="preserve">US-based labs incl. Plano, TX</t>
  </si>
  <si>
    <t xml:space="preserve">FIRE-007</t>
  </si>
  <si>
    <t xml:space="preserve">Exponent, Inc.</t>
  </si>
  <si>
    <t xml:space="preserve">BESS safety &amp; risk consulting: fire protection engineering, emergency response planning, root-cause failure analysis, testing</t>
  </si>
  <si>
    <t xml:space="preserve">Menlo Park</t>
  </si>
  <si>
    <t xml:space="preserve">https://www.exponent.com/</t>
  </si>
  <si>
    <t xml:space="preserve">(650) 326-9400</t>
  </si>
  <si>
    <t xml:space="preserve">Public (NASDAQ: EXPO)</t>
  </si>
  <si>
    <t xml:space="preserve">20 US offices + 5 overseas; founded 1967 as Failure Analysis Associates</t>
  </si>
  <si>
    <t xml:space="preserve">US-based staff; Menlo Park HQ has on-site labs</t>
  </si>
  <si>
    <t xml:space="preserve">Owner's engineer — Vendor Landscape</t>
  </si>
  <si>
    <t xml:space="preserve">OE Services</t>
  </si>
  <si>
    <t xml:space="preserve">OE-001</t>
  </si>
  <si>
    <t xml:space="preserve">Owner's engineering for energy storage: feasibility, dispatch modeling, RFP/tender support, design and procurement review, grid connection, warranty definition, FAT/SAT, construction PM, HSE</t>
  </si>
  <si>
    <t xml:space="preserve">Høvik</t>
  </si>
  <si>
    <t xml:space="preserve">Houston (North America HQ); Austin; Dallas (per DNV job postings)</t>
  </si>
  <si>
    <t xml:space="preserve">https://www.dnv.com</t>
  </si>
  <si>
    <t xml:space="preserve">+1 281 396 1000 (DNV North America HQ, Houston)</t>
  </si>
  <si>
    <t xml:space="preserve">Private; owned by the independent foundation Stiftelsen Det Norske Veritas</t>
  </si>
  <si>
    <t xml:space="preserve">2025 operating revenue NOK 35,291 million (+0.9% y/y); operates in 100+ countries</t>
  </si>
  <si>
    <t xml:space="preserve">US energy-storage OE/IE staff posted in Houston, Austin, Dallas, plus Oakland, San Diego, Seattle, Portland, Medford MA, Chalfont PA, New York</t>
  </si>
  <si>
    <t xml:space="preserve">OE-002</t>
  </si>
  <si>
    <t xml:space="preserve">Enertis Applus+</t>
  </si>
  <si>
    <t xml:space="preserve">Renewables and BESS technical advisory: design evaluation, site assessment, engineering, QA/QC, testing and optimization for developers, owners and financiers</t>
  </si>
  <si>
    <t xml:space="preserve">Madrid</t>
  </si>
  <si>
    <t xml:space="preserve">Spain</t>
  </si>
  <si>
    <t xml:space="preserve">https://enertisapplus.com</t>
  </si>
  <si>
    <t xml:space="preserve">+1 415 671 4000 (US offices, San Francisco / Raleigh)</t>
  </si>
  <si>
    <t xml:space="preserve">https://enertisapplus.com/contact/</t>
  </si>
  <si>
    <t xml:space="preserve">Subsidiary of Applus+ (Applus Services S.A.), taken private June 2024 by Amber EquityCo (TDR Capital and I Squared Capital)</t>
  </si>
  <si>
    <t xml:space="preserve">Parent Applus+: 26,000+ employees in 70+ countries; TDR/I Squared takeover completed 14 Jun 2024</t>
  </si>
  <si>
    <t xml:space="preserve">US offices in San Francisco, CA and Raleigh, NC; Madrid HQ; 15 offices globally</t>
  </si>
  <si>
    <t xml:space="preserve">OE-003</t>
  </si>
  <si>
    <t xml:space="preserve">BESS owner's engineer: EPC design review, construction monitoring, commissioning supervision, early operations oversight; firm reports 74 GWh supported as OE</t>
  </si>
  <si>
    <t xml:space="preserve">Houston (Energy Corridor; second-largest B&amp;V office); Dallas; Deer Park</t>
  </si>
  <si>
    <t xml:space="preserve">https://www.bv.com</t>
  </si>
  <si>
    <t xml:space="preserve">Private; 100% employee-owned</t>
  </si>
  <si>
    <t xml:space="preserve">Revenue ~$4.7B (2023); ~13,000 employees (2024); ENR 2024 #13 design firm, #4 power design; acquired Bird Electric (Texas electrical contractor, ~600 staff) 2023</t>
  </si>
  <si>
    <t xml:space="preserve">Houston office houses 300+ staff and is the regional hub for power and energy (May 2026)</t>
  </si>
  <si>
    <t xml:space="preserve">OE-004</t>
  </si>
  <si>
    <t xml:space="preserve">Owner's engineer for utility-scale solar + BESS: EPC RFP/specs, bid evaluation, contract negotiation support, review of LV/MV, collection, substation and transmission designs</t>
  </si>
  <si>
    <t xml:space="preserve">Fort Worth; Houston; Midland</t>
  </si>
  <si>
    <t xml:space="preserve">https://www.sargentlundy.com</t>
  </si>
  <si>
    <t xml:space="preserve">312-269-2000</t>
  </si>
  <si>
    <t xml:space="preserve">Private; owned and managed by its employees (engineers)</t>
  </si>
  <si>
    <t xml:space="preserve">Founded 1891; 30+ offices; acquisitions include Summit Engineering Services and ARES Corp. Energy Services Division (2019)</t>
  </si>
  <si>
    <t xml:space="preserve">OE-005</t>
  </si>
  <si>
    <t xml:space="preserve">Clean Energy Associates (Intertek CEA)</t>
  </si>
  <si>
    <t xml:space="preserve">Owner's engineer and technical due diligence; storage system QA, factory/production monitoring, supply-chain traceability for BESS and PV</t>
  </si>
  <si>
    <t xml:space="preserve">CO</t>
  </si>
  <si>
    <t xml:space="preserve">https://www.cea3.com</t>
  </si>
  <si>
    <t xml:space="preserve">Subsidiary of Intertek Group plc (LSE: ITRK); acquired 2022</t>
  </si>
  <si>
    <t xml:space="preserve">Acquisition completed mid-2022 (price undisclosed); CEA had 150+ employees and GBP 21.7M revenue in 2021</t>
  </si>
  <si>
    <t xml:space="preserve">Staff across North America, Europe and Asia; significant operations in China (factory QA)</t>
  </si>
  <si>
    <t xml:space="preserve">OE-006</t>
  </si>
  <si>
    <t xml:space="preserve">Kimley-Horn</t>
  </si>
  <si>
    <t xml:space="preserve">BESS consulting incl. owner's engineering, feasibility, siting/permitting, interconnection studies, and civil/structural/electrical design</t>
  </si>
  <si>
    <t xml:space="preserve">https://www.kimley-horn.com</t>
  </si>
  <si>
    <t xml:space="preserve">https://www.kimley-horn.com/contact/submit-a-service-inquiry/</t>
  </si>
  <si>
    <t xml:space="preserve">Private; employee-owned</t>
  </si>
  <si>
    <t xml:space="preserve">Revenue US$2.8B (2025); 11,000+ employees; ENR Top 500 Design Firms #8 (2025)</t>
  </si>
  <si>
    <t xml:space="preserve">OE-007</t>
  </si>
  <si>
    <t xml:space="preserve">Natural Power</t>
  </si>
  <si>
    <t xml:space="preserve">Renewables-only consultant: owner's advisory, technology evaluation, field inspections and technical due diligence for standalone/co-located storage</t>
  </si>
  <si>
    <t xml:space="preserve">Castle Douglas</t>
  </si>
  <si>
    <t xml:space="preserve">Scotland</t>
  </si>
  <si>
    <t xml:space="preserve">UK</t>
  </si>
  <si>
    <t xml:space="preserve">https://www.naturalpower.com</t>
  </si>
  <si>
    <t xml:space="preserve">+1 (518) 308 0200 (Saratoga Springs, NY office)</t>
  </si>
  <si>
    <t xml:space="preserve">https://www.naturalpower.com/us/contact</t>
  </si>
  <si>
    <t xml:space="preserve">Private; independent (founded 1995)</t>
  </si>
  <si>
    <t xml:space="preserve">400+ staff globally; 30+ NA IE projects (6+ GW) in 2025</t>
  </si>
  <si>
    <t xml:space="preserve">US offices: Saratoga Springs NY, Seattle WA, Golden CO</t>
  </si>
  <si>
    <t xml:space="preserve">Engineer of record — Vendor Landscape</t>
  </si>
  <si>
    <t xml:space="preserve">EOR Services</t>
  </si>
  <si>
    <t xml:space="preserve">EOR-001</t>
  </si>
  <si>
    <t xml:space="preserve">In-house design engineering and EPC for BESS, substations and transmission; delivered Texas BESS EPC (e.g., RWE Texas Waves II, LGES/SER West Texas)</t>
  </si>
  <si>
    <t xml:space="preserve">https://www.burnsmcd.com</t>
  </si>
  <si>
    <t xml:space="preserve">(816) 333-9400</t>
  </si>
  <si>
    <t xml:space="preserve">75+ offices worldwide; founded 1898</t>
  </si>
  <si>
    <t xml:space="preserve">EOR-002</t>
  </si>
  <si>
    <t xml:space="preserve">Power engineering firm: electrical design for collection, substation and transmission; renewables and storage engineering</t>
  </si>
  <si>
    <t xml:space="preserve">Founded 1891; 30+ offices</t>
  </si>
  <si>
    <t xml:space="preserve">EOR-003</t>
  </si>
  <si>
    <t xml:space="preserve">POWER Engineers (Member of WSP)</t>
  </si>
  <si>
    <t xml:space="preserve">Power delivery engineering: substation, transmission, renewables and storage design</t>
  </si>
  <si>
    <t xml:space="preserve">https://www.powereng.com</t>
  </si>
  <si>
    <t xml:space="preserve">Subsidiary of WSP Global Inc. (TSX: WSP)</t>
  </si>
  <si>
    <t xml:space="preserve">Acquired by WSP for US$1.78B, completed 1 Oct 2024; ~4,000 employees, ~50 US locations</t>
  </si>
  <si>
    <t xml:space="preserve">WSP substation job postings show Fort Worth and Spring, TX roles (unconfirmed as POWER offices)</t>
  </si>
  <si>
    <t xml:space="preserve">EOR-004</t>
  </si>
  <si>
    <t xml:space="preserve">Design, permitting and optimization of standalone/hybrid BESS; substation and transmission line engineering; surveying</t>
  </si>
  <si>
    <t xml:space="preserve">https://www.westwoodps.com</t>
  </si>
  <si>
    <t xml:space="preserve">1-888-937-5150</t>
  </si>
  <si>
    <t xml:space="preserve">PE-backed; Blackstone Energy Transition Partners majority investment (Aug 2024), previously Endurance Partners</t>
  </si>
  <si>
    <t xml:space="preserve">1,600+ employees (2024); acquired O'Dell Engineering (California)</t>
  </si>
  <si>
    <t xml:space="preserve">Texas-headquartered</t>
  </si>
  <si>
    <t xml:space="preserve">EOR-005</t>
  </si>
  <si>
    <t xml:space="preserve">Engineering and EPC for BESS and HV substations; firm reports 8.9 GWh delivered as BESS EPC</t>
  </si>
  <si>
    <t xml:space="preserve">Houston; Dallas; Deer Park</t>
  </si>
  <si>
    <t xml:space="preserve">Revenue ~$4.7B (2023); ~13,000 employees; ENR 2024 #4 power design</t>
  </si>
  <si>
    <t xml:space="preserve">EOR-006</t>
  </si>
  <si>
    <t xml:space="preserve">Detailed civil, structural and electrical BESS design incl. plant, HV substation and transmission/interconnection design</t>
  </si>
  <si>
    <t xml:space="preserve">EOR-007</t>
  </si>
  <si>
    <t xml:space="preserve">Bowman Consulting Group</t>
  </si>
  <si>
    <t xml:space="preserve">Energy design and engineering incl. BESS, electric power and transmission; civil/survey</t>
  </si>
  <si>
    <t xml:space="preserve">Austin; Arlington; Plano (Dallas); Houston (2); Marshall; Midland; San Antonio; San Marcos; Waco</t>
  </si>
  <si>
    <t xml:space="preserve">https://bowman.com</t>
  </si>
  <si>
    <t xml:space="preserve">https://bowman.com/contact/</t>
  </si>
  <si>
    <t xml:space="preserve">Public (Nasdaq: BWMN)</t>
  </si>
  <si>
    <t xml:space="preserve">FY2025 gross contract revenue ~$490M; 2,300+ employees; ENR Top 500 #72; 7 acquisitions in 2025 (~$75.4M) incl. RPT Alliance (Houston, Dec 2025)</t>
  </si>
  <si>
    <t xml:space="preserve">Independent engineer — Vendor Landscape</t>
  </si>
  <si>
    <t xml:space="preserve">IE Services</t>
  </si>
  <si>
    <t xml:space="preserve">IE-001</t>
  </si>
  <si>
    <t xml:space="preserve">Independent engineering and technical due diligence for BESS: vendor/design/safety review, performance validation, guarantee verification, bankability for investors/financiers</t>
  </si>
  <si>
    <t xml:space="preserve">2025 operating revenue NOK 35,291 million</t>
  </si>
  <si>
    <t xml:space="preserve">Energy Storage IE PM roles posted in Austin and Houston among other US cities</t>
  </si>
  <si>
    <t xml:space="preserve">IE-002</t>
  </si>
  <si>
    <t xml:space="preserve">Lender's IE for BESS: project-finance technical due diligence, design/grid/warranty review, MC/SC/FC milestone certification (e.g., 550 MW / 1,433 MWh Texas portfolio for Excelsior/Lydian)</t>
  </si>
  <si>
    <t xml:space="preserve">+1 415 671 4000 (US offices)</t>
  </si>
  <si>
    <t xml:space="preserve">Subsidiary of Applus+ (private since June 2024; TDR Capital and I Squared Capital)</t>
  </si>
  <si>
    <t xml:space="preserve">Parent Applus+: 26,000+ employees, 70+ countries</t>
  </si>
  <si>
    <t xml:space="preserve">US offices in San Francisco, CA and Raleigh, NC</t>
  </si>
  <si>
    <t xml:space="preserve">IE-003</t>
  </si>
  <si>
    <t xml:space="preserve">Leidos</t>
  </si>
  <si>
    <t xml:space="preserve">Independent engineering for project development, acquisition, financing and investment diligence across energy storage and other technologies</t>
  </si>
  <si>
    <t xml:space="preserve">https://www.leidos.com</t>
  </si>
  <si>
    <t xml:space="preserve">(571) 526-6000</t>
  </si>
  <si>
    <t xml:space="preserve">https://www.leidos.com/contact</t>
  </si>
  <si>
    <t xml:space="preserve">~48,000 employees (Jan 2025); ~87% of FY2024 revenue from US government; energy IE is a small commercial practice</t>
  </si>
  <si>
    <t xml:space="preserve">IE-004</t>
  </si>
  <si>
    <t xml:space="preserve">BESS independent engineering due diligence for investors/tax equity: use-case modeling, module warranty terms, fire protection design</t>
  </si>
  <si>
    <t xml:space="preserve">Founded 1891; describes itself as one of the few tax-equity-accepted IEs for BESS</t>
  </si>
  <si>
    <t xml:space="preserve">IE-005</t>
  </si>
  <si>
    <t xml:space="preserve">Independent engineering and technical due diligence for lenders/investors on wind, solar and storage; new Head of IE North America (Dec 2025)</t>
  </si>
  <si>
    <t xml:space="preserve">400+ staff; 184+ GW NA transactions supported since 2022; 30+ NA IE projects (6+ GW) in 2025</t>
  </si>
  <si>
    <t xml:space="preserve">IE-006</t>
  </si>
  <si>
    <t xml:space="preserve">UL Solutions</t>
  </si>
  <si>
    <t xml:space="preserve">Energy Storage Advisory: IE and technical advisory for project financing, tax equity, sales and acquisitions (contracts, financial models, designs); BESS testing/certification</t>
  </si>
  <si>
    <t xml:space="preserve">https://www.ul.com</t>
  </si>
  <si>
    <t xml:space="preserve">(847) 272-8800</t>
  </si>
  <si>
    <t xml:space="preserve">Public (NYSE: ULS); majority voting control held by ULSE Inc. (UL Standards &amp; Engagement)</t>
  </si>
  <si>
    <t xml:space="preserve">~14,600 full-time employees (FY2025); 110+ countries</t>
  </si>
  <si>
    <t xml:space="preserve">Energy storage equipment — Vendor Landscape</t>
  </si>
  <si>
    <t xml:space="preserve">Product Line</t>
  </si>
  <si>
    <t xml:space="preserve">Manufacturing / Cell Origin</t>
  </si>
  <si>
    <t xml:space="preserve">BESS-001</t>
  </si>
  <si>
    <t xml:space="preserve">Tesla (Tesla Energy)</t>
  </si>
  <si>
    <t xml:space="preserve">Megapack 2 / Megapack 2 XL / Megapack 3 (~5 MWh) / Megablock (4x Megapack 3 + transformer + switchgear, ~20 MWh)</t>
  </si>
  <si>
    <t xml:space="preserve">Austin (corporate HQ); Brookshire, TX Megafactory (Megapack 3 production began Aug 2026 per SMM report)</t>
  </si>
  <si>
    <t xml:space="preserve">https://www.tesla.com/megapack</t>
  </si>
  <si>
    <t xml:space="preserve">Public (NASDAQ: TSLA)</t>
  </si>
  <si>
    <t xml:space="preserve">Brookshire, TX Megafactory targets 50 GWh/yr; ~$200M investment and 1,500-job commitment by 2028 (Basenor, Apr/Jul 2026). BNEF tier status not confirmed in this pass.</t>
  </si>
  <si>
    <t xml:space="preserve">Megapack 3 built in Brookshire, TX (production start reported Aug 6, 2026). Per SMM (Aug 2026), LFP cell suppliers span US, Southeast Asia and China, with CATL identified as Tesla's largest storage cell supplier; a reported $4.3B LG Energy Solution deal supplies LFP cells from Lansing, MI (secondary source). Cell origin varies by order — FEOC/material-assistance review of cell supply required; tariff exposure on any China-origin cells.</t>
  </si>
  <si>
    <t xml:space="preserve">BESS-002</t>
  </si>
  <si>
    <t xml:space="preserve">Fluence Energy</t>
  </si>
  <si>
    <t xml:space="preserve">Grid-scale BESS (Gridstack/Smartstack platforms), US domestic-content offering</t>
  </si>
  <si>
    <t xml:space="preserve">Arlington</t>
  </si>
  <si>
    <t xml:space="preserve">https://fluenceenergy.com</t>
  </si>
  <si>
    <t xml:space="preserve">Public (NASDAQ: FLNC); AES and Siemens are founding shareholders</t>
  </si>
  <si>
    <t xml:space="preserve">FY2025 revenue $2.3B; FY2026 guidance $3.2-3.6B; record backlog $5.3B (results released Nov 24, 2025).</t>
  </si>
  <si>
    <t xml:space="preserve">US module assembly in Tooele County, UT; LFP cells from a supplier in Smyrna, TN; partner manufacturing ramping in AZ and TX (May 28, 2025). Markets a US domestic-content strategy. Confirm cell/enclosure origin per order for FEOC compliance.</t>
  </si>
  <si>
    <t xml:space="preserve">BESS-003</t>
  </si>
  <si>
    <t xml:space="preserve">Sungrow</t>
  </si>
  <si>
    <t xml:space="preserve">PowerTitan 3.0 AC block (6.9 MWh per 20-ft container); PowerStack (C&amp;I)</t>
  </si>
  <si>
    <t xml:space="preserve">Hefei</t>
  </si>
  <si>
    <t xml:space="preserve">Anhui</t>
  </si>
  <si>
    <t xml:space="preserve">China</t>
  </si>
  <si>
    <t xml:space="preserve">Costa Mesa, CA (3200 Park Center Dr Suite 850)</t>
  </si>
  <si>
    <t xml:space="preserve">https://www.sungrowpower.com/us/en</t>
  </si>
  <si>
    <t xml:space="preserve">+1 833 747 6937</t>
  </si>
  <si>
    <t xml:space="preserve">https://www.sungrowpower.com/us/en/about-us/contact-us</t>
  </si>
  <si>
    <t xml:space="preserve">Public (Shenzhen: 300274)</t>
  </si>
  <si>
    <t xml:space="preserve">PowerTitan 3.0 launched for North America at RE+ 2025 (Sep 9, 2025). BNEF tier status not confirmed in this pass.</t>
  </si>
  <si>
    <t xml:space="preserve">Chinese parent company — FEOC review required under OBBBA (enacted Jul 4, 2025). No US manufacturing identified in sources reviewed; China-origin equipment subject to Section 301/reciprocal tariffs.</t>
  </si>
  <si>
    <t xml:space="preserve">BESS-004</t>
  </si>
  <si>
    <t xml:space="preserve">LG Energy Solution Vertech</t>
  </si>
  <si>
    <t xml:space="preserve">Containerized LFP grid-scale BESS + AEROS controls/analytics; integration and lifecycle services</t>
  </si>
  <si>
    <t xml:space="preserve">Seoul</t>
  </si>
  <si>
    <t xml:space="preserve">South Korea</t>
  </si>
  <si>
    <t xml:space="preserve">Westborough, MA</t>
  </si>
  <si>
    <t xml:space="preserve">Subsidiary of LG Energy Solution (KRX: 373220)</t>
  </si>
  <si>
    <t xml:space="preserve">Dec 19, 2024: multi-year 7.5 GWh agreement with Excelsior Energy Capital (first delivery Apr 2026), following an 8 GWh Terra-Gen agreement.</t>
  </si>
  <si>
    <t xml:space="preserve">LFP ESS cells produced at LG Energy Solution's Lansing, MI plant (production began 2025; &gt;35 GWh/yr at full scale). Products marketed as meeting US domestic-content requirements. Korean parent (not a covered-nation FEOC on its face) — still confirm material-assistance cost ratio per OBBBA.</t>
  </si>
  <si>
    <t xml:space="preserve">BESS-005</t>
  </si>
  <si>
    <t xml:space="preserve">Samsung SDI</t>
  </si>
  <si>
    <t xml:space="preserve">Samsung Battery Box (SBB) 2.0 — prismatic LFP DC block (cell/DC supplier; requires PCS/EMS integrator)</t>
  </si>
  <si>
    <t xml:space="preserve">Yongin</t>
  </si>
  <si>
    <t xml:space="preserve">Gyeonggi</t>
  </si>
  <si>
    <t xml:space="preserve">https://www.samsungsdi.com</t>
  </si>
  <si>
    <t xml:space="preserve">Public (KRX: 006400)</t>
  </si>
  <si>
    <t xml:space="preserve">Dec 2025: ~$1.36B, 3-year LFP ESS supply contract with an unnamed North American energy company, deliveries from 2027.</t>
  </si>
  <si>
    <t xml:space="preserve">Converting lines at StarPlus Energy (Samsung SDI–Stellantis JV) plant in Kokomo, IN to prismatic LFP ESS cells (announced Dec 10, 2025); company describes itself as the only non-Chinese prismatic LFP ESS cell maker producing in the US. Korean parent.</t>
  </si>
  <si>
    <t xml:space="preserve">BESS-006</t>
  </si>
  <si>
    <t xml:space="preserve">Wärtsilä Energy Storage</t>
  </si>
  <si>
    <t xml:space="preserve">Quantum3 AC-block BESS (introduced Sep 2024); GEMS software</t>
  </si>
  <si>
    <t xml:space="preserve">Helsinki</t>
  </si>
  <si>
    <t xml:space="preserve">Finland</t>
  </si>
  <si>
    <t xml:space="preserve">Houston, TX (Wärtsilä North America, Inc., 11710 N. Gessner Rd., Suite A); Energy Storage offices Emeryville, CA and Herndon, VA</t>
  </si>
  <si>
    <t xml:space="preserve">Houston, TX</t>
  </si>
  <si>
    <t xml:space="preserve">https://www.wartsila.com/usa</t>
  </si>
  <si>
    <t xml:space="preserve">+1 281 233 6200</t>
  </si>
  <si>
    <t xml:space="preserve">https://www.wartsila.com/usa/about/contact-us</t>
  </si>
  <si>
    <t xml:space="preserve">Public (Nasdaq Helsinki: WRT1V)</t>
  </si>
  <si>
    <t xml:space="preserve">Mar 31, 2025: concluded 18-month strategic review and retained the energy storage business; separate Energy Storage reporting segment from Apr 1, 2025 (target ≥10% organic growth, 3-5% operating margin).</t>
  </si>
  <si>
    <t xml:space="preserve">Cell supplier/origin not stated in sources reviewed — confirm cell origin for FEOC/tariff review.</t>
  </si>
  <si>
    <t xml:space="preserve">BESS-007</t>
  </si>
  <si>
    <t xml:space="preserve">FlexGen Power Systems</t>
  </si>
  <si>
    <t xml:space="preserve">BESS integration with HybridOS EMS; legacy Powin fleet support (Powin assets/IP acquired)</t>
  </si>
  <si>
    <t xml:space="preserve">Durham</t>
  </si>
  <si>
    <t xml:space="preserve">https://www.flexgen.com</t>
  </si>
  <si>
    <t xml:space="preserve">855-327-5674</t>
  </si>
  <si>
    <t xml:space="preserve">https://www.flexgen.com/contact-us</t>
  </si>
  <si>
    <t xml:space="preserve">Acquired key Powin assets and IP via court-approved sale (court approval announced Aug 6, 2025; completion announced Aug 15, 2025); now supports &gt;25 GWh across &gt;200 sites.</t>
  </si>
  <si>
    <t xml:space="preserve">No manufacturing locations stated in sources reviewed; confirm battery/cell OEM and origin per project for FEOC review. Legacy Powin warranty/support assumptions should be diligenced.</t>
  </si>
  <si>
    <t xml:space="preserve">BESS-008</t>
  </si>
  <si>
    <t xml:space="preserve">Hithium</t>
  </si>
  <si>
    <t xml:space="preserve">LFP BESS modules/systems (∞Power 6.25 MWh platform)</t>
  </si>
  <si>
    <t xml:space="preserve">Xiamen</t>
  </si>
  <si>
    <t xml:space="preserve">Fujian</t>
  </si>
  <si>
    <t xml:space="preserve">Mesquite, TX (12955 FM 2932) — module/system plant</t>
  </si>
  <si>
    <t xml:space="preserve">https://hithium.com</t>
  </si>
  <si>
    <t xml:space="preserve">Private (founded 2019)</t>
  </si>
  <si>
    <t xml:space="preserve">~$200M Mesquite plant opened May 28/Jun 5, 2025; 10 GWh/yr modules and systems; mass production slated for late 2025.</t>
  </si>
  <si>
    <t xml:space="preserve">Chinese parent company — FEOC review required under OBBBA. US assembly in Mesquite, TX; cell origin not stated in sources (assume imported until confirmed) — tariff relevance.</t>
  </si>
  <si>
    <t xml:space="preserve">BESS-009</t>
  </si>
  <si>
    <t xml:space="preserve">Canadian Solar e-STORAGE</t>
  </si>
  <si>
    <t xml:space="preserve">Utility-scale BESS (SolBank platform) and EPC/LTSA services</t>
  </si>
  <si>
    <t xml:space="preserve">Kitchener</t>
  </si>
  <si>
    <t xml:space="preserve">ON</t>
  </si>
  <si>
    <t xml:space="preserve">Mesquite, TX module plant (solar, not storage)</t>
  </si>
  <si>
    <t xml:space="preserve">https://www.csisolar.com/e-storage/</t>
  </si>
  <si>
    <t xml:space="preserve">Part of Canadian Solar Inc. (NASDAQ: CSIQ); US manufacturing consolidated into CS PowerTech (75.1% CSIQ / 24.9% CSI Solar)</t>
  </si>
  <si>
    <t xml:space="preserve">Company states Tier 1 storage rating and 23 GWh shipped. Q2 2026: revenue $1.2B (-29% YoY), net loss $76.9M, e-STORAGE backlog $3.5B (IIR, Aug 28, 2026). Dec 2025 restructuring moved US manufacturing out from under China-listed CSI Solar.</t>
  </si>
  <si>
    <t xml:space="preserve">Shelbyville, KY BESS plant: Phase I 3 GWh complete, Phase II planned later 2026 to double capacity. CSI Solar (Suzhou, China-listed) retains 24.9% of US JV — FEOC review required; restructuring was positioned to address FEOC rules.</t>
  </si>
  <si>
    <t xml:space="preserve">BESS-010</t>
  </si>
  <si>
    <t xml:space="preserve">Prevalon Energy (now Nextpower)</t>
  </si>
  <si>
    <t xml:space="preserve">HD5 AC / HD5 DC BESS platforms, insightOS, service/LTSA</t>
  </si>
  <si>
    <t xml:space="preserve">Fremont</t>
  </si>
  <si>
    <t xml:space="preserve">https://prevalonenergy.com</t>
  </si>
  <si>
    <t xml:space="preserve">https://prevalonenergy.com/contact-us/</t>
  </si>
  <si>
    <t xml:space="preserve">Subsidiary of Nextpower (NASDAQ: NXT; formerly Nextracker) since Jul 20, 2026; previously Mitsubishi Power Americas / EES JV</t>
  </si>
  <si>
    <t xml:space="preserve">Nextpower completed acquisition for up to $365M cash and stock (Jul 20, 2026); Prevalon has &gt;6 GWh deployed; CEO Tom Cornell continues leading the division.</t>
  </si>
  <si>
    <t xml:space="preserve">Cell supplier and manufacturing locations not stated in sources reviewed — confirm origin for FEOC/tariff review. HQ shown is Nextpower parent (Prevalon described as US-headquartered).</t>
  </si>
  <si>
    <t xml:space="preserve">Medium-voltage transformers — Vendor Landscape</t>
  </si>
  <si>
    <t xml:space="preserve">Manufacturing Origin</t>
  </si>
  <si>
    <t xml:space="preserve">MVT-001</t>
  </si>
  <si>
    <t xml:space="preserve">Hitachi Energy</t>
  </si>
  <si>
    <t xml:space="preserve">Pad-mount and distribution transformers (single-phase pad-mount from Reynosa); large distribution transformers (South Boston, VA)</t>
  </si>
  <si>
    <t xml:space="preserve">Zurich</t>
  </si>
  <si>
    <t xml:space="preserve">Switzerland</t>
  </si>
  <si>
    <t xml:space="preserve">Raleigh, NC</t>
  </si>
  <si>
    <t xml:space="preserve">https://www.hitachienergy.com/us/en</t>
  </si>
  <si>
    <t xml:space="preserve">Subsidiary of Hitachi, Ltd. (TSE: 6501)</t>
  </si>
  <si>
    <t xml:space="preserve">Sep 2024: $155M North American expansion (incl. $70M Reynosa MX pad-mount plant, $25M+ South Boston VA). Sep 5, 2025: $1B US manufacturing commitment incl. ~$457-475M South Boston VA large power transformer plant (ops ~2028).</t>
  </si>
  <si>
    <t xml:space="preserve">US plants in South Boston, VA; pad-mount distribution transformers from Reynosa, Mexico (USMCA). Confirm three-phase 34.5 kV BESS/solar pad-mount availability and plant of origin per quote.</t>
  </si>
  <si>
    <t xml:space="preserve">MVT-002</t>
  </si>
  <si>
    <t xml:space="preserve">Eaton</t>
  </si>
  <si>
    <t xml:space="preserve">Three-phase pad-mount transformers; single-phase/pole/pad-mount</t>
  </si>
  <si>
    <t xml:space="preserve">Dublin</t>
  </si>
  <si>
    <t xml:space="preserve">Ireland</t>
  </si>
  <si>
    <t xml:space="preserve">Cleveland (Beachwood), OH</t>
  </si>
  <si>
    <t xml:space="preserve">Nacogdoches, TX (single-phase, pole-mount and pad-mount transformer plant)</t>
  </si>
  <si>
    <t xml:space="preserve">https://www.eaton.com/us/en-us.html</t>
  </si>
  <si>
    <t xml:space="preserve">Public (NYSE: ETN)</t>
  </si>
  <si>
    <t xml:space="preserve">Feb 12, 2025: $340M Jonesville, SC three-phase transformer plant (production 2027, 700 jobs); &gt;$1B invested in North American electrical manufacturing since 2023.</t>
  </si>
  <si>
    <t xml:space="preserve">US transformer plants: Waukesha, WI (three-phase), Nacogdoches, TX, Jonesville, SC (from 2027). US-manufactured options available.</t>
  </si>
  <si>
    <t xml:space="preserve">MVT-003</t>
  </si>
  <si>
    <t xml:space="preserve">Prolec GE (GE Vernova)</t>
  </si>
  <si>
    <t xml:space="preserve">Three-phase pad-mount (Shreveport) and medium power / substation transformers (Goldsboro)</t>
  </si>
  <si>
    <t xml:space="preserve">Monterrey</t>
  </si>
  <si>
    <t xml:space="preserve">Nuevo León</t>
  </si>
  <si>
    <t xml:space="preserve">Mexico</t>
  </si>
  <si>
    <t xml:space="preserve">https://www.prolec.energy</t>
  </si>
  <si>
    <t xml:space="preserve">Wholly owned by GE Vernova (NYSE: GEV) since Feb 5, 2026 (bought Xignux's 50% for $5.275B); operating under GE Vernova brand in Electrification segment</t>
  </si>
  <si>
    <t xml:space="preserve">~10,000 employees, 7 manufacturing sites incl. 5 in US. May 14, 2025: $140M Goldsboro, NC expansion (doubling capacity by 2030); &gt;$300M recent North American investment.</t>
  </si>
  <si>
    <t xml:space="preserve">US plants: Shreveport, LA (three-phase pad-mount, 1,500+ units/yr) and Goldsboro, NC (medium power); additional plants in Mexico (USMCA).</t>
  </si>
  <si>
    <t xml:space="preserve">MVT-004</t>
  </si>
  <si>
    <t xml:space="preserve">WEG</t>
  </si>
  <si>
    <t xml:space="preserve">Distribution and power transformers (WEG Transformers USA); confirm three-phase 34.5 kV pad-mount offering</t>
  </si>
  <si>
    <t xml:space="preserve">Jaraguá do Sul</t>
  </si>
  <si>
    <t xml:space="preserve">Santa Catarina</t>
  </si>
  <si>
    <t xml:space="preserve">Brazil</t>
  </si>
  <si>
    <t xml:space="preserve">https://www.weg.net/institutional/US/en/</t>
  </si>
  <si>
    <t xml:space="preserve">Public (B3: WEGE3)</t>
  </si>
  <si>
    <t xml:space="preserve">Sep 2025: $77M, 130,000 sq ft expansion of Washington, MO transformer plant (50 jobs).</t>
  </si>
  <si>
    <t xml:space="preserve">US transformer manufacturing in Washington, MO. US HQ and BESS/solar pad-mount product details not confirmed in this pass.</t>
  </si>
  <si>
    <t xml:space="preserve">MVT-005</t>
  </si>
  <si>
    <t xml:space="preserve">Virginia Transformer Corp</t>
  </si>
  <si>
    <t xml:space="preserve">E2X pad-mount; liquid substation/GSU (500 kVA–1,400 MVA); BESS listed as served industry</t>
  </si>
  <si>
    <t xml:space="preserve">Roanoke</t>
  </si>
  <si>
    <t xml:space="preserve">https://www.vatransformer.com</t>
  </si>
  <si>
    <t xml:space="preserve">(540) 345-9892</t>
  </si>
  <si>
    <t xml:space="preserve">Private, US-owned</t>
  </si>
  <si>
    <t xml:space="preserve">Bloomberg (Jan 9, 2025) reported it was considering a sale (~$6B). Nov 20, 2025: Rincon, GA expansion starting Jan 2026 (+400 jobs, ~70% capacity increase); still privately held per that release.</t>
  </si>
  <si>
    <t xml:space="preserve">Six facilities across US and Mexico (incl. Rincon, GA power transformers 30–500 MVA up to 525 kV). Watch for ownership change.</t>
  </si>
  <si>
    <t xml:space="preserve">MVT-006</t>
  </si>
  <si>
    <t xml:space="preserve">ERMCO</t>
  </si>
  <si>
    <t xml:space="preserve">Three-phase and single-phase pad-mount distribution transformers (incl. ECO-PAD)</t>
  </si>
  <si>
    <t xml:space="preserve">Dyersburg</t>
  </si>
  <si>
    <t xml:space="preserve">TN</t>
  </si>
  <si>
    <t xml:space="preserve">https://www.ermco-eci.com</t>
  </si>
  <si>
    <t xml:space="preserve">https://www.ermco-eci.com/</t>
  </si>
  <si>
    <t xml:space="preserve">Subsidiary of Arkansas Electric Cooperatives, Inc. (cooperative-owned)</t>
  </si>
  <si>
    <t xml:space="preserve">Describes itself as the largest US maker of oil-filled distribution transformers. Jan 2026: new ~566,000 sq ft three-phase plant west of Phoenix, AZ (production 2027, ~541 jobs).</t>
  </si>
  <si>
    <t xml:space="preserve">Facilities in Dyersburg, Greeneville and Bristol, TN, and Reynosa, Mexico; Arizona plant from 2027. Primarily distribution-class; confirm kVA range for BESS MV step-up.</t>
  </si>
  <si>
    <t xml:space="preserve">MVT-007</t>
  </si>
  <si>
    <t xml:space="preserve">Howard Industries</t>
  </si>
  <si>
    <t xml:space="preserve">Distribution transformers incl. large three-phase pad-mount 750–10,000 kVA (utilities, data centers, BESS)</t>
  </si>
  <si>
    <t xml:space="preserve">Ellisville</t>
  </si>
  <si>
    <t xml:space="preserve">MS</t>
  </si>
  <si>
    <t xml:space="preserve">https://www.howard.com</t>
  </si>
  <si>
    <t xml:space="preserve">(601) 425-3151</t>
  </si>
  <si>
    <t xml:space="preserve">Jun 26, 2025: &gt;$230M Mississippi expansion (450 jobs). May 8, 2026: ~$100M, 825,000 sq ft Mexico plant for three-phase 750–10,000 kVA units, operational Q3 2026.</t>
  </si>
  <si>
    <t xml:space="preserve">Mississippi plants (Laurel/Ellisville area, Quitman); new Mexico plant (USMCA) explicitly targeting BESS.</t>
  </si>
  <si>
    <t xml:space="preserve">MVT-008</t>
  </si>
  <si>
    <t xml:space="preserve">Maddox Transformer</t>
  </si>
  <si>
    <t xml:space="preserve">New and remanufactured three-phase pad-mount and substation transformers; in-stock inventory</t>
  </si>
  <si>
    <t xml:space="preserve">Battle Ground</t>
  </si>
  <si>
    <t xml:space="preserve">WA</t>
  </si>
  <si>
    <t xml:space="preserve">https://www.maddox.com</t>
  </si>
  <si>
    <t xml:space="preserve">1-800-270-2011</t>
  </si>
  <si>
    <t xml:space="preserve">https://www.maddox.com/contact</t>
  </si>
  <si>
    <t xml:space="preserve">Private (founded 2015); ownership structure not disclosed</t>
  </si>
  <si>
    <t xml:space="preserve">No financial data published in sources reviewed.</t>
  </si>
  <si>
    <t xml:space="preserve">Locations in WA, SC (5 sites), OH and Houston, TX. Manufacturing origin of new units not stated — confirm country of origin per unit for tariff review.</t>
  </si>
  <si>
    <t xml:space="preserve">MVT-009</t>
  </si>
  <si>
    <t xml:space="preserve">JST Power Equipment</t>
  </si>
  <si>
    <t xml:space="preserve">Liquid-filled pad-mount 1- and 3-phase (25–6,000 kVA, up to 35 kV); MV switchgear and packaged substations</t>
  </si>
  <si>
    <t xml:space="preserve">Lake Mary</t>
  </si>
  <si>
    <t xml:space="preserve">FL</t>
  </si>
  <si>
    <t xml:space="preserve">https://www.jstpower.com</t>
  </si>
  <si>
    <t xml:space="preserve">https://jstpower.com/contact/</t>
  </si>
  <si>
    <t xml:space="preserve">Not disclosed in sources reviewed — confirm parent/ultimate ownership</t>
  </si>
  <si>
    <t xml:space="preserve">May 19, 2026: opened Wytheville, VA pad-mount plant (~150 units 2026, scaling to 1,000 in 2027).</t>
  </si>
  <si>
    <t xml:space="preserve">Plants in Wuhan, China (2021), Nogales, Mexico (2019), Malaysia (2025) and Wytheville, VA. China-origin units carry tariff exposure; specify plant of origin in RFQ.</t>
  </si>
  <si>
    <t xml:space="preserve">MVT-010</t>
  </si>
  <si>
    <t xml:space="preserve">Sunbelt Solomon</t>
  </si>
  <si>
    <t xml:space="preserve">New and refurbished pad-mount and substation transformers; rentals and field services</t>
  </si>
  <si>
    <t xml:space="preserve">Temple</t>
  </si>
  <si>
    <t xml:space="preserve">Temple, TX (HQ and facility)</t>
  </si>
  <si>
    <t xml:space="preserve">https://www.sunbeltsolomon.com</t>
  </si>
  <si>
    <t xml:space="preserve">888-691-4712</t>
  </si>
  <si>
    <t xml:space="preserve">https://www.sunbeltsolomon.com/</t>
  </si>
  <si>
    <t xml:space="preserve">Private; Trilantic North America portfolio company</t>
  </si>
  <si>
    <t xml:space="preserve">Formed by 2019 merger of Sunbelt Transformer and Solomon Corp; added Trinity Power Rentals (2022) and Power Solutions Group (2024). 40+ locations; 64,000+ units in inventory.</t>
  </si>
  <si>
    <t xml:space="preserve">Facilities in Temple, TX; Solomon, KS; Sharon, PA; Elba and Bay Minette, AL; plus Canada and Chile. Origin of new units not stated — confirm per unit.</t>
  </si>
  <si>
    <t xml:space="preserve">High-voltage breakers (345 kV class) — Vendor Landscape</t>
  </si>
  <si>
    <t xml:space="preserve">HVB-001</t>
  </si>
  <si>
    <t xml:space="preserve">Dead tank circuit breakers up to 420 kV (incl. 362 kV); EconiQ SF6-free; PASS hybrid switchgear</t>
  </si>
  <si>
    <t xml:space="preserve">Apr 2025: &gt;$70M Pennsylvania investments (Mount Pleasant, Hunker, Greensburg); full capacity expected 2026. Part of $1B US commitment (Sep 5, 2025) incl. Pittsburgh-area breaker/switchgear expansion.</t>
  </si>
  <si>
    <t xml:space="preserve">Dead tank breakers manufactured in Mount Pleasant, PA (US-made).</t>
  </si>
  <si>
    <t xml:space="preserve">HVB-002</t>
  </si>
  <si>
    <t xml:space="preserve">Siemens Energy</t>
  </si>
  <si>
    <t xml:space="preserve">Dead tank breakers 72.5–550 kV (US SPS 362 kV); Blue SF6-free portfolio</t>
  </si>
  <si>
    <t xml:space="preserve">Munich</t>
  </si>
  <si>
    <t xml:space="preserve">Germany</t>
  </si>
  <si>
    <t xml:space="preserve">https://siemens-energy.com/us/en/home.html</t>
  </si>
  <si>
    <t xml:space="preserve">https://siemens-energy.com/us/en/home/products-services/product/dead-tank.html</t>
  </si>
  <si>
    <t xml:space="preserve">Public (Frankfurt: ENR)</t>
  </si>
  <si>
    <t xml:space="preserve">Feb 3, 2026: ~$1B US investment incl. new high-voltage switchgear plant near Richland, MS (300 jobs) and Charlotte, NC transformer expansion.</t>
  </si>
  <si>
    <t xml:space="preserve">Richland, MS HV switchgear/breaker manufacturing (expanding). German parent.</t>
  </si>
  <si>
    <t xml:space="preserve">HVB-003</t>
  </si>
  <si>
    <t xml:space="preserve">GE Vernova</t>
  </si>
  <si>
    <t xml:space="preserve">Dead tank breakers up to 550 kV (DT1-362 for 362 kV); g3 SF6-free models (72.5/145 kV)</t>
  </si>
  <si>
    <t xml:space="preserve">Cambridge</t>
  </si>
  <si>
    <t xml:space="preserve">MA</t>
  </si>
  <si>
    <t xml:space="preserve">https://www.gevernova.com/grid-solutions/equipment/circuit-breakers/dead-tank-circuit-breakers</t>
  </si>
  <si>
    <t xml:space="preserve">Public (NYSE: GEV)</t>
  </si>
  <si>
    <t xml:space="preserve">Aug 20, 2026: $138M expansion of Charleroi, PA plant (HV breakers, switchgear, instrument transformers; ~275 jobs through 2028). Acquired 100% of Prolec GE Feb 5, 2026.</t>
  </si>
  <si>
    <t xml:space="preserve">HV circuit breakers manufactured in Charleroi, PA (US).</t>
  </si>
  <si>
    <t xml:space="preserve">HVB-004</t>
  </si>
  <si>
    <t xml:space="preserve">Mitsubishi Electric Power Products (MEPPI)</t>
  </si>
  <si>
    <t xml:space="preserve">Dead tank gas circuit breakers 72.5–800 kV (362 kV up to 63 kA)</t>
  </si>
  <si>
    <t xml:space="preserve">Tokyo</t>
  </si>
  <si>
    <t xml:space="preserve">Japan</t>
  </si>
  <si>
    <t xml:space="preserve">Warrendale, PA</t>
  </si>
  <si>
    <t xml:space="preserve">https://www.meppi.com</t>
  </si>
  <si>
    <t xml:space="preserve">https://www.meppi.com/contact-us</t>
  </si>
  <si>
    <t xml:space="preserve">Subsidiary of Mitsubishi Electric Corp. (TSE: 6503)</t>
  </si>
  <si>
    <t xml:space="preserve">$86M investment incl. new 160,000 sq ft Warrendale, PA factory for vacuum and gas circuit breakers (&gt;200 jobs; reported 2025).</t>
  </si>
  <si>
    <t xml:space="preserve">Breakers 'fully assembled and tested in the USA' per MEPPI.</t>
  </si>
  <si>
    <t xml:space="preserve">HVB-005</t>
  </si>
  <si>
    <t xml:space="preserve">Hyosung HICO</t>
  </si>
  <si>
    <t xml:space="preserve">Gas circuit breakers 72.5–800 kV</t>
  </si>
  <si>
    <t xml:space="preserve">Memphis, TN</t>
  </si>
  <si>
    <t xml:space="preserve">https://www.hyosungheavyindustries.com/en/business/power-products/P010104</t>
  </si>
  <si>
    <t xml:space="preserve">Subsidiary of Hyosung Heavy Industries (KRX-listed)</t>
  </si>
  <si>
    <t xml:space="preserve">Jun 2026: formed JV 'Hyosung HICO Breaker' with Quanta Services; targets 25% US GCB share by 2030. Nov 12, 2025: $157M Memphis transformer expansion.</t>
  </si>
  <si>
    <t xml:space="preserve">GCB semi-finished products from Changwon, Korea; final assembly at Quanta's Canonsburg, PA facility from Oct 2026. Korean-origin content — tariff relevance.</t>
  </si>
  <si>
    <t xml:space="preserve">HVB-006</t>
  </si>
  <si>
    <t xml:space="preserve">HD Hyundai Electric (watchlist)</t>
  </si>
  <si>
    <t xml:space="preserve">SF6-free switchgear/breakers; 362 kV dead tank breaker planned for 2028 launch</t>
  </si>
  <si>
    <t xml:space="preserve">Public (KRX-listed)</t>
  </si>
  <si>
    <t xml:space="preserve">May 7, 2026: ~$119M contract for 765 kV transformers/reactors for an SPP transmission project.</t>
  </si>
  <si>
    <t xml:space="preserve">362 kV dead tank breaker not available until 2028 per source — future-option only. Korean origin; tariff relevance.</t>
  </si>
  <si>
    <t xml:space="preserve">Medium-voltage breakers / switchgear — Vendor Landscape</t>
  </si>
  <si>
    <t xml:space="preserve">MVB-001</t>
  </si>
  <si>
    <t xml:space="preserve">VacClad-HD 38 kV metal-clad switchgear with VCPW-HD vacuum breakers (1,200–3,000 A, up to 40 kA)</t>
  </si>
  <si>
    <t xml:space="preserve">&gt;$1B invested in North American electrical manufacturing since 2023 (Feb 2025).</t>
  </si>
  <si>
    <t xml:space="preserve">US manufacturing footprint; confirm plant of origin for 38 kV gear per quote.</t>
  </si>
  <si>
    <t xml:space="preserve">MVB-002</t>
  </si>
  <si>
    <t xml:space="preserve">Schneider Electric</t>
  </si>
  <si>
    <t xml:space="preserve">MV switchgear: air-insulated, gas-insulated and shielded solid insulation</t>
  </si>
  <si>
    <t xml:space="preserve">Rueil-Malmaison</t>
  </si>
  <si>
    <t xml:space="preserve">France</t>
  </si>
  <si>
    <t xml:space="preserve">Andover, MA (Boston One campus)</t>
  </si>
  <si>
    <t xml:space="preserve">https://www.se.com/us/en/</t>
  </si>
  <si>
    <t xml:space="preserve">Public (Euronext Paris: SU)</t>
  </si>
  <si>
    <t xml:space="preserve">Nov 11, 2025: opened Mt. Juliet, TN MV switchgear plant (500,000+ sq ft; second 540,000+ sq ft building under construction).</t>
  </si>
  <si>
    <t xml:space="preserve">US MV switchgear production in Mt. Juliet, TN; other TN sites Smyrna and Franklin.</t>
  </si>
  <si>
    <t xml:space="preserve">MVB-003</t>
  </si>
  <si>
    <t xml:space="preserve">ABB</t>
  </si>
  <si>
    <t xml:space="preserve">MV breakers/switchgear and grid components (Electrification); confirm 38 kV outdoor breaker line</t>
  </si>
  <si>
    <t xml:space="preserve">Cary, NC</t>
  </si>
  <si>
    <t xml:space="preserve">https://electrification.us.abb.com</t>
  </si>
  <si>
    <t xml:space="preserve">Public (SIX: ABBN)</t>
  </si>
  <si>
    <t xml:space="preserve">Sep 16, 2025: $110M US manufacturing investment (Richmond VA, Pinetops NC, Senatobia MS, Arecibo PR) incl. LV and MV grid components; ~17,000 US employees.</t>
  </si>
  <si>
    <t xml:space="preserve">~40 US facilities; confirm plant of origin for 34.5 kV equipment per quote.</t>
  </si>
  <si>
    <t xml:space="preserve">MVB-004</t>
  </si>
  <si>
    <t xml:space="preserve">Siemens (Smart Infrastructure)</t>
  </si>
  <si>
    <t xml:space="preserve">SDV7 / SDV7-AR outdoor distribution vacuum breakers (15.5–38 kV, up to 40 kA, 200 kV BIL)</t>
  </si>
  <si>
    <t xml:space="preserve">Fort Worth, TX plant (low-voltage switchboards/switchgear; opened Mar 2025)</t>
  </si>
  <si>
    <t xml:space="preserve">https://www.siemens.com/us/en.html</t>
  </si>
  <si>
    <t xml:space="preserve">+1 (800) 347-6659</t>
  </si>
  <si>
    <t xml:space="preserve">Public (Frankfurt: SIE)</t>
  </si>
  <si>
    <t xml:space="preserve">Mar 2025: $190M Fort Worth, TX plant (LV equipment; 800 jobs by 2026) as part of $285M two-plant investment.</t>
  </si>
  <si>
    <t xml:space="preserve">SDV7 manufactured by Siemens Industry, Inc., Wendell, NC (per product flyer). German parent.</t>
  </si>
  <si>
    <t xml:space="preserve">MVB-005</t>
  </si>
  <si>
    <t xml:space="preserve">Powell Industries</t>
  </si>
  <si>
    <t xml:space="preserve">ANSI metal-clad (PowlVac, Power/Vac) and metal-enclosed switchgear; E-houses / PCR packaged solutions</t>
  </si>
  <si>
    <t xml:space="preserve">Houston, TX (HQ)</t>
  </si>
  <si>
    <t xml:space="preserve">https://www.powellind.com</t>
  </si>
  <si>
    <t xml:space="preserve">https://www.powellind.com/contact</t>
  </si>
  <si>
    <t xml:space="preserve">Public (NASDAQ: POWL)</t>
  </si>
  <si>
    <t xml:space="preserve">FY2025 (Sep 30) revenue $1.1B (+9%); backlog $1.4B; acquired Remsdaq Ltd. (UK SCADA RTUs) (Nov 18, 2025 release).</t>
  </si>
  <si>
    <t xml:space="preserve">Operations in US, Canada and UK; Texas-based manufacturer. Confirm 38 kV rating availability per product line.</t>
  </si>
  <si>
    <t xml:space="preserve">MVB-006</t>
  </si>
  <si>
    <t xml:space="preserve">S&amp;C Electric Company</t>
  </si>
  <si>
    <t xml:space="preserve">MV switching and protection (pad-mounted / metal-enclosed switchgear, distribution switching); confirm 34.5 kV collector-system products</t>
  </si>
  <si>
    <t xml:space="preserve">https://www.sandc.com</t>
  </si>
  <si>
    <t xml:space="preserve">Mar 2023: 275,000 sq ft Palatine, IL manufacturing expansion; ~3,500 employees globally.</t>
  </si>
  <si>
    <t xml:space="preserve">US manufacturing in Chicago area (Rogers Park HQ campus; Palatine, IL).</t>
  </si>
  <si>
    <t xml:space="preserve">MVB-007</t>
  </si>
  <si>
    <t xml:space="preserve">G&amp;W Electric</t>
  </si>
  <si>
    <t xml:space="preserve">Switchgear, reclosers, overhead switches, current-limiting protection, cable accessories; confirm 38 kV ratings</t>
  </si>
  <si>
    <t xml:space="preserve">Bolingbrook</t>
  </si>
  <si>
    <t xml:space="preserve">https://www.gwelectric.com</t>
  </si>
  <si>
    <t xml:space="preserve">Private (Mueller family; Chairman/owner John H. Mueller)</t>
  </si>
  <si>
    <t xml:space="preserve">Acquired Veneta Isolatori SpA (Italy). No revenue data published in sources reviewed.</t>
  </si>
  <si>
    <t xml:space="preserve">HQ and manufacturing in Bolingbrook, IL; facility in Italy. Confirm origin per product.</t>
  </si>
  <si>
    <t xml:space="preserve">EPC contractor services — Vendor Landscape</t>
  </si>
  <si>
    <t xml:space="preserve">EPC Scope</t>
  </si>
  <si>
    <t xml:space="preserve">Labor / Delivery Origin</t>
  </si>
  <si>
    <t xml:space="preserve">EPC-001</t>
  </si>
  <si>
    <t xml:space="preserve">Mortenson</t>
  </si>
  <si>
    <t xml:space="preserve">Full EPC for utility-scale BESS incl. project substation and gen-tie (e.g., Revolution 150 MW / 300 MWh, Crane TX, ERCOT)</t>
  </si>
  <si>
    <t xml:space="preserve">Minneapolis</t>
  </si>
  <si>
    <t xml:space="preserve">MN</t>
  </si>
  <si>
    <t xml:space="preserve">https://www.mortenson.com</t>
  </si>
  <si>
    <t xml:space="preserve">763.522.2100</t>
  </si>
  <si>
    <t xml:space="preserve">https://www.mortenson.com/contact</t>
  </si>
  <si>
    <t xml:space="preserve">Private (M. A. Mortenson Company)</t>
  </si>
  <si>
    <t xml:space="preserve">#1 utility-scale storage installer in Solar Power World 2026 list (5,776 MWh installed in 2025)</t>
  </si>
  <si>
    <t xml:space="preserve">EPC-002</t>
  </si>
  <si>
    <t xml:space="preserve">McCarthy Building Companies</t>
  </si>
  <si>
    <t xml:space="preserve">Renewable Energy &amp; Storage group: utility-scale BESS and solar EPC</t>
  </si>
  <si>
    <t xml:space="preserve">St. Louis</t>
  </si>
  <si>
    <t xml:space="preserve">Austin; Dallas (Richardson); Houston; Channelview</t>
  </si>
  <si>
    <t xml:space="preserve">https://www.mccarthy.com</t>
  </si>
  <si>
    <t xml:space="preserve">314-968-3300</t>
  </si>
  <si>
    <t xml:space="preserve">https://www.mccarthy.com/contact-us</t>
  </si>
  <si>
    <t xml:space="preserve">#2 utility-scale storage installer in Solar Power World 2026 list (4,188 MWh installed in 2025); founded 1864</t>
  </si>
  <si>
    <t xml:space="preserve">EPC-003</t>
  </si>
  <si>
    <t xml:space="preserve">Blattner (Quanta Services)</t>
  </si>
  <si>
    <t xml:space="preserve">Utility-scale wind, solar and energy storage construction/EPC incl. HV substation and collection</t>
  </si>
  <si>
    <t xml:space="preserve">Avon</t>
  </si>
  <si>
    <t xml:space="preserve">https://www.blattnercompany.com</t>
  </si>
  <si>
    <t xml:space="preserve">320-356-7351</t>
  </si>
  <si>
    <t xml:space="preserve">https://www.blattnercompany.com/contact</t>
  </si>
  <si>
    <t xml:space="preserve">Subsidiary of Quanta Services, Inc. (NYSE: PWR); acquisition completed Oct 14, 2021</t>
  </si>
  <si>
    <t xml:space="preserve">Says it has installed 20%+ of US utility-scale wind, solar and storage capacity; parent Quanta ranked #3 storage installer in Solar Power World 2026 (2,520 MWh)</t>
  </si>
  <si>
    <t xml:space="preserve">EPC-004</t>
  </si>
  <si>
    <t xml:space="preserve">Self-perform EPC for BESS, substations and transmission; Texas BESS EPC references</t>
  </si>
  <si>
    <t xml:space="preserve">75+ offices worldwide</t>
  </si>
  <si>
    <t xml:space="preserve">EPC-005</t>
  </si>
  <si>
    <t xml:space="preserve">Primoris Services (Primoris Renewable Energy)</t>
  </si>
  <si>
    <t xml:space="preserve">Utility-scale solar and BESS EPC; T&amp;D/substation via Primoris T&amp;D and Power Line Services</t>
  </si>
  <si>
    <t xml:space="preserve">Dallas</t>
  </si>
  <si>
    <t xml:space="preserve">Dallas (corporate HQ); Fort Worth; Houston; The Woodlands; Converse; Balch Springs; Heath</t>
  </si>
  <si>
    <t xml:space="preserve">https://www.prim.com</t>
  </si>
  <si>
    <t xml:space="preserve">(214) 740-5600</t>
  </si>
  <si>
    <t xml:space="preserve">https://www.prim.com/contact</t>
  </si>
  <si>
    <t xml:space="preserve">Public (NYSE: PRIM)</t>
  </si>
  <si>
    <t xml:space="preserve">FY2025 revenue $7.6B (+19%); Energy segment $5.0B; renewables revenue &gt;$3B; backlog $11.9B; Primoris Renewable Energy HQ Aurora, CO (720-374-3900)</t>
  </si>
  <si>
    <t xml:space="preserve">EPC-006</t>
  </si>
  <si>
    <t xml:space="preserve">Rosendin</t>
  </si>
  <si>
    <t xml:space="preserve">Electrical contractor/EPC for utility-scale wind, solar, BESS and HV substation</t>
  </si>
  <si>
    <t xml:space="preserve">San Jose</t>
  </si>
  <si>
    <t xml:space="preserve">Austin; Coppell; Pflugerville; San Antonio</t>
  </si>
  <si>
    <t xml:space="preserve">https://www.rosendin.com</t>
  </si>
  <si>
    <t xml:space="preserve">(408) 286-2800</t>
  </si>
  <si>
    <t xml:space="preserve">https://www.rosendin.com/contact/</t>
  </si>
  <si>
    <t xml:space="preserve">Private; 100% employee-owned (ESOP)</t>
  </si>
  <si>
    <t xml:space="preserve">Founded 1919; 12,000+ employees; ~US$5.6B annual revenue (company history page)</t>
  </si>
  <si>
    <t xml:space="preserve">EPC-007</t>
  </si>
  <si>
    <t xml:space="preserve">SOLV Energy</t>
  </si>
  <si>
    <t xml:space="preserve">Utility-scale solar and BESS EPC, substation/HV, and O&amp;M</t>
  </si>
  <si>
    <t xml:space="preserve">San Diego</t>
  </si>
  <si>
    <t xml:space="preserve">https://solvenergy.com</t>
  </si>
  <si>
    <t xml:space="preserve">858.251.4888</t>
  </si>
  <si>
    <t xml:space="preserve">https://solvenergy.com/contact/</t>
  </si>
  <si>
    <t xml:space="preserve">Public (Nasdaq: MWH) since Feb 2026 IPO; sponsor American Securities</t>
  </si>
  <si>
    <t xml:space="preserve">IPO priced Feb 11, 2026 at $25 (~$513M raised); #4 utility-scale storage installer in Solar Power World 2026 (1,648 MWh)</t>
  </si>
  <si>
    <t xml:space="preserve">EPC-008</t>
  </si>
  <si>
    <t xml:space="preserve">MasTec Renewables (incl. former IEA, Wanzek, White Construction)</t>
  </si>
  <si>
    <t xml:space="preserve">Utility-scale solar, wind and battery storage EPC; parent also provides transmission and substation (Power Delivery segment)</t>
  </si>
  <si>
    <t xml:space="preserve">Coral Gables</t>
  </si>
  <si>
    <t xml:space="preserve">https://www.mastec.com</t>
  </si>
  <si>
    <t xml:space="preserve">Subsidiary/unit of MasTec, Inc. (NYSE: MTZ); MasTec acquired IEA Oct 7, 2022; IEA, Wanzek and White rebranded as MasTec Renewables</t>
  </si>
  <si>
    <t xml:space="preserve">MasTec FY2025 revenue ~$14.2B; Clean Energy &amp; Infrastructure segment ~$4.7B; ~36,000 employees; iea.net now redirects to mastec.com</t>
  </si>
  <si>
    <t xml:space="preserve">Operates in both union and open-shop markets</t>
  </si>
  <si>
    <t xml:space="preserve">Software (QSE, EMS, APM, market data) — Vendor Landscape</t>
  </si>
  <si>
    <t xml:space="preserve">Sub-scope / Product</t>
  </si>
  <si>
    <t xml:space="preserve">Hosting / Development Origin</t>
  </si>
  <si>
    <t xml:space="preserve">SW-001</t>
  </si>
  <si>
    <t xml:space="preserve">Tesla, Inc. (Tesla Energy)</t>
  </si>
  <si>
    <t xml:space="preserve">(a)/(b) Trading &amp; BESS optimization - Autobidder (real-time trading and dispatch control platform)</t>
  </si>
  <si>
    <t xml:space="preserve">HQ: 1 Tesla Road, Austin, TX 78725 (Gigafactory Texas)</t>
  </si>
  <si>
    <t xml:space="preserve">https://www.tesla.com/support/energy/tesla-software/autobidder</t>
  </si>
  <si>
    <t xml:space="preserve">https://www.tesla.com/contact</t>
  </si>
  <si>
    <t xml:space="preserve">Autobidder described by Tesla as a real-time trading and control platform for market bidding and dispatch; Tesla page cites Hornsdale Power Reserve (S. Australia); official Autobidder page does not explicitly mention ERCOT. Support email on official page: autobiddersupport@tesla.com. (Tesla energy toll-free 877-798-3752 is residential Powerwall/Solar support, not listed as general line.)</t>
  </si>
  <si>
    <t xml:space="preserve">Official page: runs on Tesla's cloud infrastructure and interfaces with market operators via secure web APIs. No SOC 2/NERC CIP statement found.</t>
  </si>
  <si>
    <t xml:space="preserve">SW-002</t>
  </si>
  <si>
    <t xml:space="preserve">Fluence Energy (Fluence Mosaic / Nispera)</t>
  </si>
  <si>
    <t xml:space="preserve">(a)/(b) Fluence Mosaic intelligent bidding software (launched in ERCOT Feb 2023); (c) Fluence Nispera APM</t>
  </si>
  <si>
    <t xml:space="preserve">Houston (listed among Fluence office locations on contact page; street address not confirmed)</t>
  </si>
  <si>
    <t xml:space="preserve">https://fluenceenergy.com/contact/</t>
  </si>
  <si>
    <t xml:space="preserve">Public (NASDAQ: FLNC)</t>
  </si>
  <si>
    <t xml:space="preserve">Mosaic launched in ERCOT Feb 22, 2023 with 350+ MW of storage scheduled that year; acquired Nispera (Zurich; ~8 GW / 450 wind &amp; solar projects under APM) announced Apr 11, 2022.</t>
  </si>
  <si>
    <t xml:space="preserve">Nispera originally developed in Zurich, Switzerland. No SOC 2/NERC CIP statement found on pages reviewed.</t>
  </si>
  <si>
    <t xml:space="preserve">SW-003</t>
  </si>
  <si>
    <t xml:space="preserve">Ascend Analytics</t>
  </si>
  <si>
    <t xml:space="preserve">(a)/(d) SmartBidder (nodal price forecasting &amp; bid optimization); Market Intelligence, PowerSIMM, PowerVAL</t>
  </si>
  <si>
    <t xml:space="preserve">Boulder</t>
  </si>
  <si>
    <t xml:space="preserve">https://www.ascendanalytics.com</t>
  </si>
  <si>
    <t xml:space="preserve">1-303-415-1400</t>
  </si>
  <si>
    <t xml:space="preserve">https://www.ascendanalytics.com/about-us/lets-connect</t>
  </si>
  <si>
    <t xml:space="preserve">Private, PE-backed (Rubicon Technology Partners lead; Galvanize Climate Solutions; Silversmith Capital Partners)</t>
  </si>
  <si>
    <t xml:space="preserve">Strategic growth investment led by Rubicon Technology Partners with Galvanize and Silversmith announced Mar 21, 2024 (amount undisclosed); co-founded 2002.</t>
  </si>
  <si>
    <t xml:space="preserve">SW-004</t>
  </si>
  <si>
    <t xml:space="preserve">PCI Energy Solutions (Power Costs, Inc.)</t>
  </si>
  <si>
    <t xml:space="preserve">(a) ERCOT QSE / bid-to-bill - GenManager (forecast, ISO scheduling, settlements) and GenTrader (portfolio/storage optimization)</t>
  </si>
  <si>
    <t xml:space="preserve">Norman</t>
  </si>
  <si>
    <t xml:space="preserve">OK</t>
  </si>
  <si>
    <t xml:space="preserve">https://www.pcienergysolutions.com</t>
  </si>
  <si>
    <t xml:space="preserve">+1 405.447.6933</t>
  </si>
  <si>
    <t xml:space="preserve">https://www.pcienergysolutions.com/contact-us/</t>
  </si>
  <si>
    <t xml:space="preserve">Private (held by individual U.S. shareholders); definitive agreement to be acquired by Mitsubishi Electric (TSE: 6503)</t>
  </si>
  <si>
    <t xml:space="preserve">Mitsubishi Electric agreed Aug 20, 2026 to acquire 100% of PCI for ~US$1.4B, expected to close within 2026 subject to regulatory approvals; PCI says 50%+ of North American power optimized on its platform.</t>
  </si>
  <si>
    <t xml:space="preserve">Website cites a cloud-native platform; no explicit SOC 2/NERC CIP statement found. Offices also in Mexico City and Lima.</t>
  </si>
  <si>
    <t xml:space="preserve">SW-005</t>
  </si>
  <si>
    <t xml:space="preserve">Yes Energy</t>
  </si>
  <si>
    <t xml:space="preserve">(d) Market data &amp; analytics (PowerSignals, QuickSignals, Live Power, Demand Forecasts, EnCompass); (a) bid-to-bill (PowerCore, Submission Services)</t>
  </si>
  <si>
    <t xml:space="preserve">https://www.yesenergy.com</t>
  </si>
  <si>
    <t xml:space="preserve">+1 303-993-2773</t>
  </si>
  <si>
    <t xml:space="preserve">https://www.yesenergy.com/locations</t>
  </si>
  <si>
    <t xml:space="preserve">Private, PE-backed (Accel-KKR portfolio company since 2022)</t>
  </si>
  <si>
    <t xml:space="preserve">Accel-KKR invested 2022; acquisitions incl. Power Settlements (bid-to-bill) and TESLA Inc. forecasting (2024), The C Three Group and Live Power; processes ~1.2B daily updates from 1,400+ sources.</t>
  </si>
  <si>
    <t xml:space="preserve">SW-006</t>
  </si>
  <si>
    <t xml:space="preserve">Enverus</t>
  </si>
  <si>
    <t xml:space="preserve">(d) Market data &amp; analytics / forecasting - Enverus Power &amp; Renewables (Mosaic, Panorama, MarketView, Trading &amp; Risk)</t>
  </si>
  <si>
    <t xml:space="preserve">HQ: 2901 Via Fortuna #100, Austin, TX 78746</t>
  </si>
  <si>
    <t xml:space="preserve">https://www.enverus.com</t>
  </si>
  <si>
    <t xml:space="preserve">1-800-282-4245</t>
  </si>
  <si>
    <t xml:space="preserve">https://www.enverus.com/contact-us/</t>
  </si>
  <si>
    <t xml:space="preserve">Private, PE-backed (Blackstone agreed to acquire from Hellman &amp; Friedman and Genstar Capital; announced Aug 5, 2025, expected close by end of 2025 - closing not confirmed in sources reviewed)</t>
  </si>
  <si>
    <t xml:space="preserve">Blackstone acquisition announced Aug 5, 2025 (value not disclosed in release; press reports ~$6.5B); ~8,000 customers in 50 countries.</t>
  </si>
  <si>
    <t xml:space="preserve">SW-007</t>
  </si>
  <si>
    <t xml:space="preserve">Power Factors</t>
  </si>
  <si>
    <t xml:space="preserve">(c) Asset performance management / SCADA / EMS - Unity platform (Drive APM, local monitoring &amp; controls)</t>
  </si>
  <si>
    <t xml:space="preserve">San Francisco</t>
  </si>
  <si>
    <t xml:space="preserve">https://www.powerfactors.com</t>
  </si>
  <si>
    <t xml:space="preserve">1-866-398-3010</t>
  </si>
  <si>
    <t xml:space="preserve">https://www.powerfactors.com/contact</t>
  </si>
  <si>
    <t xml:space="preserve">Private, PE-backed (Vista Equity Partners majority since 2021; Mubadala strategic minority investor 2026)</t>
  </si>
  <si>
    <t xml:space="preserve">310+ GW under management, 600+ enterprise customers in 70+ countries (per About page); Mubadala joined as minority investor in 2026.</t>
  </si>
  <si>
    <t xml:space="preserve">About page states founded in San Francisco (2013) with operations in North America and Europe; HQ city based on founding location - current HQ address not published on pages reviewed. No SOC 2/NERC CIP statement found.</t>
  </si>
  <si>
    <t xml:space="preserve">SW-008</t>
  </si>
  <si>
    <t xml:space="preserve">Habitat Energy</t>
  </si>
  <si>
    <t xml:space="preserve">(a)/(b) BESS optimization &amp; trading service incl. Level 4 QSE services in ERCOT (EVOLVE)</t>
  </si>
  <si>
    <t xml:space="preserve">Oxford</t>
  </si>
  <si>
    <t xml:space="preserve">England</t>
  </si>
  <si>
    <t xml:space="preserve">300 W. 6th St, Suite 1960, Austin, TX 78701</t>
  </si>
  <si>
    <t xml:space="preserve">https://www.habitat.energy</t>
  </si>
  <si>
    <t xml:space="preserve">https://www.habitat.energy/contact</t>
  </si>
  <si>
    <t xml:space="preserve">Private; portfolio company of Quinbrook Infrastructure Partners</t>
  </si>
  <si>
    <t xml:space="preserve">May 2024: contracted to optimize UBS Asset Management's 730 MW ERCOT BESS portfolio, taking ERCOT contracted capacity to ~1 GW and global portfolio to 2+ GW; 90+ employees.</t>
  </si>
  <si>
    <t xml:space="preserve">SW-009</t>
  </si>
  <si>
    <t xml:space="preserve">Tyba</t>
  </si>
  <si>
    <t xml:space="preserve">(b)/(d) BESS simulation, automated dispatch/bidding and AI price forecasting platform</t>
  </si>
  <si>
    <t xml:space="preserve">https://www.tyba.ai</t>
  </si>
  <si>
    <t xml:space="preserve">https://www.tyba.ai/contact/</t>
  </si>
  <si>
    <t xml:space="preserve">Private, VC-backed (Series A led by Energize Capital)</t>
  </si>
  <si>
    <t xml:space="preserve">Raised $13.9M Series A led by Energize Capital (Feb 7, 2025); operates 1+ GWh of storage across Texas and California.</t>
  </si>
  <si>
    <t xml:space="preserve">SW-010</t>
  </si>
  <si>
    <t xml:space="preserve">Modo Energy</t>
  </si>
  <si>
    <t xml:space="preserve">(d) Market data, BESS revenue benchmarks &amp; forecasts (ERCOT coverage)</t>
  </si>
  <si>
    <t xml:space="preserve">https://modoenergy.com</t>
  </si>
  <si>
    <t xml:space="preserve">Private, VC-backed (Molten Ventures, ETF Partners, MMC Ventures, Fred. Olsen)</t>
  </si>
  <si>
    <t xml:space="preserve">Raised ~$33M (GBP 25M) Series B led by Molten Ventures (reported Dec 2025), following $15M Series A led by MMC (Nov 2023).</t>
  </si>
  <si>
    <t xml:space="preserve">Website lists teams in New York (Americas), London and Madrid, and Sydney; HQ as UK per ESS News. Benchmarks described as FCA-regulated.</t>
  </si>
  <si>
    <t xml:space="preserve">SW-011</t>
  </si>
  <si>
    <t xml:space="preserve">Stem, Inc.</t>
  </si>
  <si>
    <t xml:space="preserve">(b)/(c) PowerTrack Suite - PowerTrack EMS, PowerTrack Optimizer (formerly Athena), PowerTrack APM/monitoring (AlsoEnergy)</t>
  </si>
  <si>
    <t xml:space="preserve">HQ: 1400 Post Oak Blvd, Suite 560, Houston, TX 77056</t>
  </si>
  <si>
    <t xml:space="preserve">https://www.stem.com</t>
  </si>
  <si>
    <t xml:space="preserve">877-374-7836</t>
  </si>
  <si>
    <t xml:space="preserve">https://www.stem.com/contact/</t>
  </si>
  <si>
    <t xml:space="preserve">Public (NYSE: STEM)</t>
  </si>
  <si>
    <t xml:space="preserve">Sept 2025 strategic realignment: unified brand with AlsoEnergy, launched PowerTrack EMS and rebranded Athena as PowerTrack Optimizer; 600+ employees.</t>
  </si>
  <si>
    <t xml:space="preserve">Offices also in Broomfield &amp; Longmont CO, Berlin, Gurgaon, Tokyo.</t>
  </si>
  <si>
    <t xml:space="preserve">SW-012</t>
  </si>
  <si>
    <t xml:space="preserve">Tenaska Power Services Co. (TPS)</t>
  </si>
  <si>
    <t xml:space="preserve">(a) QSE service provider - power marketing, 24/7 energy management, storage/renewable portfolio optimization, settlements</t>
  </si>
  <si>
    <t xml:space="preserve">Irving</t>
  </si>
  <si>
    <t xml:space="preserve">TPS HQ: The Point at Las Colinas, 300 E. John Carpenter Freeway, Suite 1100, Irving, TX 75062</t>
  </si>
  <si>
    <t xml:space="preserve">https://www.tenaska.com/our-business/power-marketing/</t>
  </si>
  <si>
    <t xml:space="preserve">817-462-1521</t>
  </si>
  <si>
    <t xml:space="preserve">https://www.tenaska.com/contact-us/</t>
  </si>
  <si>
    <t xml:space="preserve">Subsidiary of Tenaska (privately held; HQ Omaha, NE)</t>
  </si>
  <si>
    <t xml:space="preserve">18,500+ MW wholesale/retail load management, 650+ enabling agreements, 29 years of energy management services; serves energy storage customers.</t>
  </si>
  <si>
    <t xml:space="preserve">Official page does not use the term 'QSE' explicitly; QSE role not confirmed from an official source (only historical ERCOT/SEC references seen in search results) - verify current ERCOT QSE registration.</t>
  </si>
  <si>
    <t xml:space="preserve">Strong</t>
  </si>
  <si>
    <t xml:space="preserve">Low</t>
  </si>
  <si>
    <t xml:space="preserve">RFI Sent</t>
  </si>
  <si>
    <t xml:space="preserve">Adequate</t>
  </si>
  <si>
    <t xml:space="preserve">Medium</t>
  </si>
  <si>
    <t xml:space="preserve">RFI Received</t>
  </si>
  <si>
    <t xml:space="preserve">Weak</t>
  </si>
  <si>
    <t xml:space="preserve">High</t>
  </si>
  <si>
    <t xml:space="preserve">RFP Sent</t>
  </si>
  <si>
    <t xml:space="preserve">RFP Received</t>
  </si>
  <si>
    <t xml:space="preserve">RFQ Sent</t>
  </si>
  <si>
    <t xml:space="preserve">RFQ Received</t>
  </si>
  <si>
    <t xml:space="preserve">Awarded</t>
  </si>
  <si>
    <t xml:space="preserve">Tab</t>
  </si>
  <si>
    <t xml:space="preserve">Source URL (accessed 2026-10-05)</t>
  </si>
  <si>
    <t xml:space="preserve">https://en.wikipedia.org/wiki/ERM_(consultancy)</t>
  </si>
  <si>
    <t xml:space="preserve">https://www.erm.com/locations/</t>
  </si>
  <si>
    <t xml:space="preserve">https://en.wikipedia.org/wiki/Tetra_Tech</t>
  </si>
  <si>
    <t xml:space="preserve">https://tetratech.com/en/united-states</t>
  </si>
  <si>
    <t xml:space="preserve">https://en.wikipedia.org/wiki/Stantec</t>
  </si>
  <si>
    <t xml:space="preserve">https://www.stantec.com/en/offices/united-states-locations/texas-offices</t>
  </si>
  <si>
    <t xml:space="preserve">https://www.stantec.com/en/offices/united-states-locations/texas-offices/houston-tx</t>
  </si>
  <si>
    <t xml:space="preserve">https://www.stantec.com/en/offices/united-states-locations/texas-offices/san-antonio-texas-office</t>
  </si>
  <si>
    <t xml:space="preserve">https://en.wikipedia.org/wiki/WSP_Global</t>
  </si>
  <si>
    <t xml:space="preserve">https://www.wsp.com/en-us/contact-us/offices/united-states/texas</t>
  </si>
  <si>
    <t xml:space="preserve">https://www.wsp.com/en-us/contact-us/offices</t>
  </si>
  <si>
    <t xml:space="preserve">https://www.globenewswire.com/news-release/2026/02/24/3243828/0/en/WSP-completes-acquisition-of-TRC.html</t>
  </si>
  <si>
    <t xml:space="preserve">https://www.terracon.com/about/</t>
  </si>
  <si>
    <t xml:space="preserve">https://www.terracon.com/offices/austin/</t>
  </si>
  <si>
    <t xml:space="preserve">https://www.terracon.com/offices/houston/</t>
  </si>
  <si>
    <t xml:space="preserve">https://www.terracon.com/offices/san-antonio/</t>
  </si>
  <si>
    <t xml:space="preserve">https://www.terracon.com/offices/frisco/</t>
  </si>
  <si>
    <t xml:space="preserve">https://www.swca.com/contact</t>
  </si>
  <si>
    <t xml:space="preserve">https://www.swca.com/about</t>
  </si>
  <si>
    <t xml:space="preserve">https://www.swca.com/offices/phoenix-az/</t>
  </si>
  <si>
    <t xml:space="preserve">https://westwoodps.com/about-us/offices</t>
  </si>
  <si>
    <t xml:space="preserve">https://www.westwoodps.com/</t>
  </si>
  <si>
    <t xml:space="preserve">https://dallasinnovates.com/new-york-based-blackstone-makes-majority-investment-in-north-texas-westwood-professional-services</t>
  </si>
  <si>
    <t xml:space="preserve">https://en.wikipedia.org/wiki/HDR,_Inc.</t>
  </si>
  <si>
    <t xml:space="preserve">https://www.hdrinc.com/locations/US/Texas/Austin</t>
  </si>
  <si>
    <t xml:space="preserve">https://www.hdrinc.com/locations/US/Texas/Houston</t>
  </si>
  <si>
    <t xml:space="preserve">https://en.wikipedia.org/wiki/Kimley-Horn</t>
  </si>
  <si>
    <t xml:space="preserve">https://www.kimley-horn.com/locations/?_state=texas</t>
  </si>
  <si>
    <t xml:space="preserve">https://dallasinnovates.com/infrastructure-consulting-firm-halff-to-relocate-its-richardson-hq-to-bigger-digs-in-the-city/</t>
  </si>
  <si>
    <t xml:space="preserve">https://www.pape-dawson.com/locations/</t>
  </si>
  <si>
    <t xml:space="preserve">https://www.pape-dawson.com/services/power-energy/</t>
  </si>
  <si>
    <t xml:space="preserve">https://www.privsource.com/acquisitions/deal/3AS2jb</t>
  </si>
  <si>
    <t xml:space="preserve">https://investors.bowman.com/</t>
  </si>
  <si>
    <t xml:space="preserve">https://investors.bowman.com/news-releases/news-release-details/bowman-consulting-group-enters-definitive-agreement-be-acquired</t>
  </si>
  <si>
    <t xml:space="preserve">https://bowman.com/texas/</t>
  </si>
  <si>
    <t xml:space="preserve">https://www.terracon.com/locations/</t>
  </si>
  <si>
    <t xml:space="preserve">https://en.wikipedia.org/wiki/Burns_%26_McDonnell</t>
  </si>
  <si>
    <t xml:space="preserve">https://www.burnsmcd.com/about/locations</t>
  </si>
  <si>
    <t xml:space="preserve">https://www.burnsmcd.com/locations/houston</t>
  </si>
  <si>
    <t xml:space="preserve">https://www.walterpmoore.com/about</t>
  </si>
  <si>
    <t xml:space="preserve">https://www.walterpmoore.com/offices</t>
  </si>
  <si>
    <t xml:space="preserve">https://www.walterpmoore.com/about/history</t>
  </si>
  <si>
    <t xml:space="preserve">https://www.sargentlundy.com/about/</t>
  </si>
  <si>
    <t xml:space="preserve">https://www.sargentlundy.com/projects/battery-energy-storage-project/</t>
  </si>
  <si>
    <t xml:space="preserve">https://en.wikipedia.org/wiki/Black_%26_Veatch</t>
  </si>
  <si>
    <t xml:space="preserve">https://www.bv.com/en-US/news/black-and-veatch-expands-team-in-houston-to-support-growth-in-the-human-critical-infrastructure-markets</t>
  </si>
  <si>
    <t xml:space="preserve">https://www.wsp.com/en-us/news/2024/wsp-completes-acquisition-of-power-engineers</t>
  </si>
  <si>
    <t xml:space="preserve">https://www.bennettjones.com/News/Client-Work/2024/10/WSP-Completes-Acquisition-of-Power-Engineers-for-US1-78-Billion</t>
  </si>
  <si>
    <t xml:space="preserve">http://www.powereng.com/press-releases/power-engineers-moving-its-houston-office-to-larger-space/</t>
  </si>
  <si>
    <t xml:space="preserve">https://www.powereng.com/library/power-opens-new-tyler-location/</t>
  </si>
  <si>
    <t xml:space="preserve">https://www.flpublicpower.com/associate-membership/electrical-consultants-inc</t>
  </si>
  <si>
    <t xml:space="preserve">https://www.utilitydive.com/press-release/20191011-electrical-consultants-inc-relay-application-innovation-inc-are-joini</t>
  </si>
  <si>
    <t xml:space="preserve">https://www.burnsmcd.com/news/cps-energy-turnkey-grid-modernization</t>
  </si>
  <si>
    <t xml:space="preserve">https://www.sargentlundy.com/services/grid/</t>
  </si>
  <si>
    <t xml:space="preserve">https://www.epeconsulting.com/</t>
  </si>
  <si>
    <t xml:space="preserve">https://www.businesswire.com/news/home/20250107310148/en</t>
  </si>
  <si>
    <t xml:space="preserve">https://www.leidos.com/markets/energy/texas</t>
  </si>
  <si>
    <t xml:space="preserve">https://en.wikipedia.org/wiki/Leidos</t>
  </si>
  <si>
    <t xml:space="preserve">https://careers.leidos.com/jobs/16634885-substation-engineering-supervisor</t>
  </si>
  <si>
    <t xml:space="preserve">https://www.jensenhughes.com/services/lithium-ion-risk-consulting</t>
  </si>
  <si>
    <t xml:space="preserve">https://www.newmountaincapital.com/new-mountain-capital-to-acquire-jensen-hughes-taps-dr-hisham-mahmoud-to-serve-as-chairman-of-the-board/</t>
  </si>
  <si>
    <t xml:space="preserve">https://energyresponsegroup.com/</t>
  </si>
  <si>
    <t xml:space="preserve">https://hillerfire.com/resources/esrg-capabilities</t>
  </si>
  <si>
    <t xml:space="preserve">https://members.renewablesassociation.ca/activememberdirectory/Details/esrg-energy-safety-response-group-3878060</t>
  </si>
  <si>
    <t xml:space="preserve">https://fireriskalliance.com/battery-energy-storage-systems/</t>
  </si>
  <si>
    <t xml:space="preserve">https://www.telgian.com/companies-services/telgian-engineering-consulting/locations/</t>
  </si>
  <si>
    <t xml:space="preserve">https://www.telgian.com/energy-storage-systems-fire-hazard-considerations-webinar/</t>
  </si>
  <si>
    <t xml:space="preserve">https://en.wikipedia.org/wiki/DNV</t>
  </si>
  <si>
    <t xml:space="preserve">https://jobs.dnv.com/locations/usa</t>
  </si>
  <si>
    <t xml:space="preserve">https://www.dnv.com/services/energy-storage-development-and-engineering-154224/</t>
  </si>
  <si>
    <t xml:space="preserve">https://www.dnv.com/Publications/quantitative-risk-analysis-for-battery-energy-storage-sites-154811/</t>
  </si>
  <si>
    <t xml:space="preserve">https://www.ul.com/services/ess-safety-assessment-and-nfpa-compliance</t>
  </si>
  <si>
    <t xml:space="preserve">https://www.ul.com/about/locations</t>
  </si>
  <si>
    <t xml:space="preserve">https://www.lw.com/en/news/2024/04/latham-watkins-represents-ul-solutions-inc-in-upsized-us1-08-billion-ipo</t>
  </si>
  <si>
    <t xml:space="preserve">https://www.exponent.com/offices/menlo-park</t>
  </si>
  <si>
    <t xml:space="preserve">https://www.exponent.com/capabilities/battery-energy-storage-systems-bess-consulting</t>
  </si>
  <si>
    <t xml:space="preserve">https://www.exponent.com/offices/houston</t>
  </si>
  <si>
    <t xml:space="preserve">https://en.wikipedia.org/wiki/Exponent_(consulting_firm)</t>
  </si>
  <si>
    <t xml:space="preserve">https://www.dnv.com/services/owner-s-engineering-for-energy-storage-63162</t>
  </si>
  <si>
    <t xml:space="preserve">https://www.dnv.com/news/2026/dnvcompletes-strategy-period-with-solid-growth/</t>
  </si>
  <si>
    <t xml:space="preserve">https://jobs.dnv.com/job-search/energy-systems/engineer/houston-tx-united-states-austin-tx-united-states-dallas-tx-united-states-medford-ma-united-states-oakland-ca-united-states-san-diego-ca-united-states-new-york-ny-united-states-portland-or-united-states-seattle-wa-united-states/senior-project-manager-owners-engineering/300000914813084</t>
  </si>
  <si>
    <t xml:space="preserve">https://enertisapplus.com/</t>
  </si>
  <si>
    <t xml:space="preserve">https://www.tdrcapital.com/tdr-capital-v-acquires-applus/</t>
  </si>
  <si>
    <t xml:space="preserve">https://new.bv.com/news/black-and-veatch-appointed-as-owners-engineer-for-eccles-battery-storage-project-in-scotland</t>
  </si>
  <si>
    <t xml:space="preserve">https://www.bv.com/news/black-and-veatch-expands-team-in-houston-to-support-growth-in-the-human-critical-infrastructure-markets</t>
  </si>
  <si>
    <t xml:space="preserve">https://www.bv.com/news/black-and-veatch-expands-construction-presence-in-texas-with-new-office</t>
  </si>
  <si>
    <t xml:space="preserve">https://careers.bv.com/job/Dallas-Consulting-Manager,-Asset-Management-TX-75201/1370757733</t>
  </si>
  <si>
    <t xml:space="preserve">https://www.sargentlundy.com/about-us</t>
  </si>
  <si>
    <t xml:space="preserve">https://international-sargentlundy.icims.com/jobs/12396/senior-electrical-consultant----renewable-energy/job</t>
  </si>
  <si>
    <t xml:space="preserve">https://www.cea3.com/</t>
  </si>
  <si>
    <t xml:space="preserve">https://pv-tech.org/clean-energy-associates-acquired-by-british-quality-assurance-firm-intertek</t>
  </si>
  <si>
    <t xml:space="preserve">https://taiyangnews.info/business/britains-intertek-acquires-clean-energy-associates</t>
  </si>
  <si>
    <t xml:space="preserve">https://www.kimley-horn.com/services/energy-consulting/battery-energy-storage-systems-consulting/</t>
  </si>
  <si>
    <t xml:space="preserve">https://www.careerbuilder.com/job-details/practice-builder-electrical-renewable-energy-austin-tx--d6dd89db-7e48-4d3a-8285-046a97192aa7</t>
  </si>
  <si>
    <t xml:space="preserve">https://www.naturalpower.com/us/sector/energy-storage</t>
  </si>
  <si>
    <t xml:space="preserve">https://www.naturalpower.com/us/news-post/25-years-of-natural-power</t>
  </si>
  <si>
    <t xml:space="preserve">https://www.burnsmcd.com/locations/kansas-city-mo?hsLang=en</t>
  </si>
  <si>
    <t xml:space="preserve">https://www.burnsmcd.com/news/epc-contract-for-west-texas-storage-projects</t>
  </si>
  <si>
    <t xml:space="preserve">https://energy-storage.news/burns-mcdonnell-providing-epc-services-for-rwes-texas-waves-ii-bess</t>
  </si>
  <si>
    <t xml:space="preserve">https://www.wsp.com/en-gl/investors/press-releases/details/WSP-Completes-Acquisition--of-POWER-Engineers/2956467/2024</t>
  </si>
  <si>
    <t xml:space="preserve">https://boisedev.com/news/2024/08/13/hailey-energy-consulting-firm-acquisition-planned-for-17-billion/</t>
  </si>
  <si>
    <t xml:space="preserve">https://www.theladders.com/job/substation-senior-project-engineer-wsp-fort-worth-tx_88141000</t>
  </si>
  <si>
    <t xml:space="preserve">https://www.businesswire.com/news/home/20240807897752/en/Blackstone-Energy-Transition-Partners-Announces-Majority-Investment-in-Westwood-Professional-Services-Inc.-Leading-Engineering-Consulting-Firm</t>
  </si>
  <si>
    <t xml:space="preserve">https://dallasinnovates.com/plano-based-westwood-acquires-californias-odell-engineering/</t>
  </si>
  <si>
    <t xml:space="preserve">https://www.bv.com/news/black-and-veatch-to-build-200mwh-of-battery-energy-storage-solution-bess-in-the-uk</t>
  </si>
  <si>
    <t xml:space="preserve">https://bowman.com/services/battery-energy-storage-systems</t>
  </si>
  <si>
    <t xml:space="preserve">https://www.sec.gov/Archives/edgar/data/1847590/000162828026015252/bwmn-20251231.htm</t>
  </si>
  <si>
    <t xml:space="preserve">https://www.nasdaq.com/press-release/bowman-acquires-rpt-alliance-broadens-energy-engineering-include-utility-scale-power</t>
  </si>
  <si>
    <t xml:space="preserve">https://www.dnv.com/services/independent-engineering-and-technical-due-diligence-63108/</t>
  </si>
  <si>
    <t xml:space="preserve">https://jobs.dnv.com/job-search/energy-systems/engineer/new-york-ny-united-states-austin-tx-united-states-houston-tx-united-states-chalfont-pa-united-states-medford-ma-united-states-seattle-wa-united-states-portland-me-united-states-portland-or-united-states-oakland-ca-united-states-san-diego-ca-united-states/project-manager-energy-storage-independent-engineering-multiple-locations/300001018677780</t>
  </si>
  <si>
    <t xml:space="preserve">https://informedinfrastructure.com/index.php/post/enertis-applus-delivers-independent-engineering-expertise-to-texas-bess-projects-for-excelsior-energy-capital</t>
  </si>
  <si>
    <t xml:space="preserve">https://www.infocastinc.com/2026-solar-wind-finance-investment-sponsors/leidos</t>
  </si>
  <si>
    <t xml:space="preserve">https://www.sec.gov/Archives/edgar/data/1336920/000133692025000006/ldos-20250103.htm</t>
  </si>
  <si>
    <t xml:space="preserve">https://sargentlundy.com/?p=12226</t>
  </si>
  <si>
    <t xml:space="preserve">https://www.naturalpower.com/us/news/news-post/natural-power-appoints-head-of-independent-engineering-in-north-america</t>
  </si>
  <si>
    <t xml:space="preserve">https://www.builtinchicago.org/job/senior-project-engineer-energy-storage-advisory/9342322</t>
  </si>
  <si>
    <t xml:space="preserve">https://www.sec.gov/Archives/edgar/data/1901440/000190144026000005/uls-20251231.htm</t>
  </si>
  <si>
    <t xml:space="preserve">https://news.metal.com/newscontent/104046720-tesla-starts-megapack-3-production-in-texas</t>
  </si>
  <si>
    <t xml:space="preserve">https://www.basenor.com/blogs/news/teslas-texas-megapack-factory-megapack-3-production-starts-2026</t>
  </si>
  <si>
    <t xml:space="preserve">https://www.nasdaq.com/press-release/fluence-energy-inc-reports-2025-financial-results-and-initiates-2026-guidance-2025-11</t>
  </si>
  <si>
    <t xml:space="preserve">https://finviz.com/news/67918/us-senator-john-curtis-visits-utah-manufacturing-facility-producing-fluence-battery-modules-highlights-energy-jobs-and-domestic-battery-supply-chain</t>
  </si>
  <si>
    <t xml:space="preserve">https://www.powermag.com/sungrow-introduces-new-solar-energy-storage-products-for-north-american-market/</t>
  </si>
  <si>
    <t xml:space="preserve">https://lgcorp.com/media/release/28489</t>
  </si>
  <si>
    <t xml:space="preserve">https://energy-storage.news/lg-energy-solution-begins-lfp-and-nmc-bess-and-ev-cell-production-at-michigan-factory</t>
  </si>
  <si>
    <t xml:space="preserve">https://www.solarpowerworldonline.com/2025/06/lg-energy-solutions-opens-lfp-battery-cell-manufacturing-plant-in-michigan/</t>
  </si>
  <si>
    <t xml:space="preserve">https://www.solarpowerworldonline.com/2025/12/samsung-sdi-to-begin-lfp-battery-manufacturing-in-indiana/</t>
  </si>
  <si>
    <t xml:space="preserve">https://battery-news.de/en/2025/12/11/samsung-sdi-receives-billion-dollar-order-for-lfp-batteries-in-usa/</t>
  </si>
  <si>
    <t xml:space="preserve">https://energy-storage.news/wartsila-closes-strategic-review-of-energy-storage-segment-remains-committed-to-sector</t>
  </si>
  <si>
    <t xml:space="preserve">https://www.wartsila.com/media/news/04-09-2024-wartsila-introduces-quantum3-a-complete-high-density-ac-block-energy-storage-system-with-industry-leading-features-and-controls-3489850</t>
  </si>
  <si>
    <t xml:space="preserve">https://www.flexgen.com/resources/blog/flexgen-completes-acquisition-powin-assets-expanding-global-leadership-grid-scale</t>
  </si>
  <si>
    <t xml:space="preserve">https://www.businesswire.com/news/home/20250806799131/en/FlexGen-Expands-Global-Battery-Energy-Storage-Leadership-with-Court-Approval-of-Powin-Assets-Acquisition</t>
  </si>
  <si>
    <t xml:space="preserve">https://dallasinnovates.com/hithium-opens-200m-battery-energy-storage-manufacturing-facility-in-north-texas/</t>
  </si>
  <si>
    <t xml:space="preserve">https://hithium.com/newsroom/latest/details/68.html</t>
  </si>
  <si>
    <t xml:space="preserve">https://www.ess-news.com/2025/12/01/canadian-solar-consolidates-us-manufacturing-under-parent-including-solar-and-storage/</t>
  </si>
  <si>
    <t xml:space="preserve">https://www.industrialinfo.com/iirenergy/industry-news/article/canadian-solar-sees-bess-as-bright-side-of-tough-quarter--361881</t>
  </si>
  <si>
    <t xml:space="preserve">https://uk.finance.yahoo.com/quote/CSIQ/profile</t>
  </si>
  <si>
    <t xml:space="preserve">https://www.businesswire.com/news/home/20260720085364/en/</t>
  </si>
  <si>
    <t xml:space="preserve">https://www.ess-news.com/2026/07/20/nextpower-completes-365-million-prevalon-energy-acquisition/</t>
  </si>
  <si>
    <t xml:space="preserve">https://prevalonenergy.com/</t>
  </si>
  <si>
    <t xml:space="preserve">https://www.publicpower.org/periodical/article/hitachi-energy-new-distribution-transformer-factory-serve-north-american-market</t>
  </si>
  <si>
    <t xml:space="preserve">https://www.datacenterdynamics.com/en/news/hitachi-energy-to-invest-1bn-into-us-grid-infrastructure-manufacturing-to-address-data-center-power-demand/</t>
  </si>
  <si>
    <t xml:space="preserve">https://hitachienergy.com/us/en/about-us/company-profile/pg-in-the-us</t>
  </si>
  <si>
    <t xml:space="preserve">https://www.businesswire.com/news/home/20250212663224/en</t>
  </si>
  <si>
    <t xml:space="preserve">https://www.tdworld.com/utility-business/news/55355616/ge-vernova-completes-acquisition-of-prolec-ge</t>
  </si>
  <si>
    <t xml:space="preserve">https://www.prolec.energy/news/prolec-ge-invests-an-additional-140-million-in-the-u-s-to-support-north-american-electric-grid-goals/</t>
  </si>
  <si>
    <t xml:space="preserve">https://www.areadevelopment.com/newsItems/9-27-2025/weg-washington-missouri.shtml</t>
  </si>
  <si>
    <t xml:space="preserve">https://theljc.com/projects/weg-transformers-usa</t>
  </si>
  <si>
    <t xml:space="preserve">https://www.vatransformer.com/</t>
  </si>
  <si>
    <t xml:space="preserve">https://www.utilitydive.com/press-release/20251120-virginia-transformer-to-expand-georgia-transformer-plant-in-rincon-ga-to/</t>
  </si>
  <si>
    <t xml:space="preserve">https://bnnbloomberg.ca/investing/2025/01/09/virginia-transformer-considers-6-billion-sale</t>
  </si>
  <si>
    <t xml:space="preserve">https://www.cooperative.com/news/Pages/Transformer-Builder-ERMCO-to-Expand-Production-Into-Arizona-in-2027-as-Demand-Rises.aspx</t>
  </si>
  <si>
    <t xml:space="preserve">https://www.howard.com/INFO/news/2025/06/26/howard-industries-invests-over-230-million-to-expand-operations-across-mississippi.cfm</t>
  </si>
  <si>
    <t xml:space="preserve">https://www.howard.com/INFO/news/2026/05/08/howard-industries-announces-major-expansion-of-mexico-manufacturing-operations.cfm</t>
  </si>
  <si>
    <t xml:space="preserve">https://www.maddox.com/</t>
  </si>
  <si>
    <t xml:space="preserve">https://www.maddox.com/about</t>
  </si>
  <si>
    <t xml:space="preserve">https://www.businesswire.com/news/home/20260519751615/en/JST-Power-Equipment-Opens-Virginia-Transformer-Manufacturing-Facility-to-Support-Power-for-Utilities-and-Data-Center-Demand</t>
  </si>
  <si>
    <t xml:space="preserve">https://manufacturing-today.com/news/after-china-mexico-and-malaysia-jst-power-equipment-continues-its-expansion-with-a-new-us-factory-in-virginia/</t>
  </si>
  <si>
    <t xml:space="preserve">https://www.jstpower.com/</t>
  </si>
  <si>
    <t xml:space="preserve">https://sunbeltsolomon.com/about-us/</t>
  </si>
  <si>
    <t xml:space="preserve">https://trilanticnorthamerica.com/portfolio/sunbelt-solomon</t>
  </si>
  <si>
    <t xml:space="preserve">https://www.hitachienergy.com/products-and-solutions/high-voltage-switchgear-and-breakers/air-insulated-switchgear/dead-tank-circuit-breaker-362-420-kv</t>
  </si>
  <si>
    <t xml:space="preserve">https://www.hitachienergy.com/ch/it/news-and-events/press-releases/2025/04/hitachi-energy-boosts-pennsylvania-investments-to-more-than-70-million</t>
  </si>
  <si>
    <t xml:space="preserve">https://www.plantservices.com/industry-news/news/55355114/siemens-energy-announces-1-billion-for-mississippi-plant-us-expansions</t>
  </si>
  <si>
    <t xml:space="preserve">https://www.gevernova.com/electrification/sites/default/files/resources/products/brochures/DT1-362-brochure-EN-N50281-Hybrid-202509-R003.pdf</t>
  </si>
  <si>
    <t xml:space="preserve">https://www.plantservices.com/industry-news/news/55399356/ge-vernova-invests-138-million-to-expand-power-transmission-manufacturing-facility-in-pennsylvania</t>
  </si>
  <si>
    <t xml:space="preserve">https://meppi.com/products/hv-gas-insulated-circuit-breakers</t>
  </si>
  <si>
    <t xml:space="preserve">https://pennbizreport.com/news/29602-new-manufacturing-factory-facility-upgrades-planned-for-western-pennsylvania-with-86m-investment/</t>
  </si>
  <si>
    <t xml:space="preserve">https://www.koreatimes.co.kr/business/companies/20260918/hyosung-heavy-industries-forms-us-joint-venture-to-make-high-voltage-circuit-breakers</t>
  </si>
  <si>
    <t xml:space="preserve">https://switchgear-magazine.com/news/business/hyosung-targets-25-us-gcb-share/</t>
  </si>
  <si>
    <t xml:space="preserve">https://www.actionnews5.com/2025/11/12/hyosung-hico-expands-again-bringing-240-new-jobs-memphis</t>
  </si>
  <si>
    <t xml:space="preserve">https://transformer-technology.com/hd-hyundai-electric-expands-us-grid-presence-with-119-million-contract/</t>
  </si>
  <si>
    <t xml:space="preserve">https://eaton.com/us/en-us/catalog/medium-voltage-power-distribution-control-systems/vacclad-w-38-kv-metal-clad-medium-voltage-switchgear.html</t>
  </si>
  <si>
    <t xml:space="preserve">https://www.se.com/us/en/about-us/newsroom/news/press-releases/Schneider-Electric-Opens-New-Energy-Manufacturing-Facility-in-Middle-Tennessee-68d6a8ba1686eb8d4d047558</t>
  </si>
  <si>
    <t xml:space="preserve">https://www.plantengineering.com/schneider-electric-moves-corporate-hq-to-massachusetts/</t>
  </si>
  <si>
    <t xml:space="preserve">https://new.abb.com/news/detail/129047/abb-to-invest-us110-million-in-us-manufacturing</t>
  </si>
  <si>
    <t xml:space="preserve">https://assets.new.siemens.com/siemens/assets/api/uuid:49344958-3e1b-4282-ac76-e1c7fa185d32/ansi-mv-ovcb-sdv7-flyer-en.pdf</t>
  </si>
  <si>
    <t xml:space="preserve">https://www.keranews.org/business-economy/2025-03-07/siemens-opens-190m-plant-in-south-fort-worth-adding-800-jobs-by-2026/</t>
  </si>
  <si>
    <t xml:space="preserve">https://powellindustriesinc.gcs-web.com/news-releases/news-release-details/powell-industries-announces-fourth-quarter-and-full-year-0</t>
  </si>
  <si>
    <t xml:space="preserve">https://www.powellind.com/</t>
  </si>
  <si>
    <t xml:space="preserve">https://www.sandc.com/en/company/</t>
  </si>
  <si>
    <t xml:space="preserve">https://www.renewableenergyworld.com/power-grid/sc-electric-expanding-manufacturing-facilities-to-meet-growing-demand/</t>
  </si>
  <si>
    <t xml:space="preserve">https://www.gwelectric.com/about/</t>
  </si>
  <si>
    <t xml:space="preserve">https://engineering.lehigh.edu/node/169459</t>
  </si>
  <si>
    <t xml:space="preserve">https://www.gwelectric.com/news/gw-electric-acquires-veneta-isolatori-spa/</t>
  </si>
  <si>
    <t xml:space="preserve">https://www.mortenson.com/projects/revolution-energy-storage</t>
  </si>
  <si>
    <t xml:space="preserve">https://www.solarpowerworldonline.com/2026-top-solar-storage-installers/</t>
  </si>
  <si>
    <t xml:space="preserve">https://www.mccarthy.com/locations/st-louis</t>
  </si>
  <si>
    <t xml:space="preserve">https://www.mccarthy.com/locations</t>
  </si>
  <si>
    <t xml:space="preserve">https://www.mccarthy.com/about</t>
  </si>
  <si>
    <t xml:space="preserve">https://www.quantaservices.com/companies/blattner</t>
  </si>
  <si>
    <t xml:space="preserve">https://www.quantaservices.com/quanta-services-completes-the-previously-announced-acquisition-of-blattner/</t>
  </si>
  <si>
    <t xml:space="preserve">https://www.sec.gov/Archives/edgar/data/1361538/000136153826000007/prim-20260217xex99.htm</t>
  </si>
  <si>
    <t xml:space="preserve">https://www.rosendin.com/contact/office-locations/</t>
  </si>
  <si>
    <t xml:space="preserve">https://www.rosendin.com/company/history/</t>
  </si>
  <si>
    <t xml:space="preserve">https://www.renaissancecapital.com/IPO-Center/News/116914/american-securities-solar-project-builder-solv-energy-prices-ipo-at-25</t>
  </si>
  <si>
    <t xml:space="preserve">https://mastec.com/expertise/clean-energy-and-infrastructure/renewables.html</t>
  </si>
  <si>
    <t xml:space="preserve">https://investors.mastec.com/node/17776</t>
  </si>
  <si>
    <t xml:space="preserve">https://www.inforum.com/business/announcements/wanzek-rebrands-as-mastec-reflecting-continued-growth-and-commitment-5c42027021e12668ac8da793-66b4eefa6dbc50000e3b385e</t>
  </si>
  <si>
    <t xml:space="preserve">https://www.sec.gov/Archives/edgar/data/15615/000001561526000020/mtz-20251231.htm</t>
  </si>
  <si>
    <t xml:space="preserve">https://www.nasdaq.com/press-release/fluence-mosaic-intelligent-bidding-software-for-energy-storage-systems-expands-into</t>
  </si>
  <si>
    <t xml:space="preserve">https://ir.fluenceenergy.com/news-releases/news-release-details/fluence-announces-agreement-acquire-ai-enabled-software-service</t>
  </si>
  <si>
    <t xml:space="preserve">https://www.ascendanalytics.com/</t>
  </si>
  <si>
    <t xml:space="preserve">https://www.ascendanalytics.com/blog/ascend-analytics-announces-strategic-growth-investment</t>
  </si>
  <si>
    <t xml:space="preserve">https://www.pcienergysolutions.com/</t>
  </si>
  <si>
    <t xml:space="preserve">https://www.mitsubishielectric.com/en/pr/2026/pdf/0820_ei1.pdf</t>
  </si>
  <si>
    <t xml:space="preserve">https://www.yesenergy.com/</t>
  </si>
  <si>
    <t xml:space="preserve">https://www.accel-kkr.com/portfolio-company/yes-energy/</t>
  </si>
  <si>
    <t xml:space="preserve">https://www.enverus.com/</t>
  </si>
  <si>
    <t xml:space="preserve">https://www.businesswire.com/news/home/20250805990991/en/Blackstone-Announces-Agreement-to-Acquire-Enverus</t>
  </si>
  <si>
    <t xml:space="preserve">https://www.renewableenergyworld.com/energy-business/energy-finance/blackstone-to-acquire-energy-data-analytics-firm-in-6-5b-deal/</t>
  </si>
  <si>
    <t xml:space="preserve">https://www.powerfactors.com/about</t>
  </si>
  <si>
    <t xml:space="preserve">https://www.powerfactors.com/contact-us</t>
  </si>
  <si>
    <t xml:space="preserve">https://www.williamblair.com/News/Power-Factors-and-Vista-Equity-Partners-Transaction</t>
  </si>
  <si>
    <t xml:space="preserve">https://www.businesswire.com/news/home/20240502931363/en/Habitat-Energy-to-optimize-UBS-Asset-Management%E2%80%99s-730MW-ERCOT-battery-storage-portfolio</t>
  </si>
  <si>
    <t xml:space="preserve">https://www.tyba.ai/</t>
  </si>
  <si>
    <t xml:space="preserve">https://batterypoweronline.com/view-press-releases/entry/5380</t>
  </si>
  <si>
    <t xml:space="preserve">https://modoenergy.com/</t>
  </si>
  <si>
    <t xml:space="preserve">https://www.ess-news.com/2025/12/03/modo-energy-raises-33m-and-sets-out-ai-ambitions/</t>
  </si>
  <si>
    <t xml:space="preserve">https://mmc.vc/mmc-leads-15-million-series-a-for-modo-energy/</t>
  </si>
  <si>
    <t xml:space="preserve">https://www.businesswire.com/news/home/20250909722132/en/Stem-Inc.-Letter-to-Shareholders-Reflecting-on-our-journey-of-strategic-realignment</t>
  </si>
  <si>
    <t xml:space="preserve">https://www.tenaska.com/</t>
  </si>
</sst>
</file>

<file path=xl/styles.xml><?xml version="1.0" encoding="utf-8"?>
<styleSheet xmlns="http://schemas.openxmlformats.org/spreadsheetml/2006/main">
  <numFmts count="3">
    <numFmt numFmtId="164" formatCode="General"/>
    <numFmt numFmtId="165" formatCode="General"/>
    <numFmt numFmtId="166" formatCode="yyyy\-mm\-dd"/>
  </numFmts>
  <fonts count="20">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9"/>
      <color rgb="FF595959"/>
      <name val="Arial"/>
      <family val="0"/>
      <charset val="1"/>
    </font>
    <font>
      <b val="true"/>
      <sz val="11"/>
      <color rgb="FFFFFFFF"/>
      <name val="Arial"/>
      <family val="0"/>
      <charset val="1"/>
    </font>
    <font>
      <b val="true"/>
      <sz val="10"/>
      <name val="Arial"/>
      <family val="0"/>
      <charset val="1"/>
    </font>
    <font>
      <sz val="10"/>
      <name val="Arial"/>
      <family val="0"/>
      <charset val="1"/>
    </font>
    <font>
      <b val="true"/>
      <sz val="11"/>
      <name val="Arial"/>
      <family val="0"/>
      <charset val="1"/>
    </font>
    <font>
      <sz val="9"/>
      <name val="Arial"/>
      <family val="0"/>
      <charset val="1"/>
    </font>
    <font>
      <b val="true"/>
      <sz val="9"/>
      <color rgb="FFFFFFFF"/>
      <name val="Arial"/>
      <family val="0"/>
      <charset val="1"/>
    </font>
    <font>
      <b val="true"/>
      <sz val="14"/>
      <color rgb="FF1F3864"/>
      <name val="Arial"/>
      <family val="0"/>
      <charset val="1"/>
    </font>
    <font>
      <b val="true"/>
      <sz val="10"/>
      <color rgb="FFFFFFFF"/>
      <name val="Arial"/>
      <family val="0"/>
      <charset val="1"/>
    </font>
    <font>
      <u val="single"/>
      <sz val="10"/>
      <color rgb="FF0563C1"/>
      <name val="Arial"/>
      <family val="0"/>
      <charset val="1"/>
    </font>
    <font>
      <b val="true"/>
      <sz val="10"/>
      <color rgb="FF000000"/>
      <name val="Arial"/>
      <family val="0"/>
      <charset val="1"/>
    </font>
    <font>
      <u val="single"/>
      <sz val="9"/>
      <color rgb="FF0563C1"/>
      <name val="Arial"/>
      <family val="0"/>
      <charset val="1"/>
    </font>
    <font>
      <sz val="10"/>
      <name val="Arial"/>
      <family val="2"/>
    </font>
    <font>
      <sz val="11"/>
      <name val="Arial"/>
      <family val="0"/>
      <charset val="1"/>
    </font>
    <font>
      <sz val="9"/>
      <color rgb="FF000000"/>
      <name val="Arial"/>
      <family val="0"/>
      <charset val="1"/>
    </font>
  </fonts>
  <fills count="10">
    <fill>
      <patternFill patternType="none"/>
    </fill>
    <fill>
      <patternFill patternType="gray125"/>
    </fill>
    <fill>
      <patternFill patternType="solid">
        <fgColor rgb="FF1F3864"/>
        <bgColor rgb="FF333333"/>
      </patternFill>
    </fill>
    <fill>
      <patternFill patternType="solid">
        <fgColor rgb="FFFFF9DB"/>
        <bgColor rgb="FFFFFFFF"/>
      </patternFill>
    </fill>
    <fill>
      <patternFill patternType="solid">
        <fgColor rgb="FF2E5C8A"/>
        <bgColor rgb="FF1B7A7A"/>
      </patternFill>
    </fill>
    <fill>
      <patternFill patternType="solid">
        <fgColor rgb="FF1B7A7A"/>
        <bgColor rgb="FF2E5C8A"/>
      </patternFill>
    </fill>
    <fill>
      <patternFill patternType="solid">
        <fgColor rgb="FF2E7D32"/>
        <bgColor rgb="FF1B7A7A"/>
      </patternFill>
    </fill>
    <fill>
      <patternFill patternType="solid">
        <fgColor rgb="FF5E35B1"/>
        <bgColor rgb="FF595959"/>
      </patternFill>
    </fill>
    <fill>
      <patternFill patternType="solid">
        <fgColor rgb="FFC55A11"/>
        <bgColor rgb="FF993300"/>
      </patternFill>
    </fill>
    <fill>
      <patternFill patternType="solid">
        <fgColor rgb="FFD9E1F2"/>
        <bgColor rgb="FFDDEBF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4" fontId="11" fillId="4" borderId="0" xfId="0" applyFont="true" applyBorder="false" applyAlignment="false" applyProtection="false">
      <alignment horizontal="general" vertical="bottom" textRotation="0" wrapText="false" indent="0" shrinkToFit="false"/>
      <protection locked="true" hidden="false"/>
    </xf>
    <xf numFmtId="164" fontId="11" fillId="5" borderId="0" xfId="0" applyFont="true" applyBorder="false" applyAlignment="false" applyProtection="false">
      <alignment horizontal="general" vertical="bottom" textRotation="0" wrapText="false" indent="0" shrinkToFit="false"/>
      <protection locked="true" hidden="false"/>
    </xf>
    <xf numFmtId="164" fontId="11" fillId="6" borderId="0" xfId="0" applyFont="true" applyBorder="false" applyAlignment="false" applyProtection="false">
      <alignment horizontal="general" vertical="bottom" textRotation="0" wrapText="false" indent="0" shrinkToFit="false"/>
      <protection locked="true" hidden="false"/>
    </xf>
    <xf numFmtId="164" fontId="11" fillId="7" borderId="0" xfId="0" applyFont="true" applyBorder="false" applyAlignment="false" applyProtection="false">
      <alignment horizontal="general" vertical="bottom" textRotation="0" wrapText="false" indent="0" shrinkToFit="false"/>
      <protection locked="true" hidden="false"/>
    </xf>
    <xf numFmtId="164" fontId="11" fillId="8"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2"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4" fontId="9" fillId="9" borderId="1" xfId="0" applyFont="true" applyBorder="true" applyAlignment="false" applyProtection="false">
      <alignment horizontal="general" vertical="bottom" textRotation="0" wrapText="false" indent="0" shrinkToFit="false"/>
      <protection locked="true" hidden="false"/>
    </xf>
    <xf numFmtId="165" fontId="9" fillId="9" borderId="1" xfId="0" applyFont="true" applyBorder="true" applyAlignment="true" applyProtection="false">
      <alignment horizontal="center" vertical="bottom" textRotation="0" wrapText="false" indent="0" shrinkToFit="false"/>
      <protection locked="true" hidden="false"/>
    </xf>
    <xf numFmtId="164" fontId="13" fillId="2" borderId="0" xfId="0" applyFont="true" applyBorder="true" applyAlignment="true" applyProtection="false">
      <alignment horizontal="center" vertical="bottom" textRotation="0" wrapText="false" indent="0" shrinkToFit="false"/>
      <protection locked="true" hidden="false"/>
    </xf>
    <xf numFmtId="164" fontId="13" fillId="4" borderId="0" xfId="0" applyFont="true" applyBorder="true" applyAlignment="true" applyProtection="false">
      <alignment horizontal="center" vertical="bottom" textRotation="0" wrapText="false" indent="0" shrinkToFit="false"/>
      <protection locked="true" hidden="false"/>
    </xf>
    <xf numFmtId="164" fontId="13" fillId="5" borderId="0" xfId="0" applyFont="true" applyBorder="true" applyAlignment="true" applyProtection="false">
      <alignment horizontal="center" vertical="bottom" textRotation="0" wrapText="false" indent="0" shrinkToFit="false"/>
      <protection locked="true" hidden="false"/>
    </xf>
    <xf numFmtId="164" fontId="13" fillId="6" borderId="0" xfId="0" applyFont="true" applyBorder="true" applyAlignment="true" applyProtection="false">
      <alignment horizontal="center" vertical="bottom" textRotation="0" wrapText="false" indent="0" shrinkToFit="false"/>
      <protection locked="true" hidden="false"/>
    </xf>
    <xf numFmtId="164" fontId="13" fillId="7" borderId="0" xfId="0" applyFont="true" applyBorder="true" applyAlignment="true" applyProtection="false">
      <alignment horizontal="center" vertical="bottom" textRotation="0" wrapText="false" indent="0" shrinkToFit="false"/>
      <protection locked="true" hidden="false"/>
    </xf>
    <xf numFmtId="164" fontId="13" fillId="8" borderId="0" xfId="0" applyFont="true" applyBorder="true" applyAlignment="true" applyProtection="false">
      <alignment horizontal="center" vertical="bottom" textRotation="0" wrapText="false" indent="0" shrinkToFit="false"/>
      <protection locked="true" hidden="false"/>
    </xf>
    <xf numFmtId="164" fontId="15" fillId="9"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6" fontId="10"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0" fillId="3" borderId="0" xfId="0" applyFont="true" applyBorder="false" applyAlignment="true" applyProtection="false">
      <alignment horizontal="general" vertical="top" textRotation="0" wrapText="true" indent="0" shrinkToFit="false"/>
      <protection locked="true" hidden="false"/>
    </xf>
    <xf numFmtId="166" fontId="10" fillId="0" borderId="0" xfId="0" applyFont="true" applyBorder="false" applyAlignment="true" applyProtection="false">
      <alignment horizontal="general" vertical="top" textRotation="0" wrapText="tru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D9E1F2"/>
          <bgColor rgb="FF000000"/>
        </patternFill>
      </fill>
    </dxf>
    <dxf>
      <fill>
        <patternFill patternType="solid">
          <bgColor rgb="FF000000"/>
        </patternFill>
      </fill>
    </dxf>
    <dxf>
      <fill>
        <patternFill patternType="solid">
          <fgColor rgb="FF000000"/>
          <bgColor rgb="FF000000"/>
        </patternFill>
      </fill>
    </dxf>
    <dxf>
      <fill>
        <patternFill patternType="solid">
          <fgColor rgb="FF0563C1"/>
          <bgColor rgb="FF000000"/>
        </patternFill>
      </fill>
    </dxf>
    <dxf>
      <fill>
        <patternFill patternType="solid">
          <fgColor rgb="FFFFF9DB"/>
          <bgColor rgb="FF000000"/>
        </patternFill>
      </fill>
    </dxf>
    <dxf>
      <fill>
        <patternFill>
          <bgColor rgb="FFC6EFCE"/>
        </patternFill>
      </fill>
    </dxf>
    <dxf>
      <fill>
        <patternFill>
          <bgColor rgb="FFE2EFDA"/>
        </patternFill>
      </fill>
    </dxf>
    <dxf>
      <fill>
        <patternFill>
          <bgColor rgb="FFDDEBF7"/>
        </patternFill>
      </fill>
    </dxf>
    <dxf>
      <fill>
        <patternFill>
          <bgColor rgb="FFFFEB9C"/>
        </patternFill>
      </fill>
    </dxf>
    <dxf>
      <fill>
        <patternFill>
          <bgColor rgb="FFFFC7CE"/>
        </patternFill>
      </fill>
    </dxf>
    <dxf>
      <fill>
        <patternFill>
          <bgColor rgb="FFF8CBAD"/>
        </patternFill>
      </fill>
    </dxf>
    <dxf>
      <fill>
        <patternFill patternType="solid">
          <fgColor rgb="FFF8CBAD"/>
          <bgColor rgb="FF000000"/>
        </patternFill>
      </fill>
    </dxf>
    <dxf>
      <fill>
        <patternFill patternType="solid">
          <fgColor rgb="FF1F3864"/>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B7A7A"/>
      <rgbColor rgb="FFBFBFBF"/>
      <rgbColor rgb="FF808080"/>
      <rgbColor rgb="FF9999FF"/>
      <rgbColor rgb="FF993366"/>
      <rgbColor rgb="FFFFF9DB"/>
      <rgbColor rgb="FFDDEBF7"/>
      <rgbColor rgb="FF660066"/>
      <rgbColor rgb="FFFF8080"/>
      <rgbColor rgb="FF0563C1"/>
      <rgbColor rgb="FFD9E1F2"/>
      <rgbColor rgb="FF000080"/>
      <rgbColor rgb="FFFF00FF"/>
      <rgbColor rgb="FFFFFF00"/>
      <rgbColor rgb="FF00FFFF"/>
      <rgbColor rgb="FF800080"/>
      <rgbColor rgb="FF800000"/>
      <rgbColor rgb="FF2E5C8A"/>
      <rgbColor rgb="FF0000FF"/>
      <rgbColor rgb="FF00CCFF"/>
      <rgbColor rgb="FFE2EFDA"/>
      <rgbColor rgb="FFC6EFCE"/>
      <rgbColor rgb="FFFFEB9C"/>
      <rgbColor rgb="FF99CCFF"/>
      <rgbColor rgb="FFFFC7CE"/>
      <rgbColor rgb="FFCC99FF"/>
      <rgbColor rgb="FFF8CBAD"/>
      <rgbColor rgb="FF3366FF"/>
      <rgbColor rgb="FF33CCCC"/>
      <rgbColor rgb="FF99CC00"/>
      <rgbColor rgb="FFFFCC00"/>
      <rgbColor rgb="FFFF9900"/>
      <rgbColor rgb="FFC55A11"/>
      <rgbColor rgb="FF595959"/>
      <rgbColor rgb="FF969696"/>
      <rgbColor rgb="FF1F3864"/>
      <rgbColor rgb="FF2E7D32"/>
      <rgbColor rgb="FF003300"/>
      <rgbColor rgb="FF333300"/>
      <rgbColor rgb="FF993300"/>
      <rgbColor rgb="FF993366"/>
      <rgbColor rgb="FF5E35B1"/>
      <rgbColor rgb="FF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3" Type="http://schemas.openxmlformats.org/officeDocument/2006/relationships/worksheet" Target="worksheets/sheet1.xml"/><Relationship Id="rId21" Type="http://schemas.openxmlformats.org/officeDocument/2006/relationships/sharedStrings" Target="sharedStrings.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 Type="http://schemas.openxmlformats.org/officeDocument/2006/relationships/styles" Target="styles.xml"/><Relationship Id="rId16" Type="http://schemas.openxmlformats.org/officeDocument/2006/relationships/worksheet" Target="worksheets/sheet14.xml"/><Relationship Id="rId20" Type="http://schemas.openxmlformats.org/officeDocument/2006/relationships/worksheet" Target="worksheets/sheet18.xml"/><Relationship Id="rId1" Type="http://schemas.openxmlformats.org/officeDocument/2006/relationships/theme" Target="theme/theme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customXml" Target="../customXml/item3.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customXml" Target="../customXml/item2.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2026-10-05_vendor-landscape-tracker_v02.xlsx" TargetMode="External"/><Relationship Id="rId2" Type="http://schemas.openxmlformats.org/officeDocument/2006/relationships/hyperlink" Target="2026-10-05_vendor-landscape-tracker_v02.xlsx" TargetMode="External"/><Relationship Id="rId3" Type="http://schemas.openxmlformats.org/officeDocument/2006/relationships/hyperlink" Target="2026-10-05_vendor-landscape-tracker_v02.xlsx" TargetMode="External"/><Relationship Id="rId4" Type="http://schemas.openxmlformats.org/officeDocument/2006/relationships/hyperlink" Target="2026-10-05_vendor-landscape-tracker_v02.xlsx" TargetMode="External"/><Relationship Id="rId5" Type="http://schemas.openxmlformats.org/officeDocument/2006/relationships/hyperlink" Target="2026-10-05_vendor-landscape-tracker_v02.xlsx" TargetMode="External"/><Relationship Id="rId6" Type="http://schemas.openxmlformats.org/officeDocument/2006/relationships/hyperlink" Target="2026-10-05_vendor-landscape-tracker_v02.xlsx" TargetMode="External"/><Relationship Id="rId7" Type="http://schemas.openxmlformats.org/officeDocument/2006/relationships/hyperlink" Target="2026-10-05_vendor-landscape-tracker_v02.xlsx" TargetMode="External"/><Relationship Id="rId8" Type="http://schemas.openxmlformats.org/officeDocument/2006/relationships/hyperlink" Target="2026-10-05_vendor-landscape-tracker_v02.xlsx" TargetMode="External"/><Relationship Id="rId9" Type="http://schemas.openxmlformats.org/officeDocument/2006/relationships/hyperlink" Target="2026-10-05_vendor-landscape-tracker_v02.xlsx" TargetMode="External"/><Relationship Id="rId10" Type="http://schemas.openxmlformats.org/officeDocument/2006/relationships/hyperlink" Target="2026-10-05_vendor-landscape-tracker_v02.xlsx" TargetMode="External"/><Relationship Id="rId11" Type="http://schemas.openxmlformats.org/officeDocument/2006/relationships/hyperlink" Target="2026-10-05_vendor-landscape-tracker_v02.xlsx" TargetMode="External"/><Relationship Id="rId12" Type="http://schemas.openxmlformats.org/officeDocument/2006/relationships/hyperlink" Target="2026-10-05_vendor-landscape-tracker_v02.xlsx" TargetMode="External"/><Relationship Id="rId13" Type="http://schemas.openxmlformats.org/officeDocument/2006/relationships/hyperlink" Target="2026-10-05_vendor-landscape-tracker_v02.xlsx" TargetMode="External"/><Relationship Id="rId14" Type="http://schemas.openxmlformats.org/officeDocument/2006/relationships/hyperlink" Target="2026-10-05_vendor-landscape-tracker_v02.xlsx" TargetMode="Externa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www.erm.com/" TargetMode="External"/><Relationship Id="rId3" Type="http://schemas.openxmlformats.org/officeDocument/2006/relationships/hyperlink" Target="https://www.erm.com/contact-us/" TargetMode="External"/><Relationship Id="rId4" Type="http://schemas.openxmlformats.org/officeDocument/2006/relationships/hyperlink" Target="https://www.tetratech.com/" TargetMode="External"/><Relationship Id="rId5" Type="http://schemas.openxmlformats.org/officeDocument/2006/relationships/hyperlink" Target="https://www.tetratech.com/contact/" TargetMode="External"/><Relationship Id="rId6" Type="http://schemas.openxmlformats.org/officeDocument/2006/relationships/hyperlink" Target="https://www.stantec.com/en" TargetMode="External"/><Relationship Id="rId7" Type="http://schemas.openxmlformats.org/officeDocument/2006/relationships/hyperlink" Target="https://www.wsp.com/en-us" TargetMode="External"/><Relationship Id="rId8" Type="http://schemas.openxmlformats.org/officeDocument/2006/relationships/hyperlink" Target="https://www.wsp.com/en-us/contact-us" TargetMode="External"/><Relationship Id="rId9" Type="http://schemas.openxmlformats.org/officeDocument/2006/relationships/hyperlink" Target="https://www.terracon.com/" TargetMode="External"/><Relationship Id="rId10" Type="http://schemas.openxmlformats.org/officeDocument/2006/relationships/hyperlink" Target="https://www.terracon.com/contact/" TargetMode="External"/><Relationship Id="rId11" Type="http://schemas.openxmlformats.org/officeDocument/2006/relationships/hyperlink" Target="https://www.swca.com/" TargetMode="External"/><Relationship Id="rId12" Type="http://schemas.openxmlformats.org/officeDocument/2006/relationships/hyperlink" Target="https://www.swca.com/contact/" TargetMode="External"/><Relationship Id="rId13" Type="http://schemas.openxmlformats.org/officeDocument/2006/relationships/hyperlink" Target="https://westwoodps.com/" TargetMode="External"/><Relationship Id="rId14" Type="http://schemas.openxmlformats.org/officeDocument/2006/relationships/hyperlink" Target="https://westwoodps.com/contact-us" TargetMode="External"/><Relationship Id="rId15" Type="http://schemas.openxmlformats.org/officeDocument/2006/relationships/hyperlink" Target="https://www.hdrinc.com/" TargetMode="External"/><Relationship Id="rId16" Type="http://schemas.openxmlformats.org/officeDocument/2006/relationships/hyperlink" Target="https://www.hdrinc.com/contact-us" TargetMode="External"/><Relationship Id="rId17" Type="http://schemas.openxmlformats.org/officeDocument/2006/relationships/drawing" Target="../drawings/drawing1.xml"/><Relationship Id="rId18"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www.kimley-horn.com/" TargetMode="External"/><Relationship Id="rId3" Type="http://schemas.openxmlformats.org/officeDocument/2006/relationships/hyperlink" Target="https://www.kimley-horn.com/contact/" TargetMode="External"/><Relationship Id="rId4" Type="http://schemas.openxmlformats.org/officeDocument/2006/relationships/hyperlink" Target="https://westwoodps.com/" TargetMode="External"/><Relationship Id="rId5" Type="http://schemas.openxmlformats.org/officeDocument/2006/relationships/hyperlink" Target="https://westwoodps.com/contact-us" TargetMode="External"/><Relationship Id="rId6" Type="http://schemas.openxmlformats.org/officeDocument/2006/relationships/hyperlink" Target="https://www.halff.com/" TargetMode="External"/><Relationship Id="rId7" Type="http://schemas.openxmlformats.org/officeDocument/2006/relationships/hyperlink" Target="https://www.halff.com/contact/" TargetMode="External"/><Relationship Id="rId8" Type="http://schemas.openxmlformats.org/officeDocument/2006/relationships/hyperlink" Target="https://www.pape-dawson.com/" TargetMode="External"/><Relationship Id="rId9" Type="http://schemas.openxmlformats.org/officeDocument/2006/relationships/hyperlink" Target="https://www.pape-dawson.com/contact" TargetMode="External"/><Relationship Id="rId10" Type="http://schemas.openxmlformats.org/officeDocument/2006/relationships/hyperlink" Target="https://bowman.com/" TargetMode="External"/><Relationship Id="rId11" Type="http://schemas.openxmlformats.org/officeDocument/2006/relationships/hyperlink" Target="https://bowman.com/contact" TargetMode="External"/><Relationship Id="rId12" Type="http://schemas.openxmlformats.org/officeDocument/2006/relationships/hyperlink" Target="https://www.terracon.com/" TargetMode="External"/><Relationship Id="rId13" Type="http://schemas.openxmlformats.org/officeDocument/2006/relationships/hyperlink" Target="https://www.terracon.com/contact/" TargetMode="External"/><Relationship Id="rId14" Type="http://schemas.openxmlformats.org/officeDocument/2006/relationships/hyperlink" Target="https://www.burnsmcd.com/" TargetMode="External"/><Relationship Id="rId15" Type="http://schemas.openxmlformats.org/officeDocument/2006/relationships/hyperlink" Target="https://info.burnsmcd.com/contact-us" TargetMode="External"/><Relationship Id="rId16" Type="http://schemas.openxmlformats.org/officeDocument/2006/relationships/drawing" Target="../drawings/drawing2.xml"/><Relationship Id="rId17"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www.walterpmoore.com/" TargetMode="External"/><Relationship Id="rId3" Type="http://schemas.openxmlformats.org/officeDocument/2006/relationships/hyperlink" Target="https://www.walterpmoore.com/contact" TargetMode="External"/><Relationship Id="rId4" Type="http://schemas.openxmlformats.org/officeDocument/2006/relationships/hyperlink" Target="https://www.sargentlundy.com/" TargetMode="External"/><Relationship Id="rId5" Type="http://schemas.openxmlformats.org/officeDocument/2006/relationships/hyperlink" Target="https://www.sargentlundy.com/contact-us" TargetMode="External"/><Relationship Id="rId6" Type="http://schemas.openxmlformats.org/officeDocument/2006/relationships/hyperlink" Target="https://www.burnsmcd.com/" TargetMode="External"/><Relationship Id="rId7" Type="http://schemas.openxmlformats.org/officeDocument/2006/relationships/hyperlink" Target="https://info.burnsmcd.com/contact-us" TargetMode="External"/><Relationship Id="rId8" Type="http://schemas.openxmlformats.org/officeDocument/2006/relationships/hyperlink" Target="https://www.bv.com/" TargetMode="External"/><Relationship Id="rId9" Type="http://schemas.openxmlformats.org/officeDocument/2006/relationships/hyperlink" Target="https://www.bv.com/contact-us" TargetMode="External"/><Relationship Id="rId10" Type="http://schemas.openxmlformats.org/officeDocument/2006/relationships/hyperlink" Target="https://www.powereng.com/" TargetMode="External"/><Relationship Id="rId11" Type="http://schemas.openxmlformats.org/officeDocument/2006/relationships/hyperlink" Target="https://eciusa.com/" TargetMode="External"/><Relationship Id="rId12" Type="http://schemas.openxmlformats.org/officeDocument/2006/relationships/drawing" Target="../drawings/drawing3.xml"/><Relationship Id="rId13" Type="http://schemas.openxmlformats.org/officeDocument/2006/relationships/vmlDrawing" Target="../drawings/vmlDrawing3.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www.powereng.com/" TargetMode="External"/><Relationship Id="rId3" Type="http://schemas.openxmlformats.org/officeDocument/2006/relationships/hyperlink" Target="https://www.burnsmcd.com/" TargetMode="External"/><Relationship Id="rId4" Type="http://schemas.openxmlformats.org/officeDocument/2006/relationships/hyperlink" Target="https://info.burnsmcd.com/contact-us" TargetMode="External"/><Relationship Id="rId5" Type="http://schemas.openxmlformats.org/officeDocument/2006/relationships/hyperlink" Target="https://www.sargentlundy.com/" TargetMode="External"/><Relationship Id="rId6" Type="http://schemas.openxmlformats.org/officeDocument/2006/relationships/hyperlink" Target="https://www.sargentlundy.com/contact-us" TargetMode="External"/><Relationship Id="rId7" Type="http://schemas.openxmlformats.org/officeDocument/2006/relationships/hyperlink" Target="https://www.bv.com/" TargetMode="External"/><Relationship Id="rId8" Type="http://schemas.openxmlformats.org/officeDocument/2006/relationships/hyperlink" Target="https://www.bv.com/contact-us" TargetMode="External"/><Relationship Id="rId9" Type="http://schemas.openxmlformats.org/officeDocument/2006/relationships/hyperlink" Target="https://epeconsulting.com/" TargetMode="External"/><Relationship Id="rId10" Type="http://schemas.openxmlformats.org/officeDocument/2006/relationships/hyperlink" Target="https://epeconsulting.com/contact" TargetMode="External"/><Relationship Id="rId11" Type="http://schemas.openxmlformats.org/officeDocument/2006/relationships/hyperlink" Target="https://www.trccompanies.com/" TargetMode="External"/><Relationship Id="rId12" Type="http://schemas.openxmlformats.org/officeDocument/2006/relationships/hyperlink" Target="https://www.trccompanies.com/contact-us/" TargetMode="External"/><Relationship Id="rId13" Type="http://schemas.openxmlformats.org/officeDocument/2006/relationships/hyperlink" Target="https://www.leidos.com/" TargetMode="External"/><Relationship Id="rId14" Type="http://schemas.openxmlformats.org/officeDocument/2006/relationships/hyperlink" Target="https://www.leidos.com/contact-us" TargetMode="External"/><Relationship Id="rId15" Type="http://schemas.openxmlformats.org/officeDocument/2006/relationships/hyperlink" Target="https://eciusa.com/" TargetMode="External"/><Relationship Id="rId16" Type="http://schemas.openxmlformats.org/officeDocument/2006/relationships/drawing" Target="../drawings/drawing4.xml"/><Relationship Id="rId17" Type="http://schemas.openxmlformats.org/officeDocument/2006/relationships/vmlDrawing" Target="../drawings/vmlDrawing4.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www.jensenhughes.com/" TargetMode="External"/><Relationship Id="rId3" Type="http://schemas.openxmlformats.org/officeDocument/2006/relationships/hyperlink" Target="https://www.jensenhughes.com/contact-us" TargetMode="External"/><Relationship Id="rId4" Type="http://schemas.openxmlformats.org/officeDocument/2006/relationships/hyperlink" Target="https://www.energyresponsegroup.com/" TargetMode="External"/><Relationship Id="rId5" Type="http://schemas.openxmlformats.org/officeDocument/2006/relationships/hyperlink" Target="https://www.energyresponsegroup.com/contact" TargetMode="External"/><Relationship Id="rId6" Type="http://schemas.openxmlformats.org/officeDocument/2006/relationships/hyperlink" Target="https://fireriskalliance.com/" TargetMode="External"/><Relationship Id="rId7" Type="http://schemas.openxmlformats.org/officeDocument/2006/relationships/hyperlink" Target="https://fireriskalliance.com/contact-us/" TargetMode="External"/><Relationship Id="rId8" Type="http://schemas.openxmlformats.org/officeDocument/2006/relationships/hyperlink" Target="https://www.telgian.com/" TargetMode="External"/><Relationship Id="rId9" Type="http://schemas.openxmlformats.org/officeDocument/2006/relationships/hyperlink" Target="https://www.telgian.com/contact/" TargetMode="External"/><Relationship Id="rId10" Type="http://schemas.openxmlformats.org/officeDocument/2006/relationships/hyperlink" Target="https://www.dnv.com/" TargetMode="External"/><Relationship Id="rId11" Type="http://schemas.openxmlformats.org/officeDocument/2006/relationships/hyperlink" Target="https://www.dnv.us/contact/" TargetMode="External"/><Relationship Id="rId12" Type="http://schemas.openxmlformats.org/officeDocument/2006/relationships/hyperlink" Target="https://www.ul.com/" TargetMode="External"/><Relationship Id="rId13" Type="http://schemas.openxmlformats.org/officeDocument/2006/relationships/hyperlink" Target="https://www.ul.com/contact-us" TargetMode="External"/><Relationship Id="rId14" Type="http://schemas.openxmlformats.org/officeDocument/2006/relationships/hyperlink" Target="https://www.exponent.com/" TargetMode="External"/><Relationship Id="rId15" Type="http://schemas.openxmlformats.org/officeDocument/2006/relationships/drawing" Target="../drawings/drawing5.xml"/><Relationship Id="rId16" Type="http://schemas.openxmlformats.org/officeDocument/2006/relationships/vmlDrawing" Target="../drawings/vmlDrawing5.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hyperlink" Target="https://www.dnv.com/" TargetMode="External"/><Relationship Id="rId3" Type="http://schemas.openxmlformats.org/officeDocument/2006/relationships/hyperlink" Target="https://www.dnv.us/contact/" TargetMode="External"/><Relationship Id="rId4" Type="http://schemas.openxmlformats.org/officeDocument/2006/relationships/hyperlink" Target="https://enertisapplus.com/" TargetMode="External"/><Relationship Id="rId5" Type="http://schemas.openxmlformats.org/officeDocument/2006/relationships/hyperlink" Target="https://enertisapplus.com/contact/" TargetMode="External"/><Relationship Id="rId6" Type="http://schemas.openxmlformats.org/officeDocument/2006/relationships/hyperlink" Target="https://www.bv.com/" TargetMode="External"/><Relationship Id="rId7" Type="http://schemas.openxmlformats.org/officeDocument/2006/relationships/hyperlink" Target="https://www.bv.com/contact-us" TargetMode="External"/><Relationship Id="rId8" Type="http://schemas.openxmlformats.org/officeDocument/2006/relationships/hyperlink" Target="https://www.sargentlundy.com/" TargetMode="External"/><Relationship Id="rId9" Type="http://schemas.openxmlformats.org/officeDocument/2006/relationships/hyperlink" Target="https://www.sargentlundy.com/contact-us" TargetMode="External"/><Relationship Id="rId10" Type="http://schemas.openxmlformats.org/officeDocument/2006/relationships/hyperlink" Target="https://www.cea3.com/" TargetMode="External"/><Relationship Id="rId11" Type="http://schemas.openxmlformats.org/officeDocument/2006/relationships/hyperlink" Target="https://www.kimley-horn.com/" TargetMode="External"/><Relationship Id="rId12" Type="http://schemas.openxmlformats.org/officeDocument/2006/relationships/hyperlink" Target="https://www.kimley-horn.com/contact/submit-a-service-inquiry/" TargetMode="External"/><Relationship Id="rId13" Type="http://schemas.openxmlformats.org/officeDocument/2006/relationships/hyperlink" Target="https://www.naturalpower.com/" TargetMode="External"/><Relationship Id="rId14" Type="http://schemas.openxmlformats.org/officeDocument/2006/relationships/hyperlink" Target="https://www.naturalpower.com/us/contact" TargetMode="External"/><Relationship Id="rId15" Type="http://schemas.openxmlformats.org/officeDocument/2006/relationships/drawing" Target="../drawings/drawing6.xml"/><Relationship Id="rId16" Type="http://schemas.openxmlformats.org/officeDocument/2006/relationships/vmlDrawing" Target="../drawings/vmlDrawing6.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hyperlink" Target="https://www.burnsmcd.com/" TargetMode="External"/><Relationship Id="rId3" Type="http://schemas.openxmlformats.org/officeDocument/2006/relationships/hyperlink" Target="https://info.burnsmcd.com/contact-us" TargetMode="External"/><Relationship Id="rId4" Type="http://schemas.openxmlformats.org/officeDocument/2006/relationships/hyperlink" Target="https://www.sargentlundy.com/" TargetMode="External"/><Relationship Id="rId5" Type="http://schemas.openxmlformats.org/officeDocument/2006/relationships/hyperlink" Target="https://www.sargentlundy.com/contact-us" TargetMode="External"/><Relationship Id="rId6" Type="http://schemas.openxmlformats.org/officeDocument/2006/relationships/hyperlink" Target="https://www.powereng.com/" TargetMode="External"/><Relationship Id="rId7" Type="http://schemas.openxmlformats.org/officeDocument/2006/relationships/hyperlink" Target="https://www.westwoodps.com/" TargetMode="External"/><Relationship Id="rId8" Type="http://schemas.openxmlformats.org/officeDocument/2006/relationships/hyperlink" Target="https://westwoodps.com/contact-us" TargetMode="External"/><Relationship Id="rId9" Type="http://schemas.openxmlformats.org/officeDocument/2006/relationships/hyperlink" Target="https://www.bv.com/" TargetMode="External"/><Relationship Id="rId10" Type="http://schemas.openxmlformats.org/officeDocument/2006/relationships/hyperlink" Target="https://www.bv.com/contact-us" TargetMode="External"/><Relationship Id="rId11" Type="http://schemas.openxmlformats.org/officeDocument/2006/relationships/hyperlink" Target="https://www.kimley-horn.com/" TargetMode="External"/><Relationship Id="rId12" Type="http://schemas.openxmlformats.org/officeDocument/2006/relationships/hyperlink" Target="https://www.kimley-horn.com/contact/submit-a-service-inquiry/" TargetMode="External"/><Relationship Id="rId13" Type="http://schemas.openxmlformats.org/officeDocument/2006/relationships/hyperlink" Target="https://bowman.com/" TargetMode="External"/><Relationship Id="rId14" Type="http://schemas.openxmlformats.org/officeDocument/2006/relationships/hyperlink" Target="https://bowman.com/contact/" TargetMode="External"/><Relationship Id="rId15" Type="http://schemas.openxmlformats.org/officeDocument/2006/relationships/drawing" Target="../drawings/drawing7.xml"/><Relationship Id="rId16" Type="http://schemas.openxmlformats.org/officeDocument/2006/relationships/vmlDrawing" Target="../drawings/vmlDrawing7.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hyperlink" Target="https://www.dnv.com/" TargetMode="External"/><Relationship Id="rId3" Type="http://schemas.openxmlformats.org/officeDocument/2006/relationships/hyperlink" Target="https://www.dnv.us/contact/" TargetMode="External"/><Relationship Id="rId4" Type="http://schemas.openxmlformats.org/officeDocument/2006/relationships/hyperlink" Target="https://enertisapplus.com/" TargetMode="External"/><Relationship Id="rId5" Type="http://schemas.openxmlformats.org/officeDocument/2006/relationships/hyperlink" Target="https://enertisapplus.com/contact/" TargetMode="External"/><Relationship Id="rId6" Type="http://schemas.openxmlformats.org/officeDocument/2006/relationships/hyperlink" Target="https://www.leidos.com/" TargetMode="External"/><Relationship Id="rId7" Type="http://schemas.openxmlformats.org/officeDocument/2006/relationships/hyperlink" Target="https://www.leidos.com/contact" TargetMode="External"/><Relationship Id="rId8" Type="http://schemas.openxmlformats.org/officeDocument/2006/relationships/hyperlink" Target="https://www.sargentlundy.com/" TargetMode="External"/><Relationship Id="rId9" Type="http://schemas.openxmlformats.org/officeDocument/2006/relationships/hyperlink" Target="https://www.sargentlundy.com/contact-us" TargetMode="External"/><Relationship Id="rId10" Type="http://schemas.openxmlformats.org/officeDocument/2006/relationships/hyperlink" Target="https://www.naturalpower.com/" TargetMode="External"/><Relationship Id="rId11" Type="http://schemas.openxmlformats.org/officeDocument/2006/relationships/hyperlink" Target="https://www.naturalpower.com/us/contact" TargetMode="External"/><Relationship Id="rId12" Type="http://schemas.openxmlformats.org/officeDocument/2006/relationships/hyperlink" Target="https://www.ul.com/" TargetMode="External"/><Relationship Id="rId13" Type="http://schemas.openxmlformats.org/officeDocument/2006/relationships/drawing" Target="../drawings/drawing8.xml"/><Relationship Id="rId14" Type="http://schemas.openxmlformats.org/officeDocument/2006/relationships/vmlDrawing" Target="../drawings/vmlDrawing8.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hyperlink" Target="https://www.tesla.com/megapack" TargetMode="External"/><Relationship Id="rId3" Type="http://schemas.openxmlformats.org/officeDocument/2006/relationships/hyperlink" Target="https://www.tesla.com/megapack" TargetMode="External"/><Relationship Id="rId4" Type="http://schemas.openxmlformats.org/officeDocument/2006/relationships/hyperlink" Target="https://fluenceenergy.com/" TargetMode="External"/><Relationship Id="rId5" Type="http://schemas.openxmlformats.org/officeDocument/2006/relationships/hyperlink" Target="https://www.sungrowpower.com/us/en" TargetMode="External"/><Relationship Id="rId6" Type="http://schemas.openxmlformats.org/officeDocument/2006/relationships/hyperlink" Target="https://www.sungrowpower.com/us/en/about-us/contact-us" TargetMode="External"/><Relationship Id="rId7" Type="http://schemas.openxmlformats.org/officeDocument/2006/relationships/hyperlink" Target="https://www.samsungsdi.com/" TargetMode="External"/><Relationship Id="rId8" Type="http://schemas.openxmlformats.org/officeDocument/2006/relationships/hyperlink" Target="https://www.wartsila.com/usa" TargetMode="External"/><Relationship Id="rId9" Type="http://schemas.openxmlformats.org/officeDocument/2006/relationships/hyperlink" Target="https://www.wartsila.com/usa/about/contact-us" TargetMode="External"/><Relationship Id="rId10" Type="http://schemas.openxmlformats.org/officeDocument/2006/relationships/hyperlink" Target="https://www.flexgen.com/" TargetMode="External"/><Relationship Id="rId11" Type="http://schemas.openxmlformats.org/officeDocument/2006/relationships/hyperlink" Target="https://www.flexgen.com/contact-us" TargetMode="External"/><Relationship Id="rId12" Type="http://schemas.openxmlformats.org/officeDocument/2006/relationships/hyperlink" Target="https://hithium.com/" TargetMode="External"/><Relationship Id="rId13" Type="http://schemas.openxmlformats.org/officeDocument/2006/relationships/hyperlink" Target="https://www.csisolar.com/e-storage/" TargetMode="External"/><Relationship Id="rId14" Type="http://schemas.openxmlformats.org/officeDocument/2006/relationships/hyperlink" Target="https://prevalonenergy.com/" TargetMode="External"/><Relationship Id="rId15" Type="http://schemas.openxmlformats.org/officeDocument/2006/relationships/hyperlink" Target="https://prevalonenergy.com/contact-us/" TargetMode="External"/><Relationship Id="rId16" Type="http://schemas.openxmlformats.org/officeDocument/2006/relationships/drawing" Target="../drawings/drawing9.xml"/><Relationship Id="rId17" Type="http://schemas.openxmlformats.org/officeDocument/2006/relationships/vmlDrawing" Target="../drawings/vmlDrawing9.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hyperlink" Target="https://www.hitachienergy.com/us/en" TargetMode="External"/><Relationship Id="rId3" Type="http://schemas.openxmlformats.org/officeDocument/2006/relationships/hyperlink" Target="https://www.eaton.com/us/en-us.html" TargetMode="External"/><Relationship Id="rId4" Type="http://schemas.openxmlformats.org/officeDocument/2006/relationships/hyperlink" Target="https://www.prolec.energy/" TargetMode="External"/><Relationship Id="rId5" Type="http://schemas.openxmlformats.org/officeDocument/2006/relationships/hyperlink" Target="https://www.weg.net/institutional/US/en/" TargetMode="External"/><Relationship Id="rId6" Type="http://schemas.openxmlformats.org/officeDocument/2006/relationships/hyperlink" Target="https://www.vatransformer.com/" TargetMode="External"/><Relationship Id="rId7" Type="http://schemas.openxmlformats.org/officeDocument/2006/relationships/hyperlink" Target="https://www.vatransformer.com/" TargetMode="External"/><Relationship Id="rId8" Type="http://schemas.openxmlformats.org/officeDocument/2006/relationships/hyperlink" Target="https://www.ermco-eci.com/" TargetMode="External"/><Relationship Id="rId9" Type="http://schemas.openxmlformats.org/officeDocument/2006/relationships/hyperlink" Target="https://www.ermco-eci.com/" TargetMode="External"/><Relationship Id="rId10" Type="http://schemas.openxmlformats.org/officeDocument/2006/relationships/hyperlink" Target="https://www.howard.com/" TargetMode="External"/><Relationship Id="rId11" Type="http://schemas.openxmlformats.org/officeDocument/2006/relationships/hyperlink" Target="https://www.maddox.com/" TargetMode="External"/><Relationship Id="rId12" Type="http://schemas.openxmlformats.org/officeDocument/2006/relationships/hyperlink" Target="https://www.maddox.com/contact" TargetMode="External"/><Relationship Id="rId13" Type="http://schemas.openxmlformats.org/officeDocument/2006/relationships/hyperlink" Target="https://www.jstpower.com/" TargetMode="External"/><Relationship Id="rId14" Type="http://schemas.openxmlformats.org/officeDocument/2006/relationships/hyperlink" Target="https://jstpower.com/contact/" TargetMode="External"/><Relationship Id="rId15" Type="http://schemas.openxmlformats.org/officeDocument/2006/relationships/hyperlink" Target="https://www.sunbeltsolomon.com/" TargetMode="External"/><Relationship Id="rId16" Type="http://schemas.openxmlformats.org/officeDocument/2006/relationships/hyperlink" Target="https://www.sunbeltsolomon.com/" TargetMode="External"/><Relationship Id="rId17" Type="http://schemas.openxmlformats.org/officeDocument/2006/relationships/drawing" Target="../drawings/drawing10.xml"/><Relationship Id="rId18" Type="http://schemas.openxmlformats.org/officeDocument/2006/relationships/vmlDrawing" Target="../drawings/vmlDrawing10.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hyperlink" Target="https://www.hitachienergy.com/us/en" TargetMode="External"/><Relationship Id="rId3" Type="http://schemas.openxmlformats.org/officeDocument/2006/relationships/hyperlink" Target="https://siemens-energy.com/us/en/home.html" TargetMode="External"/><Relationship Id="rId4" Type="http://schemas.openxmlformats.org/officeDocument/2006/relationships/hyperlink" Target="https://siemens-energy.com/us/en/home/products-services/product/dead-tank.html" TargetMode="External"/><Relationship Id="rId5" Type="http://schemas.openxmlformats.org/officeDocument/2006/relationships/hyperlink" Target="https://www.gevernova.com/grid-solutions/equipment/circuit-breakers/dead-tank-circuit-breakers" TargetMode="External"/><Relationship Id="rId6" Type="http://schemas.openxmlformats.org/officeDocument/2006/relationships/hyperlink" Target="https://www.meppi.com/" TargetMode="External"/><Relationship Id="rId7" Type="http://schemas.openxmlformats.org/officeDocument/2006/relationships/hyperlink" Target="https://www.meppi.com/contact-us" TargetMode="External"/><Relationship Id="rId8" Type="http://schemas.openxmlformats.org/officeDocument/2006/relationships/hyperlink" Target="https://www.hyosungheavyindustries.com/en/business/power-products/P010104" TargetMode="External"/><Relationship Id="rId9" Type="http://schemas.openxmlformats.org/officeDocument/2006/relationships/drawing" Target="../drawings/drawing11.xml"/><Relationship Id="rId10" Type="http://schemas.openxmlformats.org/officeDocument/2006/relationships/vmlDrawing" Target="../drawings/vmlDrawing11.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hyperlink" Target="https://www.eaton.com/us/en-us.html" TargetMode="External"/><Relationship Id="rId3" Type="http://schemas.openxmlformats.org/officeDocument/2006/relationships/hyperlink" Target="https://www.se.com/us/en/" TargetMode="External"/><Relationship Id="rId4" Type="http://schemas.openxmlformats.org/officeDocument/2006/relationships/hyperlink" Target="https://electrification.us.abb.com/" TargetMode="External"/><Relationship Id="rId5" Type="http://schemas.openxmlformats.org/officeDocument/2006/relationships/hyperlink" Target="https://www.siemens.com/us/en.html" TargetMode="External"/><Relationship Id="rId6" Type="http://schemas.openxmlformats.org/officeDocument/2006/relationships/hyperlink" Target="https://www.powellind.com/" TargetMode="External"/><Relationship Id="rId7" Type="http://schemas.openxmlformats.org/officeDocument/2006/relationships/hyperlink" Target="https://www.powellind.com/contact" TargetMode="External"/><Relationship Id="rId8" Type="http://schemas.openxmlformats.org/officeDocument/2006/relationships/hyperlink" Target="https://www.sandc.com/" TargetMode="External"/><Relationship Id="rId9" Type="http://schemas.openxmlformats.org/officeDocument/2006/relationships/hyperlink" Target="https://www.gwelectric.com/" TargetMode="External"/><Relationship Id="rId10" Type="http://schemas.openxmlformats.org/officeDocument/2006/relationships/drawing" Target="../drawings/drawing12.xml"/><Relationship Id="rId11" Type="http://schemas.openxmlformats.org/officeDocument/2006/relationships/vmlDrawing" Target="../drawings/vmlDrawing12.v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hyperlink" Target="https://www.mortenson.com/" TargetMode="External"/><Relationship Id="rId3" Type="http://schemas.openxmlformats.org/officeDocument/2006/relationships/hyperlink" Target="https://www.mortenson.com/contact" TargetMode="External"/><Relationship Id="rId4" Type="http://schemas.openxmlformats.org/officeDocument/2006/relationships/hyperlink" Target="https://www.mccarthy.com/" TargetMode="External"/><Relationship Id="rId5" Type="http://schemas.openxmlformats.org/officeDocument/2006/relationships/hyperlink" Target="https://www.mccarthy.com/contact-us" TargetMode="External"/><Relationship Id="rId6" Type="http://schemas.openxmlformats.org/officeDocument/2006/relationships/hyperlink" Target="https://www.blattnercompany.com/" TargetMode="External"/><Relationship Id="rId7" Type="http://schemas.openxmlformats.org/officeDocument/2006/relationships/hyperlink" Target="https://www.blattnercompany.com/contact" TargetMode="External"/><Relationship Id="rId8" Type="http://schemas.openxmlformats.org/officeDocument/2006/relationships/hyperlink" Target="https://www.burnsmcd.com/" TargetMode="External"/><Relationship Id="rId9" Type="http://schemas.openxmlformats.org/officeDocument/2006/relationships/hyperlink" Target="https://info.burnsmcd.com/contact-us" TargetMode="External"/><Relationship Id="rId10" Type="http://schemas.openxmlformats.org/officeDocument/2006/relationships/hyperlink" Target="https://www.prim.com/" TargetMode="External"/><Relationship Id="rId11" Type="http://schemas.openxmlformats.org/officeDocument/2006/relationships/hyperlink" Target="https://www.prim.com/contact" TargetMode="External"/><Relationship Id="rId12" Type="http://schemas.openxmlformats.org/officeDocument/2006/relationships/hyperlink" Target="https://www.rosendin.com/" TargetMode="External"/><Relationship Id="rId13" Type="http://schemas.openxmlformats.org/officeDocument/2006/relationships/hyperlink" Target="https://www.rosendin.com/contact/" TargetMode="External"/><Relationship Id="rId14" Type="http://schemas.openxmlformats.org/officeDocument/2006/relationships/hyperlink" Target="https://solvenergy.com/" TargetMode="External"/><Relationship Id="rId15" Type="http://schemas.openxmlformats.org/officeDocument/2006/relationships/hyperlink" Target="https://solvenergy.com/contact/" TargetMode="External"/><Relationship Id="rId16" Type="http://schemas.openxmlformats.org/officeDocument/2006/relationships/hyperlink" Target="https://www.mastec.com/" TargetMode="External"/><Relationship Id="rId17" Type="http://schemas.openxmlformats.org/officeDocument/2006/relationships/drawing" Target="../drawings/drawing13.xml"/><Relationship Id="rId18" Type="http://schemas.openxmlformats.org/officeDocument/2006/relationships/vmlDrawing" Target="../drawings/vmlDrawing13.v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hyperlink" Target="https://www.tesla.com/support/energy/tesla-software/autobidder" TargetMode="External"/><Relationship Id="rId3" Type="http://schemas.openxmlformats.org/officeDocument/2006/relationships/hyperlink" Target="https://www.tesla.com/contact" TargetMode="External"/><Relationship Id="rId4" Type="http://schemas.openxmlformats.org/officeDocument/2006/relationships/hyperlink" Target="https://fluenceenergy.com/" TargetMode="External"/><Relationship Id="rId5" Type="http://schemas.openxmlformats.org/officeDocument/2006/relationships/hyperlink" Target="https://fluenceenergy.com/contact/" TargetMode="External"/><Relationship Id="rId6" Type="http://schemas.openxmlformats.org/officeDocument/2006/relationships/hyperlink" Target="https://www.ascendanalytics.com/" TargetMode="External"/><Relationship Id="rId7" Type="http://schemas.openxmlformats.org/officeDocument/2006/relationships/hyperlink" Target="https://www.ascendanalytics.com/about-us/lets-connect" TargetMode="External"/><Relationship Id="rId8" Type="http://schemas.openxmlformats.org/officeDocument/2006/relationships/hyperlink" Target="https://www.pcienergysolutions.com/" TargetMode="External"/><Relationship Id="rId9" Type="http://schemas.openxmlformats.org/officeDocument/2006/relationships/hyperlink" Target="https://www.pcienergysolutions.com/contact-us/" TargetMode="External"/><Relationship Id="rId10" Type="http://schemas.openxmlformats.org/officeDocument/2006/relationships/hyperlink" Target="https://www.yesenergy.com/" TargetMode="External"/><Relationship Id="rId11" Type="http://schemas.openxmlformats.org/officeDocument/2006/relationships/hyperlink" Target="https://www.yesenergy.com/locations" TargetMode="External"/><Relationship Id="rId12" Type="http://schemas.openxmlformats.org/officeDocument/2006/relationships/hyperlink" Target="https://www.enverus.com/" TargetMode="External"/><Relationship Id="rId13" Type="http://schemas.openxmlformats.org/officeDocument/2006/relationships/hyperlink" Target="https://www.enverus.com/contact-us/" TargetMode="External"/><Relationship Id="rId14" Type="http://schemas.openxmlformats.org/officeDocument/2006/relationships/hyperlink" Target="https://www.powerfactors.com/" TargetMode="External"/><Relationship Id="rId15" Type="http://schemas.openxmlformats.org/officeDocument/2006/relationships/hyperlink" Target="https://www.powerfactors.com/contact" TargetMode="External"/><Relationship Id="rId16" Type="http://schemas.openxmlformats.org/officeDocument/2006/relationships/hyperlink" Target="https://www.habitat.energy/" TargetMode="External"/><Relationship Id="rId17" Type="http://schemas.openxmlformats.org/officeDocument/2006/relationships/hyperlink" Target="https://www.habitat.energy/contact" TargetMode="External"/><Relationship Id="rId18" Type="http://schemas.openxmlformats.org/officeDocument/2006/relationships/hyperlink" Target="https://www.tyba.ai/" TargetMode="External"/><Relationship Id="rId19" Type="http://schemas.openxmlformats.org/officeDocument/2006/relationships/hyperlink" Target="https://www.tyba.ai/contact/" TargetMode="External"/><Relationship Id="rId20" Type="http://schemas.openxmlformats.org/officeDocument/2006/relationships/hyperlink" Target="https://modoenergy.com/" TargetMode="External"/><Relationship Id="rId21" Type="http://schemas.openxmlformats.org/officeDocument/2006/relationships/hyperlink" Target="https://www.stem.com/" TargetMode="External"/><Relationship Id="rId22" Type="http://schemas.openxmlformats.org/officeDocument/2006/relationships/hyperlink" Target="https://www.stem.com/contact/" TargetMode="External"/><Relationship Id="rId23" Type="http://schemas.openxmlformats.org/officeDocument/2006/relationships/hyperlink" Target="https://www.tenaska.com/our-business/power-marketing/" TargetMode="External"/><Relationship Id="rId24" Type="http://schemas.openxmlformats.org/officeDocument/2006/relationships/hyperlink" Target="https://www.tenaska.com/contact-us/" TargetMode="External"/><Relationship Id="rId25" Type="http://schemas.openxmlformats.org/officeDocument/2006/relationships/drawing" Target="../drawings/drawing14.xml"/><Relationship Id="rId26" Type="http://schemas.openxmlformats.org/officeDocument/2006/relationships/vmlDrawing" Target="../drawings/vmlDrawing14.vml"/>
</Relationships>
</file>

<file path=xl/worksheets/_rels/sheet18.xml.rels><?xml version="1.0" encoding="UTF-8"?>
<Relationships xmlns="http://schemas.openxmlformats.org/package/2006/relationships"><Relationship Id="rId1" Type="http://schemas.openxmlformats.org/officeDocument/2006/relationships/hyperlink" Target="https://en.wikipedia.org/wiki/ERM_(consultancy)" TargetMode="External"/><Relationship Id="rId2" Type="http://schemas.openxmlformats.org/officeDocument/2006/relationships/hyperlink" Target="https://www.erm.com/locations/" TargetMode="External"/><Relationship Id="rId3" Type="http://schemas.openxmlformats.org/officeDocument/2006/relationships/hyperlink" Target="https://www.erm.com/contact-us/" TargetMode="External"/><Relationship Id="rId4" Type="http://schemas.openxmlformats.org/officeDocument/2006/relationships/hyperlink" Target="https://www.tetratech.com/contact/" TargetMode="External"/><Relationship Id="rId5" Type="http://schemas.openxmlformats.org/officeDocument/2006/relationships/hyperlink" Target="https://en.wikipedia.org/wiki/Tetra_Tech" TargetMode="External"/><Relationship Id="rId6" Type="http://schemas.openxmlformats.org/officeDocument/2006/relationships/hyperlink" Target="https://tetratech.com/en/united-states" TargetMode="External"/><Relationship Id="rId7" Type="http://schemas.openxmlformats.org/officeDocument/2006/relationships/hyperlink" Target="https://en.wikipedia.org/wiki/Stantec" TargetMode="External"/><Relationship Id="rId8" Type="http://schemas.openxmlformats.org/officeDocument/2006/relationships/hyperlink" Target="https://www.stantec.com/en/offices/united-states-locations/texas-offices" TargetMode="External"/><Relationship Id="rId9" Type="http://schemas.openxmlformats.org/officeDocument/2006/relationships/hyperlink" Target="https://www.stantec.com/en/offices/united-states-locations/texas-offices/houston-tx" TargetMode="External"/><Relationship Id="rId10" Type="http://schemas.openxmlformats.org/officeDocument/2006/relationships/hyperlink" Target="https://www.stantec.com/en/offices/united-states-locations/texas-offices/san-antonio-texas-office" TargetMode="External"/><Relationship Id="rId11" Type="http://schemas.openxmlformats.org/officeDocument/2006/relationships/hyperlink" Target="https://en.wikipedia.org/wiki/WSP_Global" TargetMode="External"/><Relationship Id="rId12" Type="http://schemas.openxmlformats.org/officeDocument/2006/relationships/hyperlink" Target="https://www.wsp.com/en-us/contact-us/offices/united-states/texas" TargetMode="External"/><Relationship Id="rId13" Type="http://schemas.openxmlformats.org/officeDocument/2006/relationships/hyperlink" Target="https://www.wsp.com/en-us/contact-us/offices" TargetMode="External"/><Relationship Id="rId14" Type="http://schemas.openxmlformats.org/officeDocument/2006/relationships/hyperlink" Target="https://www.globenewswire.com/news-release/2026/02/24/3243828/0/en/WSP-completes-acquisition-of-TRC.html" TargetMode="External"/><Relationship Id="rId15" Type="http://schemas.openxmlformats.org/officeDocument/2006/relationships/hyperlink" Target="https://www.terracon.com/contact/" TargetMode="External"/><Relationship Id="rId16" Type="http://schemas.openxmlformats.org/officeDocument/2006/relationships/hyperlink" Target="https://www.terracon.com/about/" TargetMode="External"/><Relationship Id="rId17" Type="http://schemas.openxmlformats.org/officeDocument/2006/relationships/hyperlink" Target="https://www.terracon.com/offices/austin/" TargetMode="External"/><Relationship Id="rId18" Type="http://schemas.openxmlformats.org/officeDocument/2006/relationships/hyperlink" Target="https://www.terracon.com/offices/houston/" TargetMode="External"/><Relationship Id="rId19" Type="http://schemas.openxmlformats.org/officeDocument/2006/relationships/hyperlink" Target="https://www.terracon.com/offices/san-antonio/" TargetMode="External"/><Relationship Id="rId20" Type="http://schemas.openxmlformats.org/officeDocument/2006/relationships/hyperlink" Target="https://www.terracon.com/offices/frisco/" TargetMode="External"/><Relationship Id="rId21" Type="http://schemas.openxmlformats.org/officeDocument/2006/relationships/hyperlink" Target="https://www.swca.com/contact" TargetMode="External"/><Relationship Id="rId22" Type="http://schemas.openxmlformats.org/officeDocument/2006/relationships/hyperlink" Target="https://www.swca.com/about" TargetMode="External"/><Relationship Id="rId23" Type="http://schemas.openxmlformats.org/officeDocument/2006/relationships/hyperlink" Target="https://www.swca.com/offices/phoenix-az/" TargetMode="External"/><Relationship Id="rId24" Type="http://schemas.openxmlformats.org/officeDocument/2006/relationships/hyperlink" Target="https://westwoodps.com/about-us/offices" TargetMode="External"/><Relationship Id="rId25" Type="http://schemas.openxmlformats.org/officeDocument/2006/relationships/hyperlink" Target="https://westwoodps.com/contact-us" TargetMode="External"/><Relationship Id="rId26" Type="http://schemas.openxmlformats.org/officeDocument/2006/relationships/hyperlink" Target="https://www.westwoodps.com/" TargetMode="External"/><Relationship Id="rId27" Type="http://schemas.openxmlformats.org/officeDocument/2006/relationships/hyperlink" Target="https://dallasinnovates.com/new-york-based-blackstone-makes-majority-investment-in-north-texas-westwood-professional-services" TargetMode="External"/><Relationship Id="rId28" Type="http://schemas.openxmlformats.org/officeDocument/2006/relationships/hyperlink" Target="https://www.hdrinc.com/contact-us" TargetMode="External"/><Relationship Id="rId29" Type="http://schemas.openxmlformats.org/officeDocument/2006/relationships/hyperlink" Target="https://en.wikipedia.org/wiki/HDR,_Inc." TargetMode="External"/><Relationship Id="rId30" Type="http://schemas.openxmlformats.org/officeDocument/2006/relationships/hyperlink" Target="https://www.hdrinc.com/locations/US/Texas/Austin" TargetMode="External"/><Relationship Id="rId31" Type="http://schemas.openxmlformats.org/officeDocument/2006/relationships/hyperlink" Target="https://www.hdrinc.com/locations/US/Texas/Houston" TargetMode="External"/><Relationship Id="rId32" Type="http://schemas.openxmlformats.org/officeDocument/2006/relationships/hyperlink" Target="https://en.wikipedia.org/wiki/Kimley-Horn" TargetMode="External"/><Relationship Id="rId33" Type="http://schemas.openxmlformats.org/officeDocument/2006/relationships/hyperlink" Target="https://www.kimley-horn.com/locations/?_state=texas" TargetMode="External"/><Relationship Id="rId34" Type="http://schemas.openxmlformats.org/officeDocument/2006/relationships/hyperlink" Target="https://www.kimley-horn.com/contact/" TargetMode="External"/><Relationship Id="rId35" Type="http://schemas.openxmlformats.org/officeDocument/2006/relationships/hyperlink" Target="https://westwoodps.com/about-us/offices" TargetMode="External"/><Relationship Id="rId36" Type="http://schemas.openxmlformats.org/officeDocument/2006/relationships/hyperlink" Target="https://www.westwoodps.com/" TargetMode="External"/><Relationship Id="rId37" Type="http://schemas.openxmlformats.org/officeDocument/2006/relationships/hyperlink" Target="https://dallasinnovates.com/new-york-based-blackstone-makes-majority-investment-in-north-texas-westwood-professional-services" TargetMode="External"/><Relationship Id="rId38" Type="http://schemas.openxmlformats.org/officeDocument/2006/relationships/hyperlink" Target="https://www.halff.com/contact/" TargetMode="External"/><Relationship Id="rId39" Type="http://schemas.openxmlformats.org/officeDocument/2006/relationships/hyperlink" Target="https://dallasinnovates.com/infrastructure-consulting-firm-halff-to-relocate-its-richardson-hq-to-bigger-digs-in-the-city/" TargetMode="External"/><Relationship Id="rId40" Type="http://schemas.openxmlformats.org/officeDocument/2006/relationships/hyperlink" Target="https://www.pape-dawson.com/contact" TargetMode="External"/><Relationship Id="rId41" Type="http://schemas.openxmlformats.org/officeDocument/2006/relationships/hyperlink" Target="https://www.pape-dawson.com/locations/" TargetMode="External"/><Relationship Id="rId42" Type="http://schemas.openxmlformats.org/officeDocument/2006/relationships/hyperlink" Target="https://www.pape-dawson.com/services/power-energy/" TargetMode="External"/><Relationship Id="rId43" Type="http://schemas.openxmlformats.org/officeDocument/2006/relationships/hyperlink" Target="https://www.privsource.com/acquisitions/deal/3AS2jb" TargetMode="External"/><Relationship Id="rId44" Type="http://schemas.openxmlformats.org/officeDocument/2006/relationships/hyperlink" Target="https://investors.bowman.com/" TargetMode="External"/><Relationship Id="rId45" Type="http://schemas.openxmlformats.org/officeDocument/2006/relationships/hyperlink" Target="https://investors.bowman.com/news-releases/news-release-details/bowman-consulting-group-enters-definitive-agreement-be-acquired" TargetMode="External"/><Relationship Id="rId46" Type="http://schemas.openxmlformats.org/officeDocument/2006/relationships/hyperlink" Target="https://bowman.com/texas/" TargetMode="External"/><Relationship Id="rId47" Type="http://schemas.openxmlformats.org/officeDocument/2006/relationships/hyperlink" Target="https://bowman.com/" TargetMode="External"/><Relationship Id="rId48" Type="http://schemas.openxmlformats.org/officeDocument/2006/relationships/hyperlink" Target="https://www.terracon.com/contact/" TargetMode="External"/><Relationship Id="rId49" Type="http://schemas.openxmlformats.org/officeDocument/2006/relationships/hyperlink" Target="https://www.terracon.com/about/" TargetMode="External"/><Relationship Id="rId50" Type="http://schemas.openxmlformats.org/officeDocument/2006/relationships/hyperlink" Target="https://www.terracon.com/locations/" TargetMode="External"/><Relationship Id="rId51" Type="http://schemas.openxmlformats.org/officeDocument/2006/relationships/hyperlink" Target="https://en.wikipedia.org/wiki/Burns_%26_McDonnell" TargetMode="External"/><Relationship Id="rId52" Type="http://schemas.openxmlformats.org/officeDocument/2006/relationships/hyperlink" Target="https://www.burnsmcd.com/about/locations" TargetMode="External"/><Relationship Id="rId53" Type="http://schemas.openxmlformats.org/officeDocument/2006/relationships/hyperlink" Target="https://www.burnsmcd.com/locations/houston" TargetMode="External"/><Relationship Id="rId54" Type="http://schemas.openxmlformats.org/officeDocument/2006/relationships/hyperlink" Target="https://www.burnsmcd.com/" TargetMode="External"/><Relationship Id="rId55" Type="http://schemas.openxmlformats.org/officeDocument/2006/relationships/hyperlink" Target="https://www.walterpmoore.com/about" TargetMode="External"/><Relationship Id="rId56" Type="http://schemas.openxmlformats.org/officeDocument/2006/relationships/hyperlink" Target="https://www.walterpmoore.com/contact" TargetMode="External"/><Relationship Id="rId57" Type="http://schemas.openxmlformats.org/officeDocument/2006/relationships/hyperlink" Target="https://www.walterpmoore.com/offices" TargetMode="External"/><Relationship Id="rId58" Type="http://schemas.openxmlformats.org/officeDocument/2006/relationships/hyperlink" Target="https://www.walterpmoore.com/about/history" TargetMode="External"/><Relationship Id="rId59" Type="http://schemas.openxmlformats.org/officeDocument/2006/relationships/hyperlink" Target="https://www.sargentlundy.com/contact-us" TargetMode="External"/><Relationship Id="rId60" Type="http://schemas.openxmlformats.org/officeDocument/2006/relationships/hyperlink" Target="https://www.sargentlundy.com/about/" TargetMode="External"/><Relationship Id="rId61" Type="http://schemas.openxmlformats.org/officeDocument/2006/relationships/hyperlink" Target="https://www.sargentlundy.com/projects/battery-energy-storage-project/" TargetMode="External"/><Relationship Id="rId62" Type="http://schemas.openxmlformats.org/officeDocument/2006/relationships/hyperlink" Target="https://en.wikipedia.org/wiki/Burns_%26_McDonnell" TargetMode="External"/><Relationship Id="rId63" Type="http://schemas.openxmlformats.org/officeDocument/2006/relationships/hyperlink" Target="https://www.burnsmcd.com/about/locations" TargetMode="External"/><Relationship Id="rId64" Type="http://schemas.openxmlformats.org/officeDocument/2006/relationships/hyperlink" Target="https://www.bv.com/contact-us" TargetMode="External"/><Relationship Id="rId65" Type="http://schemas.openxmlformats.org/officeDocument/2006/relationships/hyperlink" Target="https://en.wikipedia.org/wiki/Black_%26_Veatch" TargetMode="External"/><Relationship Id="rId66" Type="http://schemas.openxmlformats.org/officeDocument/2006/relationships/hyperlink" Target="https://www.bv.com/en-US/news/black-and-veatch-expands-team-in-houston-to-support-growth-in-the-human-critical-infrastructure-markets" TargetMode="External"/><Relationship Id="rId67" Type="http://schemas.openxmlformats.org/officeDocument/2006/relationships/hyperlink" Target="https://www.wsp.com/en-us/news/2024/wsp-completes-acquisition-of-power-engineers" TargetMode="External"/><Relationship Id="rId68" Type="http://schemas.openxmlformats.org/officeDocument/2006/relationships/hyperlink" Target="https://www.bennettjones.com/News/Client-Work/2024/10/WSP-Completes-Acquisition-of-Power-Engineers-for-US1-78-Billion" TargetMode="External"/><Relationship Id="rId69" Type="http://schemas.openxmlformats.org/officeDocument/2006/relationships/hyperlink" Target="https://en.wikipedia.org/wiki/WSP_Global" TargetMode="External"/><Relationship Id="rId70" Type="http://schemas.openxmlformats.org/officeDocument/2006/relationships/hyperlink" Target="http://www.powereng.com/press-releases/power-engineers-moving-its-houston-office-to-larger-space/" TargetMode="External"/><Relationship Id="rId71" Type="http://schemas.openxmlformats.org/officeDocument/2006/relationships/hyperlink" Target="https://www.powereng.com/library/power-opens-new-tyler-location/" TargetMode="External"/><Relationship Id="rId72" Type="http://schemas.openxmlformats.org/officeDocument/2006/relationships/hyperlink" Target="https://www.flpublicpower.com/associate-membership/electrical-consultants-inc" TargetMode="External"/><Relationship Id="rId73" Type="http://schemas.openxmlformats.org/officeDocument/2006/relationships/hyperlink" Target="https://www.utilitydive.com/press-release/20191011-electrical-consultants-inc-relay-application-innovation-inc-are-joini" TargetMode="External"/><Relationship Id="rId74" Type="http://schemas.openxmlformats.org/officeDocument/2006/relationships/hyperlink" Target="https://www.wsp.com/en-us/news/2024/wsp-completes-acquisition-of-power-engineers" TargetMode="External"/><Relationship Id="rId75" Type="http://schemas.openxmlformats.org/officeDocument/2006/relationships/hyperlink" Target="https://www.bennettjones.com/News/Client-Work/2024/10/WSP-Completes-Acquisition-of-Power-Engineers-for-US1-78-Billion" TargetMode="External"/><Relationship Id="rId76" Type="http://schemas.openxmlformats.org/officeDocument/2006/relationships/hyperlink" Target="https://www.powereng.com/library/power-opens-new-tyler-location/" TargetMode="External"/><Relationship Id="rId77" Type="http://schemas.openxmlformats.org/officeDocument/2006/relationships/hyperlink" Target="https://en.wikipedia.org/wiki/Burns_%26_McDonnell" TargetMode="External"/><Relationship Id="rId78" Type="http://schemas.openxmlformats.org/officeDocument/2006/relationships/hyperlink" Target="https://www.burnsmcd.com/about/locations" TargetMode="External"/><Relationship Id="rId79" Type="http://schemas.openxmlformats.org/officeDocument/2006/relationships/hyperlink" Target="https://www.burnsmcd.com/news/cps-energy-turnkey-grid-modernization" TargetMode="External"/><Relationship Id="rId80" Type="http://schemas.openxmlformats.org/officeDocument/2006/relationships/hyperlink" Target="https://www.sargentlundy.com/contact-us" TargetMode="External"/><Relationship Id="rId81" Type="http://schemas.openxmlformats.org/officeDocument/2006/relationships/hyperlink" Target="https://www.sargentlundy.com/about/" TargetMode="External"/><Relationship Id="rId82" Type="http://schemas.openxmlformats.org/officeDocument/2006/relationships/hyperlink" Target="https://www.sargentlundy.com/services/grid/" TargetMode="External"/><Relationship Id="rId83" Type="http://schemas.openxmlformats.org/officeDocument/2006/relationships/hyperlink" Target="https://www.bv.com/contact-us" TargetMode="External"/><Relationship Id="rId84" Type="http://schemas.openxmlformats.org/officeDocument/2006/relationships/hyperlink" Target="https://en.wikipedia.org/wiki/Black_%26_Veatch" TargetMode="External"/><Relationship Id="rId85" Type="http://schemas.openxmlformats.org/officeDocument/2006/relationships/hyperlink" Target="https://epeconsulting.com/contact" TargetMode="External"/><Relationship Id="rId86" Type="http://schemas.openxmlformats.org/officeDocument/2006/relationships/hyperlink" Target="https://www.epeconsulting.com/" TargetMode="External"/><Relationship Id="rId87" Type="http://schemas.openxmlformats.org/officeDocument/2006/relationships/hyperlink" Target="https://www.businesswire.com/news/home/20250107310148/en" TargetMode="External"/><Relationship Id="rId88" Type="http://schemas.openxmlformats.org/officeDocument/2006/relationships/hyperlink" Target="https://www.trccompanies.com/contact-us/" TargetMode="External"/><Relationship Id="rId89" Type="http://schemas.openxmlformats.org/officeDocument/2006/relationships/hyperlink" Target="https://www.globenewswire.com/news-release/2026/02/24/3243828/0/en/WSP-completes-acquisition-of-TRC.html" TargetMode="External"/><Relationship Id="rId90" Type="http://schemas.openxmlformats.org/officeDocument/2006/relationships/hyperlink" Target="https://en.wikipedia.org/wiki/WSP_Global" TargetMode="External"/><Relationship Id="rId91" Type="http://schemas.openxmlformats.org/officeDocument/2006/relationships/hyperlink" Target="https://www.leidos.com/markets/energy/texas" TargetMode="External"/><Relationship Id="rId92" Type="http://schemas.openxmlformats.org/officeDocument/2006/relationships/hyperlink" Target="https://en.wikipedia.org/wiki/Leidos" TargetMode="External"/><Relationship Id="rId93" Type="http://schemas.openxmlformats.org/officeDocument/2006/relationships/hyperlink" Target="https://careers.leidos.com/jobs/16634885-substation-engineering-supervisor" TargetMode="External"/><Relationship Id="rId94" Type="http://schemas.openxmlformats.org/officeDocument/2006/relationships/hyperlink" Target="https://www.flpublicpower.com/associate-membership/electrical-consultants-inc" TargetMode="External"/><Relationship Id="rId95" Type="http://schemas.openxmlformats.org/officeDocument/2006/relationships/hyperlink" Target="https://www.utilitydive.com/press-release/20191011-electrical-consultants-inc-relay-application-innovation-inc-are-joini" TargetMode="External"/><Relationship Id="rId96" Type="http://schemas.openxmlformats.org/officeDocument/2006/relationships/hyperlink" Target="https://www.jensenhughes.com/contact-us" TargetMode="External"/><Relationship Id="rId97" Type="http://schemas.openxmlformats.org/officeDocument/2006/relationships/hyperlink" Target="https://www.jensenhughes.com/services/lithium-ion-risk-consulting" TargetMode="External"/><Relationship Id="rId98" Type="http://schemas.openxmlformats.org/officeDocument/2006/relationships/hyperlink" Target="https://www.newmountaincapital.com/new-mountain-capital-to-acquire-jensen-hughes-taps-dr-hisham-mahmoud-to-serve-as-chairman-of-the-board/" TargetMode="External"/><Relationship Id="rId99" Type="http://schemas.openxmlformats.org/officeDocument/2006/relationships/hyperlink" Target="https://energyresponsegroup.com/" TargetMode="External"/><Relationship Id="rId100" Type="http://schemas.openxmlformats.org/officeDocument/2006/relationships/hyperlink" Target="https://www.energyresponsegroup.com/contact" TargetMode="External"/><Relationship Id="rId101" Type="http://schemas.openxmlformats.org/officeDocument/2006/relationships/hyperlink" Target="https://hillerfire.com/resources/esrg-capabilities" TargetMode="External"/><Relationship Id="rId102" Type="http://schemas.openxmlformats.org/officeDocument/2006/relationships/hyperlink" Target="https://members.renewablesassociation.ca/activememberdirectory/Details/esrg-energy-safety-response-group-3878060" TargetMode="External"/><Relationship Id="rId103" Type="http://schemas.openxmlformats.org/officeDocument/2006/relationships/hyperlink" Target="https://fireriskalliance.com/" TargetMode="External"/><Relationship Id="rId104" Type="http://schemas.openxmlformats.org/officeDocument/2006/relationships/hyperlink" Target="https://fireriskalliance.com/battery-energy-storage-systems/" TargetMode="External"/><Relationship Id="rId105" Type="http://schemas.openxmlformats.org/officeDocument/2006/relationships/hyperlink" Target="https://fireriskalliance.com/contact-us/" TargetMode="External"/><Relationship Id="rId106" Type="http://schemas.openxmlformats.org/officeDocument/2006/relationships/hyperlink" Target="https://www.telgian.com/contact/" TargetMode="External"/><Relationship Id="rId107" Type="http://schemas.openxmlformats.org/officeDocument/2006/relationships/hyperlink" Target="https://www.telgian.com/companies-services/telgian-engineering-consulting/locations/" TargetMode="External"/><Relationship Id="rId108" Type="http://schemas.openxmlformats.org/officeDocument/2006/relationships/hyperlink" Target="https://www.telgian.com/energy-storage-systems-fire-hazard-considerations-webinar/" TargetMode="External"/><Relationship Id="rId109" Type="http://schemas.openxmlformats.org/officeDocument/2006/relationships/hyperlink" Target="https://en.wikipedia.org/wiki/DNV" TargetMode="External"/><Relationship Id="rId110" Type="http://schemas.openxmlformats.org/officeDocument/2006/relationships/hyperlink" Target="https://jobs.dnv.com/locations/usa" TargetMode="External"/><Relationship Id="rId111" Type="http://schemas.openxmlformats.org/officeDocument/2006/relationships/hyperlink" Target="https://www.dnv.com/services/energy-storage-development-and-engineering-154224/" TargetMode="External"/><Relationship Id="rId112" Type="http://schemas.openxmlformats.org/officeDocument/2006/relationships/hyperlink" Target="https://www.dnv.com/Publications/quantitative-risk-analysis-for-battery-energy-storage-sites-154811/" TargetMode="External"/><Relationship Id="rId113" Type="http://schemas.openxmlformats.org/officeDocument/2006/relationships/hyperlink" Target="https://www.ul.com/services/ess-safety-assessment-and-nfpa-compliance" TargetMode="External"/><Relationship Id="rId114" Type="http://schemas.openxmlformats.org/officeDocument/2006/relationships/hyperlink" Target="https://www.ul.com/about/locations" TargetMode="External"/><Relationship Id="rId115" Type="http://schemas.openxmlformats.org/officeDocument/2006/relationships/hyperlink" Target="https://www.lw.com/en/news/2024/04/latham-watkins-represents-ul-solutions-inc-in-upsized-us1-08-billion-ipo" TargetMode="External"/><Relationship Id="rId116" Type="http://schemas.openxmlformats.org/officeDocument/2006/relationships/hyperlink" Target="https://www.exponent.com/offices/menlo-park" TargetMode="External"/><Relationship Id="rId117" Type="http://schemas.openxmlformats.org/officeDocument/2006/relationships/hyperlink" Target="https://www.exponent.com/capabilities/battery-energy-storage-systems-bess-consulting" TargetMode="External"/><Relationship Id="rId118" Type="http://schemas.openxmlformats.org/officeDocument/2006/relationships/hyperlink" Target="https://www.exponent.com/offices/houston" TargetMode="External"/><Relationship Id="rId119" Type="http://schemas.openxmlformats.org/officeDocument/2006/relationships/hyperlink" Target="https://en.wikipedia.org/wiki/Exponent_(consulting_firm)" TargetMode="External"/><Relationship Id="rId120" Type="http://schemas.openxmlformats.org/officeDocument/2006/relationships/hyperlink" Target="https://www.dnv.com/services/owner-s-engineering-for-energy-storage-63162" TargetMode="External"/><Relationship Id="rId121" Type="http://schemas.openxmlformats.org/officeDocument/2006/relationships/hyperlink" Target="https://www.dnv.us/contact/" TargetMode="External"/><Relationship Id="rId122" Type="http://schemas.openxmlformats.org/officeDocument/2006/relationships/hyperlink" Target="https://www.dnv.com/news/2026/dnvcompletes-strategy-period-with-solid-growth/" TargetMode="External"/><Relationship Id="rId123" Type="http://schemas.openxmlformats.org/officeDocument/2006/relationships/hyperlink" Target="https://en.wikipedia.org/wiki/DNV" TargetMode="External"/><Relationship Id="rId124" Type="http://schemas.openxmlformats.org/officeDocument/2006/relationships/hyperlink" Target="https://jobs.dnv.com/job-search/energy-systems/engineer/houston-tx-united-states-austin-tx-united-states-dallas-tx-united-states-medford-ma-united-states-oakland-ca-united-states-san-diego-ca-united-states-new-york-ny-united-states-portland-or-united-stat" TargetMode="External"/><Relationship Id="rId125" Type="http://schemas.openxmlformats.org/officeDocument/2006/relationships/hyperlink" Target="https://enertisapplus.com/" TargetMode="External"/><Relationship Id="rId126" Type="http://schemas.openxmlformats.org/officeDocument/2006/relationships/hyperlink" Target="https://enertisapplus.com/contact/" TargetMode="External"/><Relationship Id="rId127" Type="http://schemas.openxmlformats.org/officeDocument/2006/relationships/hyperlink" Target="https://www.tdrcapital.com/tdr-capital-v-acquires-applus/" TargetMode="External"/><Relationship Id="rId128" Type="http://schemas.openxmlformats.org/officeDocument/2006/relationships/hyperlink" Target="https://new.bv.com/news/black-and-veatch-appointed-as-owners-engineer-for-eccles-battery-storage-project-in-scotland" TargetMode="External"/><Relationship Id="rId129" Type="http://schemas.openxmlformats.org/officeDocument/2006/relationships/hyperlink" Target="https://www.bv.com/contact-us" TargetMode="External"/><Relationship Id="rId130" Type="http://schemas.openxmlformats.org/officeDocument/2006/relationships/hyperlink" Target="https://www.bv.com/news/black-and-veatch-expands-team-in-houston-to-support-growth-in-the-human-critical-infrastructure-markets" TargetMode="External"/><Relationship Id="rId131" Type="http://schemas.openxmlformats.org/officeDocument/2006/relationships/hyperlink" Target="https://www.bv.com/news/black-and-veatch-expands-construction-presence-in-texas-with-new-office" TargetMode="External"/><Relationship Id="rId132" Type="http://schemas.openxmlformats.org/officeDocument/2006/relationships/hyperlink" Target="https://careers.bv.com/job/Dallas-Consulting-Manager,-Asset-Management-TX-75201/1370757733" TargetMode="External"/><Relationship Id="rId133" Type="http://schemas.openxmlformats.org/officeDocument/2006/relationships/hyperlink" Target="https://en.wikipedia.org/wiki/Black_%26_Veatch" TargetMode="External"/><Relationship Id="rId134" Type="http://schemas.openxmlformats.org/officeDocument/2006/relationships/hyperlink" Target="https://www.sargentlundy.com/contact-us" TargetMode="External"/><Relationship Id="rId135" Type="http://schemas.openxmlformats.org/officeDocument/2006/relationships/hyperlink" Target="https://www.sargentlundy.com/about-us" TargetMode="External"/><Relationship Id="rId136" Type="http://schemas.openxmlformats.org/officeDocument/2006/relationships/hyperlink" Target="https://international-sargentlundy.icims.com/jobs/12396/senior-electrical-consultant----renewable-energy/job" TargetMode="External"/><Relationship Id="rId137" Type="http://schemas.openxmlformats.org/officeDocument/2006/relationships/hyperlink" Target="https://www.cea3.com/" TargetMode="External"/><Relationship Id="rId138" Type="http://schemas.openxmlformats.org/officeDocument/2006/relationships/hyperlink" Target="https://pv-tech.org/clean-energy-associates-acquired-by-british-quality-assurance-firm-intertek" TargetMode="External"/><Relationship Id="rId139" Type="http://schemas.openxmlformats.org/officeDocument/2006/relationships/hyperlink" Target="https://taiyangnews.info/business/britains-intertek-acquires-clean-energy-associates" TargetMode="External"/><Relationship Id="rId140" Type="http://schemas.openxmlformats.org/officeDocument/2006/relationships/hyperlink" Target="https://www.kimley-horn.com/services/energy-consulting/battery-energy-storage-systems-consulting/" TargetMode="External"/><Relationship Id="rId141" Type="http://schemas.openxmlformats.org/officeDocument/2006/relationships/hyperlink" Target="https://en.wikipedia.org/wiki/Kimley-Horn" TargetMode="External"/><Relationship Id="rId142" Type="http://schemas.openxmlformats.org/officeDocument/2006/relationships/hyperlink" Target="https://www.careerbuilder.com/job-details/practice-builder-electrical-renewable-energy-austin-tx--d6dd89db-7e48-4d3a-8285-046a97192aa7" TargetMode="External"/><Relationship Id="rId143" Type="http://schemas.openxmlformats.org/officeDocument/2006/relationships/hyperlink" Target="https://www.naturalpower.com/us/sector/energy-storage" TargetMode="External"/><Relationship Id="rId144" Type="http://schemas.openxmlformats.org/officeDocument/2006/relationships/hyperlink" Target="https://www.naturalpower.com/us/contact" TargetMode="External"/><Relationship Id="rId145" Type="http://schemas.openxmlformats.org/officeDocument/2006/relationships/hyperlink" Target="https://www.naturalpower.com/us/news-post/25-years-of-natural-power" TargetMode="External"/><Relationship Id="rId146" Type="http://schemas.openxmlformats.org/officeDocument/2006/relationships/hyperlink" Target="https://www.burnsmcd.com/" TargetMode="External"/><Relationship Id="rId147" Type="http://schemas.openxmlformats.org/officeDocument/2006/relationships/hyperlink" Target="https://www.burnsmcd.com/locations/kansas-city-mo?hsLang=en" TargetMode="External"/><Relationship Id="rId148" Type="http://schemas.openxmlformats.org/officeDocument/2006/relationships/hyperlink" Target="https://www.burnsmcd.com/about/locations" TargetMode="External"/><Relationship Id="rId149" Type="http://schemas.openxmlformats.org/officeDocument/2006/relationships/hyperlink" Target="https://www.burnsmcd.com/news/epc-contract-for-west-texas-storage-projects" TargetMode="External"/><Relationship Id="rId150" Type="http://schemas.openxmlformats.org/officeDocument/2006/relationships/hyperlink" Target="https://energy-storage.news/burns-mcdonnell-providing-epc-services-for-rwes-texas-waves-ii-bess" TargetMode="External"/><Relationship Id="rId151" Type="http://schemas.openxmlformats.org/officeDocument/2006/relationships/hyperlink" Target="https://www.sargentlundy.com/contact-us" TargetMode="External"/><Relationship Id="rId152" Type="http://schemas.openxmlformats.org/officeDocument/2006/relationships/hyperlink" Target="https://www.sargentlundy.com/about-us" TargetMode="External"/><Relationship Id="rId153" Type="http://schemas.openxmlformats.org/officeDocument/2006/relationships/hyperlink" Target="https://www.wsp.com/en-gl/investors/press-releases/details/WSP-Completes-Acquisition--of-POWER-Engineers/2956467/2024" TargetMode="External"/><Relationship Id="rId154" Type="http://schemas.openxmlformats.org/officeDocument/2006/relationships/hyperlink" Target="https://boisedev.com/news/2024/08/13/hailey-energy-consulting-firm-acquisition-planned-for-17-billion/" TargetMode="External"/><Relationship Id="rId155" Type="http://schemas.openxmlformats.org/officeDocument/2006/relationships/hyperlink" Target="https://www.theladders.com/job/substation-senior-project-engineer-wsp-fort-worth-tx_88141000" TargetMode="External"/><Relationship Id="rId156" Type="http://schemas.openxmlformats.org/officeDocument/2006/relationships/hyperlink" Target="https://www.westwoodps.com/" TargetMode="External"/><Relationship Id="rId157" Type="http://schemas.openxmlformats.org/officeDocument/2006/relationships/hyperlink" Target="https://westwoodps.com/about-us/offices" TargetMode="External"/><Relationship Id="rId158" Type="http://schemas.openxmlformats.org/officeDocument/2006/relationships/hyperlink" Target="https://www.businesswire.com/news/home/20240807897752/en/Blackstone-Energy-Transition-Partners-Announces-Majority-Investment-in-Westwood-Professional-Services-Inc.-Leading-Engineering-Consulting-Firm" TargetMode="External"/><Relationship Id="rId159" Type="http://schemas.openxmlformats.org/officeDocument/2006/relationships/hyperlink" Target="https://dallasinnovates.com/plano-based-westwood-acquires-californias-odell-engineering/" TargetMode="External"/><Relationship Id="rId160" Type="http://schemas.openxmlformats.org/officeDocument/2006/relationships/hyperlink" Target="https://new.bv.com/news/black-and-veatch-appointed-as-owners-engineer-for-eccles-battery-storage-project-in-scotland" TargetMode="External"/><Relationship Id="rId161" Type="http://schemas.openxmlformats.org/officeDocument/2006/relationships/hyperlink" Target="https://www.bv.com/news/black-and-veatch-to-build-200mwh-of-battery-energy-storage-solution-bess-in-the-uk" TargetMode="External"/><Relationship Id="rId162" Type="http://schemas.openxmlformats.org/officeDocument/2006/relationships/hyperlink" Target="https://en.wikipedia.org/wiki/Black_%26_Veatch" TargetMode="External"/><Relationship Id="rId163" Type="http://schemas.openxmlformats.org/officeDocument/2006/relationships/hyperlink" Target="https://www.kimley-horn.com/services/energy-consulting/battery-energy-storage-systems-consulting/" TargetMode="External"/><Relationship Id="rId164" Type="http://schemas.openxmlformats.org/officeDocument/2006/relationships/hyperlink" Target="https://en.wikipedia.org/wiki/Kimley-Horn" TargetMode="External"/><Relationship Id="rId165" Type="http://schemas.openxmlformats.org/officeDocument/2006/relationships/hyperlink" Target="https://bowman.com/services/battery-energy-storage-systems" TargetMode="External"/><Relationship Id="rId166" Type="http://schemas.openxmlformats.org/officeDocument/2006/relationships/hyperlink" Target="https://bowman.com/texas/" TargetMode="External"/><Relationship Id="rId167" Type="http://schemas.openxmlformats.org/officeDocument/2006/relationships/hyperlink" Target="https://www.sec.gov/Archives/edgar/data/1847590/000162828026015252/bwmn-20251231.htm" TargetMode="External"/><Relationship Id="rId168" Type="http://schemas.openxmlformats.org/officeDocument/2006/relationships/hyperlink" Target="https://www.nasdaq.com/press-release/bowman-acquires-rpt-alliance-broadens-energy-engineering-include-utility-scale-power" TargetMode="External"/><Relationship Id="rId169" Type="http://schemas.openxmlformats.org/officeDocument/2006/relationships/hyperlink" Target="https://www.dnv.com/services/independent-engineering-and-technical-due-diligence-63108/" TargetMode="External"/><Relationship Id="rId170" Type="http://schemas.openxmlformats.org/officeDocument/2006/relationships/hyperlink" Target="https://jobs.dnv.com/job-search/energy-systems/engineer/new-york-ny-united-states-austin-tx-united-states-houston-tx-united-states-chalfont-pa-united-states-medford-ma-united-states-seattle-wa-united-states-portland-me-united-states-portland-or-united-sta" TargetMode="External"/><Relationship Id="rId171" Type="http://schemas.openxmlformats.org/officeDocument/2006/relationships/hyperlink" Target="https://informedinfrastructure.com/index.php/post/enertis-applus-delivers-independent-engineering-expertise-to-texas-bess-projects-for-excelsior-energy-capital" TargetMode="External"/><Relationship Id="rId172" Type="http://schemas.openxmlformats.org/officeDocument/2006/relationships/hyperlink" Target="https://enertisapplus.com/contact/" TargetMode="External"/><Relationship Id="rId173" Type="http://schemas.openxmlformats.org/officeDocument/2006/relationships/hyperlink" Target="https://www.tdrcapital.com/tdr-capital-v-acquires-applus/" TargetMode="External"/><Relationship Id="rId174" Type="http://schemas.openxmlformats.org/officeDocument/2006/relationships/hyperlink" Target="https://www.infocastinc.com/2026-solar-wind-finance-investment-sponsors/leidos" TargetMode="External"/><Relationship Id="rId175" Type="http://schemas.openxmlformats.org/officeDocument/2006/relationships/hyperlink" Target="https://www.sec.gov/Archives/edgar/data/1336920/000133692025000006/ldos-20250103.htm" TargetMode="External"/><Relationship Id="rId176" Type="http://schemas.openxmlformats.org/officeDocument/2006/relationships/hyperlink" Target="https://www.leidos.com/contact" TargetMode="External"/><Relationship Id="rId177" Type="http://schemas.openxmlformats.org/officeDocument/2006/relationships/hyperlink" Target="https://sargentlundy.com/?p=12226" TargetMode="External"/><Relationship Id="rId178" Type="http://schemas.openxmlformats.org/officeDocument/2006/relationships/hyperlink" Target="https://www.sargentlundy.com/contact-us" TargetMode="External"/><Relationship Id="rId179" Type="http://schemas.openxmlformats.org/officeDocument/2006/relationships/hyperlink" Target="https://www.naturalpower.com/us/news/news-post/natural-power-appoints-head-of-independent-engineering-in-north-america" TargetMode="External"/><Relationship Id="rId180" Type="http://schemas.openxmlformats.org/officeDocument/2006/relationships/hyperlink" Target="https://www.naturalpower.com/us/contact" TargetMode="External"/><Relationship Id="rId181" Type="http://schemas.openxmlformats.org/officeDocument/2006/relationships/hyperlink" Target="https://www.naturalpower.com/us/sector/energy-storage" TargetMode="External"/><Relationship Id="rId182" Type="http://schemas.openxmlformats.org/officeDocument/2006/relationships/hyperlink" Target="https://www.builtinchicago.org/job/senior-project-engineer-energy-storage-advisory/9342322" TargetMode="External"/><Relationship Id="rId183" Type="http://schemas.openxmlformats.org/officeDocument/2006/relationships/hyperlink" Target="https://www.sec.gov/Archives/edgar/data/1901440/000190144026000005/uls-20251231.htm" TargetMode="External"/><Relationship Id="rId184" Type="http://schemas.openxmlformats.org/officeDocument/2006/relationships/hyperlink" Target="https://www.tesla.com/megapack" TargetMode="External"/><Relationship Id="rId185" Type="http://schemas.openxmlformats.org/officeDocument/2006/relationships/hyperlink" Target="https://news.metal.com/newscontent/104046720-tesla-starts-megapack-3-production-in-texas" TargetMode="External"/><Relationship Id="rId186" Type="http://schemas.openxmlformats.org/officeDocument/2006/relationships/hyperlink" Target="https://www.basenor.com/blogs/news/teslas-texas-megapack-factory-megapack-3-production-starts-2026" TargetMode="External"/><Relationship Id="rId187" Type="http://schemas.openxmlformats.org/officeDocument/2006/relationships/hyperlink" Target="https://www.nasdaq.com/press-release/fluence-energy-inc-reports-2025-financial-results-and-initiates-2026-guidance-2025-11" TargetMode="External"/><Relationship Id="rId188" Type="http://schemas.openxmlformats.org/officeDocument/2006/relationships/hyperlink" Target="https://finviz.com/news/67918/us-senator-john-curtis-visits-utah-manufacturing-facility-producing-fluence-battery-modules-highlights-energy-jobs-and-domestic-battery-supply-chain" TargetMode="External"/><Relationship Id="rId189" Type="http://schemas.openxmlformats.org/officeDocument/2006/relationships/hyperlink" Target="https://www.powermag.com/sungrow-introduces-new-solar-energy-storage-products-for-north-american-market/" TargetMode="External"/><Relationship Id="rId190" Type="http://schemas.openxmlformats.org/officeDocument/2006/relationships/hyperlink" Target="https://www.sungrowpower.com/us/en/about-us/contact-us" TargetMode="External"/><Relationship Id="rId191" Type="http://schemas.openxmlformats.org/officeDocument/2006/relationships/hyperlink" Target="https://lgcorp.com/media/release/28489" TargetMode="External"/><Relationship Id="rId192" Type="http://schemas.openxmlformats.org/officeDocument/2006/relationships/hyperlink" Target="https://energy-storage.news/lg-energy-solution-begins-lfp-and-nmc-bess-and-ev-cell-production-at-michigan-factory" TargetMode="External"/><Relationship Id="rId193" Type="http://schemas.openxmlformats.org/officeDocument/2006/relationships/hyperlink" Target="https://www.solarpowerworldonline.com/2025/06/lg-energy-solutions-opens-lfp-battery-cell-manufacturing-plant-in-michigan/" TargetMode="External"/><Relationship Id="rId194" Type="http://schemas.openxmlformats.org/officeDocument/2006/relationships/hyperlink" Target="https://www.solarpowerworldonline.com/2025/12/samsung-sdi-to-begin-lfp-battery-manufacturing-in-indiana/" TargetMode="External"/><Relationship Id="rId195" Type="http://schemas.openxmlformats.org/officeDocument/2006/relationships/hyperlink" Target="https://battery-news.de/en/2025/12/11/samsung-sdi-receives-billion-dollar-order-for-lfp-batteries-in-usa/" TargetMode="External"/><Relationship Id="rId196" Type="http://schemas.openxmlformats.org/officeDocument/2006/relationships/hyperlink" Target="https://energy-storage.news/wartsila-closes-strategic-review-of-energy-storage-segment-remains-committed-to-sector" TargetMode="External"/><Relationship Id="rId197" Type="http://schemas.openxmlformats.org/officeDocument/2006/relationships/hyperlink" Target="https://www.wartsila.com/usa/about/contact-us" TargetMode="External"/><Relationship Id="rId198" Type="http://schemas.openxmlformats.org/officeDocument/2006/relationships/hyperlink" Target="https://www.wartsila.com/media/news/04-09-2024-wartsila-introduces-quantum3-a-complete-high-density-ac-block-energy-storage-system-with-industry-leading-features-and-controls-3489850" TargetMode="External"/><Relationship Id="rId199" Type="http://schemas.openxmlformats.org/officeDocument/2006/relationships/hyperlink" Target="https://www.flexgen.com/resources/blog/flexgen-completes-acquisition-powin-assets-expanding-global-leadership-grid-scale" TargetMode="External"/><Relationship Id="rId200" Type="http://schemas.openxmlformats.org/officeDocument/2006/relationships/hyperlink" Target="https://www.businesswire.com/news/home/20250806799131/en/FlexGen-Expands-Global-Battery-Energy-Storage-Leadership-with-Court-Approval-of-Powin-Assets-Acquisition" TargetMode="External"/><Relationship Id="rId201" Type="http://schemas.openxmlformats.org/officeDocument/2006/relationships/hyperlink" Target="https://www.flexgen.com/contact-us" TargetMode="External"/><Relationship Id="rId202" Type="http://schemas.openxmlformats.org/officeDocument/2006/relationships/hyperlink" Target="https://dallasinnovates.com/hithium-opens-200m-battery-energy-storage-manufacturing-facility-in-north-texas/" TargetMode="External"/><Relationship Id="rId203" Type="http://schemas.openxmlformats.org/officeDocument/2006/relationships/hyperlink" Target="https://hithium.com/newsroom/latest/details/68.html" TargetMode="External"/><Relationship Id="rId204" Type="http://schemas.openxmlformats.org/officeDocument/2006/relationships/hyperlink" Target="https://www.ess-news.com/2025/12/01/canadian-solar-consolidates-us-manufacturing-under-parent-including-solar-and-storage/" TargetMode="External"/><Relationship Id="rId205" Type="http://schemas.openxmlformats.org/officeDocument/2006/relationships/hyperlink" Target="https://www.industrialinfo.com/iirenergy/industry-news/article/canadian-solar-sees-bess-as-bright-side-of-tough-quarter--361881" TargetMode="External"/><Relationship Id="rId206" Type="http://schemas.openxmlformats.org/officeDocument/2006/relationships/hyperlink" Target="https://www.csisolar.com/e-storage/" TargetMode="External"/><Relationship Id="rId207" Type="http://schemas.openxmlformats.org/officeDocument/2006/relationships/hyperlink" Target="https://uk.finance.yahoo.com/quote/CSIQ/profile" TargetMode="External"/><Relationship Id="rId208" Type="http://schemas.openxmlformats.org/officeDocument/2006/relationships/hyperlink" Target="https://www.businesswire.com/news/home/20260720085364/en/" TargetMode="External"/><Relationship Id="rId209" Type="http://schemas.openxmlformats.org/officeDocument/2006/relationships/hyperlink" Target="https://www.ess-news.com/2026/07/20/nextpower-completes-365-million-prevalon-energy-acquisition/" TargetMode="External"/><Relationship Id="rId210" Type="http://schemas.openxmlformats.org/officeDocument/2006/relationships/hyperlink" Target="https://prevalonenergy.com/" TargetMode="External"/><Relationship Id="rId211" Type="http://schemas.openxmlformats.org/officeDocument/2006/relationships/hyperlink" Target="https://www.publicpower.org/periodical/article/hitachi-energy-new-distribution-transformer-factory-serve-north-american-market" TargetMode="External"/><Relationship Id="rId212" Type="http://schemas.openxmlformats.org/officeDocument/2006/relationships/hyperlink" Target="https://www.datacenterdynamics.com/en/news/hitachi-energy-to-invest-1bn-into-us-grid-infrastructure-manufacturing-to-address-data-center-power-demand/" TargetMode="External"/><Relationship Id="rId213" Type="http://schemas.openxmlformats.org/officeDocument/2006/relationships/hyperlink" Target="https://hitachienergy.com/us/en/about-us/company-profile/pg-in-the-us" TargetMode="External"/><Relationship Id="rId214" Type="http://schemas.openxmlformats.org/officeDocument/2006/relationships/hyperlink" Target="https://www.businesswire.com/news/home/20250212663224/en" TargetMode="External"/><Relationship Id="rId215" Type="http://schemas.openxmlformats.org/officeDocument/2006/relationships/hyperlink" Target="https://www.tdworld.com/utility-business/news/55355616/ge-vernova-completes-acquisition-of-prolec-ge" TargetMode="External"/><Relationship Id="rId216" Type="http://schemas.openxmlformats.org/officeDocument/2006/relationships/hyperlink" Target="https://www.prolec.energy/news/prolec-ge-invests-an-additional-140-million-in-the-u-s-to-support-north-american-electric-grid-goals/" TargetMode="External"/><Relationship Id="rId217" Type="http://schemas.openxmlformats.org/officeDocument/2006/relationships/hyperlink" Target="https://www.areadevelopment.com/newsItems/9-27-2025/weg-washington-missouri.shtml" TargetMode="External"/><Relationship Id="rId218" Type="http://schemas.openxmlformats.org/officeDocument/2006/relationships/hyperlink" Target="https://theljc.com/projects/weg-transformers-usa" TargetMode="External"/><Relationship Id="rId219" Type="http://schemas.openxmlformats.org/officeDocument/2006/relationships/hyperlink" Target="https://www.vatransformer.com/" TargetMode="External"/><Relationship Id="rId220" Type="http://schemas.openxmlformats.org/officeDocument/2006/relationships/hyperlink" Target="https://www.utilitydive.com/press-release/20251120-virginia-transformer-to-expand-georgia-transformer-plant-in-rincon-ga-to/" TargetMode="External"/><Relationship Id="rId221" Type="http://schemas.openxmlformats.org/officeDocument/2006/relationships/hyperlink" Target="https://bnnbloomberg.ca/investing/2025/01/09/virginia-transformer-considers-6-billion-sale" TargetMode="External"/><Relationship Id="rId222" Type="http://schemas.openxmlformats.org/officeDocument/2006/relationships/hyperlink" Target="https://www.ermco-eci.com/" TargetMode="External"/><Relationship Id="rId223" Type="http://schemas.openxmlformats.org/officeDocument/2006/relationships/hyperlink" Target="https://www.cooperative.com/news/Pages/Transformer-Builder-ERMCO-to-Expand-Production-Into-Arizona-in-2027-as-Demand-Rises.aspx" TargetMode="External"/><Relationship Id="rId224" Type="http://schemas.openxmlformats.org/officeDocument/2006/relationships/hyperlink" Target="https://www.howard.com/INFO/news/2025/06/26/howard-industries-invests-over-230-million-to-expand-operations-across-mississippi.cfm" TargetMode="External"/><Relationship Id="rId225" Type="http://schemas.openxmlformats.org/officeDocument/2006/relationships/hyperlink" Target="https://www.howard.com/INFO/news/2026/05/08/howard-industries-announces-major-expansion-of-mexico-manufacturing-operations.cfm" TargetMode="External"/><Relationship Id="rId226" Type="http://schemas.openxmlformats.org/officeDocument/2006/relationships/hyperlink" Target="https://www.maddox.com/" TargetMode="External"/><Relationship Id="rId227" Type="http://schemas.openxmlformats.org/officeDocument/2006/relationships/hyperlink" Target="https://www.maddox.com/about" TargetMode="External"/><Relationship Id="rId228" Type="http://schemas.openxmlformats.org/officeDocument/2006/relationships/hyperlink" Target="https://www.businesswire.com/news/home/20260519751615/en/JST-Power-Equipment-Opens-Virginia-Transformer-Manufacturing-Facility-to-Support-Power-for-Utilities-and-Data-Center-Demand" TargetMode="External"/><Relationship Id="rId229" Type="http://schemas.openxmlformats.org/officeDocument/2006/relationships/hyperlink" Target="https://manufacturing-today.com/news/after-china-mexico-and-malaysia-jst-power-equipment-continues-its-expansion-with-a-new-us-factory-in-virginia/" TargetMode="External"/><Relationship Id="rId230" Type="http://schemas.openxmlformats.org/officeDocument/2006/relationships/hyperlink" Target="https://www.jstpower.com/" TargetMode="External"/><Relationship Id="rId231" Type="http://schemas.openxmlformats.org/officeDocument/2006/relationships/hyperlink" Target="https://www.sunbeltsolomon.com/" TargetMode="External"/><Relationship Id="rId232" Type="http://schemas.openxmlformats.org/officeDocument/2006/relationships/hyperlink" Target="https://sunbeltsolomon.com/about-us/" TargetMode="External"/><Relationship Id="rId233" Type="http://schemas.openxmlformats.org/officeDocument/2006/relationships/hyperlink" Target="https://trilanticnorthamerica.com/portfolio/sunbelt-solomon" TargetMode="External"/><Relationship Id="rId234" Type="http://schemas.openxmlformats.org/officeDocument/2006/relationships/hyperlink" Target="https://www.hitachienergy.com/products-and-solutions/high-voltage-switchgear-and-breakers/air-insulated-switchgear/dead-tank-circuit-breaker-362-420-kv" TargetMode="External"/><Relationship Id="rId235" Type="http://schemas.openxmlformats.org/officeDocument/2006/relationships/hyperlink" Target="https://www.hitachienergy.com/ch/it/news-and-events/press-releases/2025/04/hitachi-energy-boosts-pennsylvania-investments-to-more-than-70-million" TargetMode="External"/><Relationship Id="rId236" Type="http://schemas.openxmlformats.org/officeDocument/2006/relationships/hyperlink" Target="https://www.datacenterdynamics.com/en/news/hitachi-energy-to-invest-1bn-into-us-grid-infrastructure-manufacturing-to-address-data-center-power-demand/" TargetMode="External"/><Relationship Id="rId237" Type="http://schemas.openxmlformats.org/officeDocument/2006/relationships/hyperlink" Target="https://siemens-energy.com/us/en/home/products-services/product/dead-tank.html" TargetMode="External"/><Relationship Id="rId238" Type="http://schemas.openxmlformats.org/officeDocument/2006/relationships/hyperlink" Target="https://www.plantservices.com/industry-news/news/55355114/siemens-energy-announces-1-billion-for-mississippi-plant-us-expansions" TargetMode="External"/><Relationship Id="rId239" Type="http://schemas.openxmlformats.org/officeDocument/2006/relationships/hyperlink" Target="https://www.gevernova.com/grid-solutions/equipment/circuit-breakers/dead-tank-circuit-breakers" TargetMode="External"/><Relationship Id="rId240" Type="http://schemas.openxmlformats.org/officeDocument/2006/relationships/hyperlink" Target="https://www.gevernova.com/electrification/sites/default/files/resources/products/brochures/DT1-362-brochure-EN-N50281-Hybrid-202509-R003.pdf" TargetMode="External"/><Relationship Id="rId241" Type="http://schemas.openxmlformats.org/officeDocument/2006/relationships/hyperlink" Target="https://www.plantservices.com/industry-news/news/55399356/ge-vernova-invests-138-million-to-expand-power-transmission-manufacturing-facility-in-pennsylvania" TargetMode="External"/><Relationship Id="rId242" Type="http://schemas.openxmlformats.org/officeDocument/2006/relationships/hyperlink" Target="https://meppi.com/products/hv-gas-insulated-circuit-breakers" TargetMode="External"/><Relationship Id="rId243" Type="http://schemas.openxmlformats.org/officeDocument/2006/relationships/hyperlink" Target="https://pennbizreport.com/news/29602-new-manufacturing-factory-facility-upgrades-planned-for-western-pennsylvania-with-86m-investment/" TargetMode="External"/><Relationship Id="rId244" Type="http://schemas.openxmlformats.org/officeDocument/2006/relationships/hyperlink" Target="https://www.koreatimes.co.kr/business/companies/20260918/hyosung-heavy-industries-forms-us-joint-venture-to-make-high-voltage-circuit-breakers" TargetMode="External"/><Relationship Id="rId245" Type="http://schemas.openxmlformats.org/officeDocument/2006/relationships/hyperlink" Target="https://switchgear-magazine.com/news/business/hyosung-targets-25-us-gcb-share/" TargetMode="External"/><Relationship Id="rId246" Type="http://schemas.openxmlformats.org/officeDocument/2006/relationships/hyperlink" Target="https://www.actionnews5.com/2025/11/12/hyosung-hico-expands-again-bringing-240-new-jobs-memphis" TargetMode="External"/><Relationship Id="rId247" Type="http://schemas.openxmlformats.org/officeDocument/2006/relationships/hyperlink" Target="https://transformer-technology.com/hd-hyundai-electric-expands-us-grid-presence-with-119-million-contract/" TargetMode="External"/><Relationship Id="rId248" Type="http://schemas.openxmlformats.org/officeDocument/2006/relationships/hyperlink" Target="https://eaton.com/us/en-us/catalog/medium-voltage-power-distribution-control-systems/vacclad-w-38-kv-metal-clad-medium-voltage-switchgear.html" TargetMode="External"/><Relationship Id="rId249" Type="http://schemas.openxmlformats.org/officeDocument/2006/relationships/hyperlink" Target="https://www.businesswire.com/news/home/20250212663224/en" TargetMode="External"/><Relationship Id="rId250" Type="http://schemas.openxmlformats.org/officeDocument/2006/relationships/hyperlink" Target="https://www.se.com/us/en/about-us/newsroom/news/press-releases/Schneider-Electric-Opens-New-Energy-Manufacturing-Facility-in-Middle-Tennessee-68d6a8ba1686eb8d4d047558" TargetMode="External"/><Relationship Id="rId251" Type="http://schemas.openxmlformats.org/officeDocument/2006/relationships/hyperlink" Target="https://www.plantengineering.com/schneider-electric-moves-corporate-hq-to-massachusetts/" TargetMode="External"/><Relationship Id="rId252" Type="http://schemas.openxmlformats.org/officeDocument/2006/relationships/hyperlink" Target="https://new.abb.com/news/detail/129047/abb-to-invest-us110-million-in-us-manufacturing" TargetMode="External"/><Relationship Id="rId253" Type="http://schemas.openxmlformats.org/officeDocument/2006/relationships/hyperlink" Target="https://assets.new.siemens.com/siemens/assets/api/uuid:49344958-3e1b-4282-ac76-e1c7fa185d32/ansi-mv-ovcb-sdv7-flyer-en.pdf" TargetMode="External"/><Relationship Id="rId254" Type="http://schemas.openxmlformats.org/officeDocument/2006/relationships/hyperlink" Target="https://www.keranews.org/business-economy/2025-03-07/siemens-opens-190m-plant-in-south-fort-worth-adding-800-jobs-by-2026/" TargetMode="External"/><Relationship Id="rId255" Type="http://schemas.openxmlformats.org/officeDocument/2006/relationships/hyperlink" Target="https://powellindustriesinc.gcs-web.com/news-releases/news-release-details/powell-industries-announces-fourth-quarter-and-full-year-0" TargetMode="External"/><Relationship Id="rId256" Type="http://schemas.openxmlformats.org/officeDocument/2006/relationships/hyperlink" Target="https://www.powellind.com/" TargetMode="External"/><Relationship Id="rId257" Type="http://schemas.openxmlformats.org/officeDocument/2006/relationships/hyperlink" Target="https://www.sandc.com/en/company/" TargetMode="External"/><Relationship Id="rId258" Type="http://schemas.openxmlformats.org/officeDocument/2006/relationships/hyperlink" Target="https://www.renewableenergyworld.com/power-grid/sc-electric-expanding-manufacturing-facilities-to-meet-growing-demand/" TargetMode="External"/><Relationship Id="rId259" Type="http://schemas.openxmlformats.org/officeDocument/2006/relationships/hyperlink" Target="https://www.gwelectric.com/about/" TargetMode="External"/><Relationship Id="rId260" Type="http://schemas.openxmlformats.org/officeDocument/2006/relationships/hyperlink" Target="https://engineering.lehigh.edu/node/169459" TargetMode="External"/><Relationship Id="rId261" Type="http://schemas.openxmlformats.org/officeDocument/2006/relationships/hyperlink" Target="https://www.gwelectric.com/news/gw-electric-acquires-veneta-isolatori-spa/" TargetMode="External"/><Relationship Id="rId262" Type="http://schemas.openxmlformats.org/officeDocument/2006/relationships/hyperlink" Target="https://www.mortenson.com/projects/revolution-energy-storage" TargetMode="External"/><Relationship Id="rId263" Type="http://schemas.openxmlformats.org/officeDocument/2006/relationships/hyperlink" Target="https://www.mortenson.com/contact" TargetMode="External"/><Relationship Id="rId264" Type="http://schemas.openxmlformats.org/officeDocument/2006/relationships/hyperlink" Target="https://www.solarpowerworldonline.com/2026-top-solar-storage-installers/" TargetMode="External"/><Relationship Id="rId265" Type="http://schemas.openxmlformats.org/officeDocument/2006/relationships/hyperlink" Target="https://www.mccarthy.com/locations/st-louis" TargetMode="External"/><Relationship Id="rId266" Type="http://schemas.openxmlformats.org/officeDocument/2006/relationships/hyperlink" Target="https://www.mccarthy.com/locations" TargetMode="External"/><Relationship Id="rId267" Type="http://schemas.openxmlformats.org/officeDocument/2006/relationships/hyperlink" Target="https://www.mccarthy.com/about" TargetMode="External"/><Relationship Id="rId268" Type="http://schemas.openxmlformats.org/officeDocument/2006/relationships/hyperlink" Target="https://www.solarpowerworldonline.com/2026-top-solar-storage-installers/" TargetMode="External"/><Relationship Id="rId269" Type="http://schemas.openxmlformats.org/officeDocument/2006/relationships/hyperlink" Target="https://www.quantaservices.com/companies/blattner" TargetMode="External"/><Relationship Id="rId270" Type="http://schemas.openxmlformats.org/officeDocument/2006/relationships/hyperlink" Target="https://www.blattnercompany.com/contact" TargetMode="External"/><Relationship Id="rId271" Type="http://schemas.openxmlformats.org/officeDocument/2006/relationships/hyperlink" Target="https://www.quantaservices.com/quanta-services-completes-the-previously-announced-acquisition-of-blattner/" TargetMode="External"/><Relationship Id="rId272" Type="http://schemas.openxmlformats.org/officeDocument/2006/relationships/hyperlink" Target="https://www.solarpowerworldonline.com/2026-top-solar-storage-installers/" TargetMode="External"/><Relationship Id="rId273" Type="http://schemas.openxmlformats.org/officeDocument/2006/relationships/hyperlink" Target="https://www.burnsmcd.com/news/epc-contract-for-west-texas-storage-projects" TargetMode="External"/><Relationship Id="rId274" Type="http://schemas.openxmlformats.org/officeDocument/2006/relationships/hyperlink" Target="https://energy-storage.news/burns-mcdonnell-providing-epc-services-for-rwes-texas-waves-ii-bess" TargetMode="External"/><Relationship Id="rId275" Type="http://schemas.openxmlformats.org/officeDocument/2006/relationships/hyperlink" Target="https://www.burnsmcd.com/about/locations" TargetMode="External"/><Relationship Id="rId276" Type="http://schemas.openxmlformats.org/officeDocument/2006/relationships/hyperlink" Target="https://www.prim.com/contact" TargetMode="External"/><Relationship Id="rId277" Type="http://schemas.openxmlformats.org/officeDocument/2006/relationships/hyperlink" Target="https://www.sec.gov/Archives/edgar/data/1361538/000136153826000007/prim-20260217xex99.htm" TargetMode="External"/><Relationship Id="rId278" Type="http://schemas.openxmlformats.org/officeDocument/2006/relationships/hyperlink" Target="https://www.solarpowerworldonline.com/2026-top-solar-storage-installers/" TargetMode="External"/><Relationship Id="rId279" Type="http://schemas.openxmlformats.org/officeDocument/2006/relationships/hyperlink" Target="https://www.rosendin.com/contact/" TargetMode="External"/><Relationship Id="rId280" Type="http://schemas.openxmlformats.org/officeDocument/2006/relationships/hyperlink" Target="https://www.rosendin.com/contact/office-locations/" TargetMode="External"/><Relationship Id="rId281" Type="http://schemas.openxmlformats.org/officeDocument/2006/relationships/hyperlink" Target="https://www.rosendin.com/company/history/" TargetMode="External"/><Relationship Id="rId282" Type="http://schemas.openxmlformats.org/officeDocument/2006/relationships/hyperlink" Target="https://solvenergy.com/contact/" TargetMode="External"/><Relationship Id="rId283" Type="http://schemas.openxmlformats.org/officeDocument/2006/relationships/hyperlink" Target="https://www.renaissancecapital.com/IPO-Center/News/116914/american-securities-solar-project-builder-solv-energy-prices-ipo-at-25" TargetMode="External"/><Relationship Id="rId284" Type="http://schemas.openxmlformats.org/officeDocument/2006/relationships/hyperlink" Target="https://www.solarpowerworldonline.com/2026-top-solar-storage-installers/" TargetMode="External"/><Relationship Id="rId285" Type="http://schemas.openxmlformats.org/officeDocument/2006/relationships/hyperlink" Target="https://mastec.com/expertise/clean-energy-and-infrastructure/renewables.html" TargetMode="External"/><Relationship Id="rId286" Type="http://schemas.openxmlformats.org/officeDocument/2006/relationships/hyperlink" Target="https://investors.mastec.com/node/17776" TargetMode="External"/><Relationship Id="rId287" Type="http://schemas.openxmlformats.org/officeDocument/2006/relationships/hyperlink" Target="https://www.inforum.com/business/announcements/wanzek-rebrands-as-mastec-reflecting-continued-growth-and-commitment-5c42027021e12668ac8da793-66b4eefa6dbc50000e3b385e" TargetMode="External"/><Relationship Id="rId288" Type="http://schemas.openxmlformats.org/officeDocument/2006/relationships/hyperlink" Target="https://www.sec.gov/Archives/edgar/data/15615/000001561526000020/mtz-20251231.htm" TargetMode="External"/><Relationship Id="rId289" Type="http://schemas.openxmlformats.org/officeDocument/2006/relationships/hyperlink" Target="https://www.tesla.com/support/energy/tesla-software/autobidder" TargetMode="External"/><Relationship Id="rId290" Type="http://schemas.openxmlformats.org/officeDocument/2006/relationships/hyperlink" Target="https://www.tesla.com/contact" TargetMode="External"/><Relationship Id="rId291" Type="http://schemas.openxmlformats.org/officeDocument/2006/relationships/hyperlink" Target="https://fluenceenergy.com/contact/" TargetMode="External"/><Relationship Id="rId292" Type="http://schemas.openxmlformats.org/officeDocument/2006/relationships/hyperlink" Target="https://www.nasdaq.com/press-release/fluence-mosaic-intelligent-bidding-software-for-energy-storage-systems-expands-into" TargetMode="External"/><Relationship Id="rId293" Type="http://schemas.openxmlformats.org/officeDocument/2006/relationships/hyperlink" Target="https://ir.fluenceenergy.com/news-releases/news-release-details/fluence-announces-agreement-acquire-ai-enabled-software-service" TargetMode="External"/><Relationship Id="rId294" Type="http://schemas.openxmlformats.org/officeDocument/2006/relationships/hyperlink" Target="https://www.ascendanalytics.com/" TargetMode="External"/><Relationship Id="rId295" Type="http://schemas.openxmlformats.org/officeDocument/2006/relationships/hyperlink" Target="https://www.ascendanalytics.com/about-us/lets-connect" TargetMode="External"/><Relationship Id="rId296" Type="http://schemas.openxmlformats.org/officeDocument/2006/relationships/hyperlink" Target="https://www.ascendanalytics.com/blog/ascend-analytics-announces-strategic-growth-investment" TargetMode="External"/><Relationship Id="rId297" Type="http://schemas.openxmlformats.org/officeDocument/2006/relationships/hyperlink" Target="https://www.pcienergysolutions.com/contact-us/" TargetMode="External"/><Relationship Id="rId298" Type="http://schemas.openxmlformats.org/officeDocument/2006/relationships/hyperlink" Target="https://www.pcienergysolutions.com/" TargetMode="External"/><Relationship Id="rId299" Type="http://schemas.openxmlformats.org/officeDocument/2006/relationships/hyperlink" Target="https://www.mitsubishielectric.com/en/pr/2026/pdf/0820_ei1.pdf" TargetMode="External"/><Relationship Id="rId300" Type="http://schemas.openxmlformats.org/officeDocument/2006/relationships/hyperlink" Target="https://www.yesenergy.com/" TargetMode="External"/><Relationship Id="rId301" Type="http://schemas.openxmlformats.org/officeDocument/2006/relationships/hyperlink" Target="https://www.yesenergy.com/locations" TargetMode="External"/><Relationship Id="rId302" Type="http://schemas.openxmlformats.org/officeDocument/2006/relationships/hyperlink" Target="https://www.accel-kkr.com/portfolio-company/yes-energy/" TargetMode="External"/><Relationship Id="rId303" Type="http://schemas.openxmlformats.org/officeDocument/2006/relationships/hyperlink" Target="https://www.enverus.com/contact-us/" TargetMode="External"/><Relationship Id="rId304" Type="http://schemas.openxmlformats.org/officeDocument/2006/relationships/hyperlink" Target="https://www.enverus.com/" TargetMode="External"/><Relationship Id="rId305" Type="http://schemas.openxmlformats.org/officeDocument/2006/relationships/hyperlink" Target="https://www.businesswire.com/news/home/20250805990991/en/Blackstone-Announces-Agreement-to-Acquire-Enverus" TargetMode="External"/><Relationship Id="rId306" Type="http://schemas.openxmlformats.org/officeDocument/2006/relationships/hyperlink" Target="https://www.renewableenergyworld.com/energy-business/energy-finance/blackstone-to-acquire-energy-data-analytics-firm-in-6-5b-deal/" TargetMode="External"/><Relationship Id="rId307" Type="http://schemas.openxmlformats.org/officeDocument/2006/relationships/hyperlink" Target="https://www.powerfactors.com/about" TargetMode="External"/><Relationship Id="rId308" Type="http://schemas.openxmlformats.org/officeDocument/2006/relationships/hyperlink" Target="https://www.powerfactors.com/contact-us" TargetMode="External"/><Relationship Id="rId309" Type="http://schemas.openxmlformats.org/officeDocument/2006/relationships/hyperlink" Target="https://www.williamblair.com/News/Power-Factors-and-Vista-Equity-Partners-Transaction" TargetMode="External"/><Relationship Id="rId310" Type="http://schemas.openxmlformats.org/officeDocument/2006/relationships/hyperlink" Target="https://www.habitat.energy/contact" TargetMode="External"/><Relationship Id="rId311" Type="http://schemas.openxmlformats.org/officeDocument/2006/relationships/hyperlink" Target="https://www.businesswire.com/news/home/20240502931363/en/Habitat-Energy-to-optimize-UBS-Asset-Management&#8217;s-730MW-ERCOT-battery-storage-portfolio" TargetMode="External"/><Relationship Id="rId312" Type="http://schemas.openxmlformats.org/officeDocument/2006/relationships/hyperlink" Target="https://www.tyba.ai/" TargetMode="External"/><Relationship Id="rId313" Type="http://schemas.openxmlformats.org/officeDocument/2006/relationships/hyperlink" Target="https://www.tyba.ai/contact/" TargetMode="External"/><Relationship Id="rId314" Type="http://schemas.openxmlformats.org/officeDocument/2006/relationships/hyperlink" Target="https://batterypoweronline.com/view-press-releases/entry/5380" TargetMode="External"/><Relationship Id="rId315" Type="http://schemas.openxmlformats.org/officeDocument/2006/relationships/hyperlink" Target="https://modoenergy.com/" TargetMode="External"/><Relationship Id="rId316" Type="http://schemas.openxmlformats.org/officeDocument/2006/relationships/hyperlink" Target="https://www.ess-news.com/2025/12/03/modo-energy-raises-33m-and-sets-out-ai-ambitions/" TargetMode="External"/><Relationship Id="rId317" Type="http://schemas.openxmlformats.org/officeDocument/2006/relationships/hyperlink" Target="https://mmc.vc/mmc-leads-15-million-series-a-for-modo-energy/" TargetMode="External"/><Relationship Id="rId318" Type="http://schemas.openxmlformats.org/officeDocument/2006/relationships/hyperlink" Target="https://www.stem.com/contact/" TargetMode="External"/><Relationship Id="rId319" Type="http://schemas.openxmlformats.org/officeDocument/2006/relationships/hyperlink" Target="https://www.businesswire.com/news/home/20250909722132/en/Stem-Inc.-Letter-to-Shareholders-Reflecting-on-our-journey-of-strategic-realignment" TargetMode="External"/><Relationship Id="rId320" Type="http://schemas.openxmlformats.org/officeDocument/2006/relationships/hyperlink" Target="https://www.tenaska.com/our-business/power-marketing/" TargetMode="External"/><Relationship Id="rId321" Type="http://schemas.openxmlformats.org/officeDocument/2006/relationships/hyperlink" Target="https://www.tenaska.com/contact-us/" TargetMode="External"/><Relationship Id="rId322" Type="http://schemas.openxmlformats.org/officeDocument/2006/relationships/hyperlink" Target="https://www.tenaska.com/" TargetMode="External"/><Relationship Id="rId323" Type="http://schemas.openxmlformats.org/officeDocument/2006/relationships/drawing" Target="../drawings/drawing1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B4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23.85" hidden="false" customHeight="false" outlineLevel="0" collapsed="false">
      <c r="A5" s="5" t="s">
        <v>3</v>
      </c>
      <c r="B5" s="6" t="s">
        <v>4</v>
      </c>
    </row>
    <row r="6" customFormat="false" ht="15" hidden="false" customHeight="false" outlineLevel="0" collapsed="false">
      <c r="A6" s="5" t="s">
        <v>5</v>
      </c>
      <c r="B6" s="6" t="s">
        <v>6</v>
      </c>
    </row>
    <row r="8" customFormat="false" ht="15" hidden="false" customHeight="false" outlineLevel="0" collapsed="false">
      <c r="A8" s="3" t="s">
        <v>7</v>
      </c>
      <c r="B8" s="4"/>
    </row>
    <row r="9" customFormat="false" ht="15" hidden="false" customHeight="false" outlineLevel="0" collapsed="false">
      <c r="A9" s="5" t="s">
        <v>8</v>
      </c>
      <c r="B9" s="6" t="s">
        <v>9</v>
      </c>
    </row>
    <row r="10" customFormat="false" ht="15" hidden="false" customHeight="false" outlineLevel="0" collapsed="false">
      <c r="A10" s="5" t="s">
        <v>10</v>
      </c>
      <c r="B10" s="6" t="s">
        <v>11</v>
      </c>
    </row>
    <row r="11" customFormat="false" ht="15" hidden="false" customHeight="false" outlineLevel="0" collapsed="false">
      <c r="A11" s="5" t="s">
        <v>12</v>
      </c>
      <c r="B11" s="6" t="s">
        <v>13</v>
      </c>
    </row>
    <row r="12" customFormat="false" ht="23.85" hidden="false" customHeight="false" outlineLevel="0" collapsed="false">
      <c r="A12" s="5" t="s">
        <v>14</v>
      </c>
      <c r="B12" s="6" t="s">
        <v>15</v>
      </c>
    </row>
    <row r="13" customFormat="false" ht="23.85" hidden="false" customHeight="false" outlineLevel="0" collapsed="false">
      <c r="A13" s="5" t="s">
        <v>16</v>
      </c>
      <c r="B13" s="6" t="s">
        <v>17</v>
      </c>
    </row>
    <row r="15" customFormat="false" ht="15" hidden="false" customHeight="false" outlineLevel="0" collapsed="false">
      <c r="A15" s="3" t="s">
        <v>18</v>
      </c>
      <c r="B15" s="4"/>
    </row>
    <row r="16" customFormat="false" ht="15" hidden="false" customHeight="false" outlineLevel="0" collapsed="false">
      <c r="A16" s="5" t="s">
        <v>19</v>
      </c>
      <c r="B16" s="6" t="s">
        <v>20</v>
      </c>
    </row>
    <row r="17" customFormat="false" ht="15" hidden="false" customHeight="false" outlineLevel="0" collapsed="false">
      <c r="A17" s="5" t="s">
        <v>21</v>
      </c>
      <c r="B17" s="6" t="s">
        <v>22</v>
      </c>
    </row>
    <row r="18" customFormat="false" ht="15" hidden="false" customHeight="false" outlineLevel="0" collapsed="false">
      <c r="A18" s="5" t="s">
        <v>23</v>
      </c>
      <c r="B18" s="6" t="s">
        <v>24</v>
      </c>
    </row>
    <row r="19" customFormat="false" ht="15" hidden="false" customHeight="false" outlineLevel="0" collapsed="false">
      <c r="A19" s="5" t="s">
        <v>25</v>
      </c>
      <c r="B19" s="6" t="s">
        <v>26</v>
      </c>
    </row>
    <row r="20" customFormat="false" ht="15" hidden="false" customHeight="false" outlineLevel="0" collapsed="false">
      <c r="A20" s="5" t="s">
        <v>27</v>
      </c>
      <c r="B20" s="6" t="s">
        <v>28</v>
      </c>
    </row>
    <row r="21" customFormat="false" ht="15" hidden="false" customHeight="false" outlineLevel="0" collapsed="false">
      <c r="A21" s="5" t="s">
        <v>29</v>
      </c>
      <c r="B21" s="6" t="s">
        <v>30</v>
      </c>
    </row>
    <row r="23" customFormat="false" ht="15" hidden="false" customHeight="false" outlineLevel="0" collapsed="false">
      <c r="A23" s="3" t="s">
        <v>31</v>
      </c>
      <c r="B23" s="4"/>
    </row>
    <row r="24" customFormat="false" ht="23.85" hidden="false" customHeight="false" outlineLevel="0" collapsed="false">
      <c r="A24" s="5" t="s">
        <v>32</v>
      </c>
      <c r="B24" s="6" t="s">
        <v>33</v>
      </c>
    </row>
    <row r="25" customFormat="false" ht="23.85" hidden="false" customHeight="false" outlineLevel="0" collapsed="false">
      <c r="A25" s="5" t="s">
        <v>34</v>
      </c>
      <c r="B25" s="6" t="s">
        <v>35</v>
      </c>
    </row>
    <row r="27" customFormat="false" ht="15" hidden="false" customHeight="false" outlineLevel="0" collapsed="false">
      <c r="A27" s="3" t="s">
        <v>36</v>
      </c>
      <c r="B27" s="4"/>
    </row>
    <row r="28" customFormat="false" ht="15" hidden="false" customHeight="false" outlineLevel="0" collapsed="false">
      <c r="A28" s="5" t="s">
        <v>37</v>
      </c>
      <c r="B28" s="6" t="s">
        <v>38</v>
      </c>
    </row>
    <row r="29" customFormat="false" ht="23.85" hidden="false" customHeight="false" outlineLevel="0" collapsed="false">
      <c r="A29" s="5" t="s">
        <v>39</v>
      </c>
      <c r="B29" s="6" t="s">
        <v>40</v>
      </c>
    </row>
    <row r="30" customFormat="false" ht="15" hidden="false" customHeight="false" outlineLevel="0" collapsed="false">
      <c r="A30" s="5" t="s">
        <v>41</v>
      </c>
      <c r="B30" s="6" t="s">
        <v>42</v>
      </c>
    </row>
    <row r="31" customFormat="false" ht="23.85" hidden="false" customHeight="false" outlineLevel="0" collapsed="false">
      <c r="A31" s="5" t="s">
        <v>43</v>
      </c>
      <c r="B31" s="6" t="s">
        <v>44</v>
      </c>
    </row>
    <row r="32" customFormat="false" ht="23.85" hidden="false" customHeight="false" outlineLevel="0" collapsed="false">
      <c r="A32" s="5" t="s">
        <v>45</v>
      </c>
      <c r="B32" s="6" t="s">
        <v>46</v>
      </c>
    </row>
    <row r="33" customFormat="false" ht="23.85" hidden="false" customHeight="false" outlineLevel="0" collapsed="false">
      <c r="A33" s="5" t="s">
        <v>47</v>
      </c>
      <c r="B33" s="6" t="s">
        <v>48</v>
      </c>
    </row>
    <row r="34" customFormat="false" ht="15" hidden="false" customHeight="false" outlineLevel="0" collapsed="false">
      <c r="A34" s="5" t="s">
        <v>49</v>
      </c>
      <c r="B34" s="6" t="s">
        <v>50</v>
      </c>
    </row>
    <row r="35" customFormat="false" ht="15" hidden="false" customHeight="false" outlineLevel="0" collapsed="false">
      <c r="A35" s="5" t="s">
        <v>51</v>
      </c>
      <c r="B35" s="6" t="s">
        <v>52</v>
      </c>
    </row>
    <row r="36" customFormat="false" ht="23.85" hidden="false" customHeight="false" outlineLevel="0" collapsed="false">
      <c r="A36" s="5" t="s">
        <v>53</v>
      </c>
      <c r="B36" s="6" t="s">
        <v>54</v>
      </c>
    </row>
    <row r="38" customFormat="false" ht="15" hidden="false" customHeight="false" outlineLevel="0" collapsed="false">
      <c r="A38" s="7" t="s">
        <v>55</v>
      </c>
      <c r="B38" s="8"/>
    </row>
    <row r="39" customFormat="false" ht="15" hidden="false" customHeight="false" outlineLevel="0" collapsed="false">
      <c r="A39" s="9" t="s">
        <v>56</v>
      </c>
      <c r="B39" s="8" t="s">
        <v>57</v>
      </c>
    </row>
    <row r="40" customFormat="false" ht="15" hidden="false" customHeight="false" outlineLevel="0" collapsed="false">
      <c r="A40" s="10" t="s">
        <v>58</v>
      </c>
      <c r="B40" s="8" t="s">
        <v>59</v>
      </c>
    </row>
    <row r="41" customFormat="false" ht="15" hidden="false" customHeight="false" outlineLevel="0" collapsed="false">
      <c r="A41" s="11" t="s">
        <v>60</v>
      </c>
      <c r="B41" s="8" t="s">
        <v>59</v>
      </c>
    </row>
    <row r="42" customFormat="false" ht="15" hidden="false" customHeight="false" outlineLevel="0" collapsed="false">
      <c r="A42" s="12" t="s">
        <v>61</v>
      </c>
      <c r="B42" s="8" t="s">
        <v>59</v>
      </c>
    </row>
    <row r="43" customFormat="false" ht="15" hidden="false" customHeight="false" outlineLevel="0" collapsed="false">
      <c r="A43" s="13" t="s">
        <v>62</v>
      </c>
      <c r="B43" s="8" t="s">
        <v>59</v>
      </c>
    </row>
    <row r="44" customFormat="false" ht="15" hidden="false" customHeight="false" outlineLevel="0" collapsed="false">
      <c r="A44" s="14" t="s">
        <v>32</v>
      </c>
      <c r="B44" s="8" t="s">
        <v>59</v>
      </c>
    </row>
    <row r="45" customFormat="false" ht="15" hidden="false" customHeight="false" outlineLevel="0" collapsed="false">
      <c r="A45" s="15" t="s">
        <v>34</v>
      </c>
      <c r="B45" s="8" t="s">
        <v>59</v>
      </c>
    </row>
    <row r="46" customFormat="false" ht="15" hidden="false" customHeight="false" outlineLevel="0" collapsed="false">
      <c r="A46" s="8"/>
      <c r="B46" s="8"/>
    </row>
    <row r="47" customFormat="false" ht="15" hidden="false" customHeight="false" outlineLevel="0" collapsed="false">
      <c r="A47" s="8"/>
      <c r="B47" s="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K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11" min="2" style="0" width="12"/>
  </cols>
  <sheetData>
    <row r="1" customFormat="false" ht="17.35" hidden="false" customHeight="false" outlineLevel="0" collapsed="false">
      <c r="A1" s="16" t="s">
        <v>63</v>
      </c>
    </row>
    <row r="2" customFormat="false" ht="15" hidden="false" customHeight="false" outlineLevel="0" collapsed="false">
      <c r="A2" s="2" t="s">
        <v>64</v>
      </c>
    </row>
    <row r="4" customFormat="false" ht="30" hidden="false" customHeight="true" outlineLevel="0" collapsed="false">
      <c r="A4" s="17" t="s">
        <v>65</v>
      </c>
      <c r="B4" s="17" t="s">
        <v>66</v>
      </c>
      <c r="C4" s="17" t="s">
        <v>19</v>
      </c>
      <c r="D4" s="17" t="s">
        <v>21</v>
      </c>
      <c r="E4" s="17" t="s">
        <v>23</v>
      </c>
      <c r="F4" s="17" t="s">
        <v>25</v>
      </c>
      <c r="G4" s="17" t="s">
        <v>27</v>
      </c>
      <c r="H4" s="17" t="s">
        <v>29</v>
      </c>
      <c r="I4" s="17" t="s">
        <v>67</v>
      </c>
      <c r="J4" s="17" t="s">
        <v>68</v>
      </c>
      <c r="K4" s="17" t="s">
        <v>69</v>
      </c>
    </row>
    <row r="5" customFormat="false" ht="15" hidden="false" customHeight="false" outlineLevel="0" collapsed="false">
      <c r="A5" s="18" t="s">
        <v>70</v>
      </c>
      <c r="B5" s="19" t="n">
        <f aca="false">COUNTA('Env Eng'!$B$5:$B$300)</f>
        <v>8</v>
      </c>
      <c r="C5" s="19" t="n">
        <f aca="false">COUNTIF('Env Eng'!$P$5:$P$300,"Discovery")</f>
        <v>8</v>
      </c>
      <c r="D5" s="19" t="n">
        <f aca="false">COUNTIF('Env Eng'!$P$5:$P$300,"Prequalified")</f>
        <v>0</v>
      </c>
      <c r="E5" s="19" t="n">
        <f aca="false">COUNTIF('Env Eng'!$P$5:$P$300,"Qualified")</f>
        <v>0</v>
      </c>
      <c r="F5" s="19" t="n">
        <f aca="false">COUNTIF('Env Eng'!$P$5:$P$300,"AVL")</f>
        <v>0</v>
      </c>
      <c r="G5" s="19" t="n">
        <f aca="false">COUNTIF('Env Eng'!$P$5:$P$300,"On Hold")</f>
        <v>0</v>
      </c>
      <c r="H5" s="19" t="n">
        <f aca="false">COUNTIF('Env Eng'!$P$5:$P$300,"Disqualified")</f>
        <v>0</v>
      </c>
      <c r="I5" s="19" t="n">
        <f aca="false">COUNTIF('Env Eng'!$W$5:$W$300,"FEOC Review")</f>
        <v>0</v>
      </c>
      <c r="J5" s="19" t="n">
        <f aca="false">COUNTIF('Env Eng'!$W$5:$W$300,"High")</f>
        <v>0</v>
      </c>
      <c r="K5" s="19" t="n">
        <f aca="false">COUNTIF('Env Eng'!$T$5:$T$300,"Not Assessed")</f>
        <v>8</v>
      </c>
    </row>
    <row r="6" customFormat="false" ht="15" hidden="false" customHeight="false" outlineLevel="0" collapsed="false">
      <c r="A6" s="18" t="s">
        <v>71</v>
      </c>
      <c r="B6" s="19" t="n">
        <f aca="false">COUNTA('Civil Eng'!$B$5:$B$300)</f>
        <v>7</v>
      </c>
      <c r="C6" s="19" t="n">
        <f aca="false">COUNTIF('Civil Eng'!$P$5:$P$300,"Discovery")</f>
        <v>7</v>
      </c>
      <c r="D6" s="19" t="n">
        <f aca="false">COUNTIF('Civil Eng'!$P$5:$P$300,"Prequalified")</f>
        <v>0</v>
      </c>
      <c r="E6" s="19" t="n">
        <f aca="false">COUNTIF('Civil Eng'!$P$5:$P$300,"Qualified")</f>
        <v>0</v>
      </c>
      <c r="F6" s="19" t="n">
        <f aca="false">COUNTIF('Civil Eng'!$P$5:$P$300,"AVL")</f>
        <v>0</v>
      </c>
      <c r="G6" s="19" t="n">
        <f aca="false">COUNTIF('Civil Eng'!$P$5:$P$300,"On Hold")</f>
        <v>0</v>
      </c>
      <c r="H6" s="19" t="n">
        <f aca="false">COUNTIF('Civil Eng'!$P$5:$P$300,"Disqualified")</f>
        <v>0</v>
      </c>
      <c r="I6" s="19" t="n">
        <f aca="false">COUNTIF('Civil Eng'!$W$5:$W$300,"FEOC Review")</f>
        <v>0</v>
      </c>
      <c r="J6" s="19" t="n">
        <f aca="false">COUNTIF('Civil Eng'!$W$5:$W$300,"High")</f>
        <v>0</v>
      </c>
      <c r="K6" s="19" t="n">
        <f aca="false">COUNTIF('Civil Eng'!$T$5:$T$300,"Not Assessed")</f>
        <v>7</v>
      </c>
    </row>
    <row r="7" customFormat="false" ht="15" hidden="false" customHeight="false" outlineLevel="0" collapsed="false">
      <c r="A7" s="18" t="s">
        <v>72</v>
      </c>
      <c r="B7" s="19" t="n">
        <f aca="false">COUNTA('Structural Eng'!$B$5:$B$300)</f>
        <v>6</v>
      </c>
      <c r="C7" s="19" t="n">
        <f aca="false">COUNTIF('Structural Eng'!$P$5:$P$300,"Discovery")</f>
        <v>6</v>
      </c>
      <c r="D7" s="19" t="n">
        <f aca="false">COUNTIF('Structural Eng'!$P$5:$P$300,"Prequalified")</f>
        <v>0</v>
      </c>
      <c r="E7" s="19" t="n">
        <f aca="false">COUNTIF('Structural Eng'!$P$5:$P$300,"Qualified")</f>
        <v>0</v>
      </c>
      <c r="F7" s="19" t="n">
        <f aca="false">COUNTIF('Structural Eng'!$P$5:$P$300,"AVL")</f>
        <v>0</v>
      </c>
      <c r="G7" s="19" t="n">
        <f aca="false">COUNTIF('Structural Eng'!$P$5:$P$300,"On Hold")</f>
        <v>0</v>
      </c>
      <c r="H7" s="19" t="n">
        <f aca="false">COUNTIF('Structural Eng'!$P$5:$P$300,"Disqualified")</f>
        <v>0</v>
      </c>
      <c r="I7" s="19" t="n">
        <f aca="false">COUNTIF('Structural Eng'!$W$5:$W$300,"FEOC Review")</f>
        <v>0</v>
      </c>
      <c r="J7" s="19" t="n">
        <f aca="false">COUNTIF('Structural Eng'!$W$5:$W$300,"High")</f>
        <v>0</v>
      </c>
      <c r="K7" s="19" t="n">
        <f aca="false">COUNTIF('Structural Eng'!$T$5:$T$300,"Not Assessed")</f>
        <v>6</v>
      </c>
    </row>
    <row r="8" customFormat="false" ht="15" hidden="false" customHeight="false" outlineLevel="0" collapsed="false">
      <c r="A8" s="18" t="s">
        <v>73</v>
      </c>
      <c r="B8" s="19" t="n">
        <f aca="false">COUNTA('Electrical Eng'!$B$5:$B$300)</f>
        <v>8</v>
      </c>
      <c r="C8" s="19" t="n">
        <f aca="false">COUNTIF('Electrical Eng'!$P$5:$P$300,"Discovery")</f>
        <v>8</v>
      </c>
      <c r="D8" s="19" t="n">
        <f aca="false">COUNTIF('Electrical Eng'!$P$5:$P$300,"Prequalified")</f>
        <v>0</v>
      </c>
      <c r="E8" s="19" t="n">
        <f aca="false">COUNTIF('Electrical Eng'!$P$5:$P$300,"Qualified")</f>
        <v>0</v>
      </c>
      <c r="F8" s="19" t="n">
        <f aca="false">COUNTIF('Electrical Eng'!$P$5:$P$300,"AVL")</f>
        <v>0</v>
      </c>
      <c r="G8" s="19" t="n">
        <f aca="false">COUNTIF('Electrical Eng'!$P$5:$P$300,"On Hold")</f>
        <v>0</v>
      </c>
      <c r="H8" s="19" t="n">
        <f aca="false">COUNTIF('Electrical Eng'!$P$5:$P$300,"Disqualified")</f>
        <v>0</v>
      </c>
      <c r="I8" s="19" t="n">
        <f aca="false">COUNTIF('Electrical Eng'!$W$5:$W$300,"FEOC Review")</f>
        <v>0</v>
      </c>
      <c r="J8" s="19" t="n">
        <f aca="false">COUNTIF('Electrical Eng'!$W$5:$W$300,"High")</f>
        <v>0</v>
      </c>
      <c r="K8" s="19" t="n">
        <f aca="false">COUNTIF('Electrical Eng'!$T$5:$T$300,"Not Assessed")</f>
        <v>8</v>
      </c>
    </row>
    <row r="9" customFormat="false" ht="15" hidden="false" customHeight="false" outlineLevel="0" collapsed="false">
      <c r="A9" s="18" t="s">
        <v>74</v>
      </c>
      <c r="B9" s="19" t="n">
        <f aca="false">COUNTA('Fire Eng'!$B$5:$B$300)</f>
        <v>7</v>
      </c>
      <c r="C9" s="19" t="n">
        <f aca="false">COUNTIF('Fire Eng'!$P$5:$P$300,"Discovery")</f>
        <v>7</v>
      </c>
      <c r="D9" s="19" t="n">
        <f aca="false">COUNTIF('Fire Eng'!$P$5:$P$300,"Prequalified")</f>
        <v>0</v>
      </c>
      <c r="E9" s="19" t="n">
        <f aca="false">COUNTIF('Fire Eng'!$P$5:$P$300,"Qualified")</f>
        <v>0</v>
      </c>
      <c r="F9" s="19" t="n">
        <f aca="false">COUNTIF('Fire Eng'!$P$5:$P$300,"AVL")</f>
        <v>0</v>
      </c>
      <c r="G9" s="19" t="n">
        <f aca="false">COUNTIF('Fire Eng'!$P$5:$P$300,"On Hold")</f>
        <v>0</v>
      </c>
      <c r="H9" s="19" t="n">
        <f aca="false">COUNTIF('Fire Eng'!$P$5:$P$300,"Disqualified")</f>
        <v>0</v>
      </c>
      <c r="I9" s="19" t="n">
        <f aca="false">COUNTIF('Fire Eng'!$W$5:$W$300,"FEOC Review")</f>
        <v>0</v>
      </c>
      <c r="J9" s="19" t="n">
        <f aca="false">COUNTIF('Fire Eng'!$W$5:$W$300,"High")</f>
        <v>0</v>
      </c>
      <c r="K9" s="19" t="n">
        <f aca="false">COUNTIF('Fire Eng'!$T$5:$T$300,"Not Assessed")</f>
        <v>7</v>
      </c>
    </row>
    <row r="10" customFormat="false" ht="15" hidden="false" customHeight="false" outlineLevel="0" collapsed="false">
      <c r="A10" s="18" t="s">
        <v>75</v>
      </c>
      <c r="B10" s="19" t="n">
        <f aca="false">COUNTA('Owners Eng'!$B$5:$B$300)</f>
        <v>7</v>
      </c>
      <c r="C10" s="19" t="n">
        <f aca="false">COUNTIF('Owners Eng'!$P$5:$P$300,"Discovery")</f>
        <v>7</v>
      </c>
      <c r="D10" s="19" t="n">
        <f aca="false">COUNTIF('Owners Eng'!$P$5:$P$300,"Prequalified")</f>
        <v>0</v>
      </c>
      <c r="E10" s="19" t="n">
        <f aca="false">COUNTIF('Owners Eng'!$P$5:$P$300,"Qualified")</f>
        <v>0</v>
      </c>
      <c r="F10" s="19" t="n">
        <f aca="false">COUNTIF('Owners Eng'!$P$5:$P$300,"AVL")</f>
        <v>0</v>
      </c>
      <c r="G10" s="19" t="n">
        <f aca="false">COUNTIF('Owners Eng'!$P$5:$P$300,"On Hold")</f>
        <v>0</v>
      </c>
      <c r="H10" s="19" t="n">
        <f aca="false">COUNTIF('Owners Eng'!$P$5:$P$300,"Disqualified")</f>
        <v>0</v>
      </c>
      <c r="I10" s="19" t="n">
        <f aca="false">COUNTIF('Owners Eng'!$W$5:$W$300,"FEOC Review")</f>
        <v>0</v>
      </c>
      <c r="J10" s="19" t="n">
        <f aca="false">COUNTIF('Owners Eng'!$W$5:$W$300,"High")</f>
        <v>0</v>
      </c>
      <c r="K10" s="19" t="n">
        <f aca="false">COUNTIF('Owners Eng'!$T$5:$T$300,"Not Assessed")</f>
        <v>7</v>
      </c>
    </row>
    <row r="11" customFormat="false" ht="15" hidden="false" customHeight="false" outlineLevel="0" collapsed="false">
      <c r="A11" s="18" t="s">
        <v>76</v>
      </c>
      <c r="B11" s="19" t="n">
        <f aca="false">COUNTA('Eng of Record'!$B$5:$B$300)</f>
        <v>7</v>
      </c>
      <c r="C11" s="19" t="n">
        <f aca="false">COUNTIF('Eng of Record'!$P$5:$P$300,"Discovery")</f>
        <v>7</v>
      </c>
      <c r="D11" s="19" t="n">
        <f aca="false">COUNTIF('Eng of Record'!$P$5:$P$300,"Prequalified")</f>
        <v>0</v>
      </c>
      <c r="E11" s="19" t="n">
        <f aca="false">COUNTIF('Eng of Record'!$P$5:$P$300,"Qualified")</f>
        <v>0</v>
      </c>
      <c r="F11" s="19" t="n">
        <f aca="false">COUNTIF('Eng of Record'!$P$5:$P$300,"AVL")</f>
        <v>0</v>
      </c>
      <c r="G11" s="19" t="n">
        <f aca="false">COUNTIF('Eng of Record'!$P$5:$P$300,"On Hold")</f>
        <v>0</v>
      </c>
      <c r="H11" s="19" t="n">
        <f aca="false">COUNTIF('Eng of Record'!$P$5:$P$300,"Disqualified")</f>
        <v>0</v>
      </c>
      <c r="I11" s="19" t="n">
        <f aca="false">COUNTIF('Eng of Record'!$W$5:$W$300,"FEOC Review")</f>
        <v>0</v>
      </c>
      <c r="J11" s="19" t="n">
        <f aca="false">COUNTIF('Eng of Record'!$W$5:$W$300,"High")</f>
        <v>0</v>
      </c>
      <c r="K11" s="19" t="n">
        <f aca="false">COUNTIF('Eng of Record'!$T$5:$T$300,"Not Assessed")</f>
        <v>7</v>
      </c>
    </row>
    <row r="12" customFormat="false" ht="15" hidden="false" customHeight="false" outlineLevel="0" collapsed="false">
      <c r="A12" s="18" t="s">
        <v>77</v>
      </c>
      <c r="B12" s="19" t="n">
        <f aca="false">COUNTA('Independent Eng'!$B$5:$B$300)</f>
        <v>6</v>
      </c>
      <c r="C12" s="19" t="n">
        <f aca="false">COUNTIF('Independent Eng'!$P$5:$P$300,"Discovery")</f>
        <v>6</v>
      </c>
      <c r="D12" s="19" t="n">
        <f aca="false">COUNTIF('Independent Eng'!$P$5:$P$300,"Prequalified")</f>
        <v>0</v>
      </c>
      <c r="E12" s="19" t="n">
        <f aca="false">COUNTIF('Independent Eng'!$P$5:$P$300,"Qualified")</f>
        <v>0</v>
      </c>
      <c r="F12" s="19" t="n">
        <f aca="false">COUNTIF('Independent Eng'!$P$5:$P$300,"AVL")</f>
        <v>0</v>
      </c>
      <c r="G12" s="19" t="n">
        <f aca="false">COUNTIF('Independent Eng'!$P$5:$P$300,"On Hold")</f>
        <v>0</v>
      </c>
      <c r="H12" s="19" t="n">
        <f aca="false">COUNTIF('Independent Eng'!$P$5:$P$300,"Disqualified")</f>
        <v>0</v>
      </c>
      <c r="I12" s="19" t="n">
        <f aca="false">COUNTIF('Independent Eng'!$W$5:$W$300,"FEOC Review")</f>
        <v>0</v>
      </c>
      <c r="J12" s="19" t="n">
        <f aca="false">COUNTIF('Independent Eng'!$W$5:$W$300,"High")</f>
        <v>0</v>
      </c>
      <c r="K12" s="19" t="n">
        <f aca="false">COUNTIF('Independent Eng'!$T$5:$T$300,"Not Assessed")</f>
        <v>6</v>
      </c>
    </row>
    <row r="13" customFormat="false" ht="15" hidden="false" customHeight="false" outlineLevel="0" collapsed="false">
      <c r="A13" s="18" t="s">
        <v>78</v>
      </c>
      <c r="B13" s="19" t="n">
        <f aca="false">COUNTA('BESS Equipment'!$B$5:$B$300)</f>
        <v>10</v>
      </c>
      <c r="C13" s="19" t="n">
        <f aca="false">COUNTIF('BESS Equipment'!$P$5:$P$300,"Discovery")</f>
        <v>10</v>
      </c>
      <c r="D13" s="19" t="n">
        <f aca="false">COUNTIF('BESS Equipment'!$P$5:$P$300,"Prequalified")</f>
        <v>0</v>
      </c>
      <c r="E13" s="19" t="n">
        <f aca="false">COUNTIF('BESS Equipment'!$P$5:$P$300,"Qualified")</f>
        <v>0</v>
      </c>
      <c r="F13" s="19" t="n">
        <f aca="false">COUNTIF('BESS Equipment'!$P$5:$P$300,"AVL")</f>
        <v>0</v>
      </c>
      <c r="G13" s="19" t="n">
        <f aca="false">COUNTIF('BESS Equipment'!$P$5:$P$300,"On Hold")</f>
        <v>0</v>
      </c>
      <c r="H13" s="19" t="n">
        <f aca="false">COUNTIF('BESS Equipment'!$P$5:$P$300,"Disqualified")</f>
        <v>0</v>
      </c>
      <c r="I13" s="19" t="n">
        <f aca="false">COUNTIF('BESS Equipment'!$W$5:$W$300,"FEOC Review")</f>
        <v>9</v>
      </c>
      <c r="J13" s="19" t="n">
        <f aca="false">COUNTIF('BESS Equipment'!$W$5:$W$300,"High")</f>
        <v>0</v>
      </c>
      <c r="K13" s="19" t="n">
        <f aca="false">COUNTIF('BESS Equipment'!$T$5:$T$300,"Not Assessed")</f>
        <v>10</v>
      </c>
    </row>
    <row r="14" customFormat="false" ht="15" hidden="false" customHeight="false" outlineLevel="0" collapsed="false">
      <c r="A14" s="18" t="s">
        <v>79</v>
      </c>
      <c r="B14" s="19" t="n">
        <f aca="false">COUNTA('MV Transformers'!$B$5:$B$300)</f>
        <v>10</v>
      </c>
      <c r="C14" s="19" t="n">
        <f aca="false">COUNTIF('MV Transformers'!$P$5:$P$300,"Discovery")</f>
        <v>10</v>
      </c>
      <c r="D14" s="19" t="n">
        <f aca="false">COUNTIF('MV Transformers'!$P$5:$P$300,"Prequalified")</f>
        <v>0</v>
      </c>
      <c r="E14" s="19" t="n">
        <f aca="false">COUNTIF('MV Transformers'!$P$5:$P$300,"Qualified")</f>
        <v>0</v>
      </c>
      <c r="F14" s="19" t="n">
        <f aca="false">COUNTIF('MV Transformers'!$P$5:$P$300,"AVL")</f>
        <v>0</v>
      </c>
      <c r="G14" s="19" t="n">
        <f aca="false">COUNTIF('MV Transformers'!$P$5:$P$300,"On Hold")</f>
        <v>0</v>
      </c>
      <c r="H14" s="19" t="n">
        <f aca="false">COUNTIF('MV Transformers'!$P$5:$P$300,"Disqualified")</f>
        <v>0</v>
      </c>
      <c r="I14" s="19" t="n">
        <f aca="false">COUNTIF('MV Transformers'!$W$5:$W$300,"FEOC Review")</f>
        <v>0</v>
      </c>
      <c r="J14" s="19" t="n">
        <f aca="false">COUNTIF('MV Transformers'!$W$5:$W$300,"High")</f>
        <v>0</v>
      </c>
      <c r="K14" s="19" t="n">
        <f aca="false">COUNTIF('MV Transformers'!$T$5:$T$300,"Not Assessed")</f>
        <v>10</v>
      </c>
    </row>
    <row r="15" customFormat="false" ht="15" hidden="false" customHeight="false" outlineLevel="0" collapsed="false">
      <c r="A15" s="18" t="s">
        <v>80</v>
      </c>
      <c r="B15" s="19" t="n">
        <f aca="false">COUNTA('HV Breakers'!$B$5:$B$300)</f>
        <v>6</v>
      </c>
      <c r="C15" s="19" t="n">
        <f aca="false">COUNTIF('HV Breakers'!$P$5:$P$300,"Discovery")</f>
        <v>6</v>
      </c>
      <c r="D15" s="19" t="n">
        <f aca="false">COUNTIF('HV Breakers'!$P$5:$P$300,"Prequalified")</f>
        <v>0</v>
      </c>
      <c r="E15" s="19" t="n">
        <f aca="false">COUNTIF('HV Breakers'!$P$5:$P$300,"Qualified")</f>
        <v>0</v>
      </c>
      <c r="F15" s="19" t="n">
        <f aca="false">COUNTIF('HV Breakers'!$P$5:$P$300,"AVL")</f>
        <v>0</v>
      </c>
      <c r="G15" s="19" t="n">
        <f aca="false">COUNTIF('HV Breakers'!$P$5:$P$300,"On Hold")</f>
        <v>0</v>
      </c>
      <c r="H15" s="19" t="n">
        <f aca="false">COUNTIF('HV Breakers'!$P$5:$P$300,"Disqualified")</f>
        <v>0</v>
      </c>
      <c r="I15" s="19" t="n">
        <f aca="false">COUNTIF('HV Breakers'!$W$5:$W$300,"FEOC Review")</f>
        <v>0</v>
      </c>
      <c r="J15" s="19" t="n">
        <f aca="false">COUNTIF('HV Breakers'!$W$5:$W$300,"High")</f>
        <v>0</v>
      </c>
      <c r="K15" s="19" t="n">
        <f aca="false">COUNTIF('HV Breakers'!$T$5:$T$300,"Not Assessed")</f>
        <v>6</v>
      </c>
    </row>
    <row r="16" customFormat="false" ht="15" hidden="false" customHeight="false" outlineLevel="0" collapsed="false">
      <c r="A16" s="18" t="s">
        <v>81</v>
      </c>
      <c r="B16" s="19" t="n">
        <f aca="false">COUNTA('MV Breakers'!$B$5:$B$300)</f>
        <v>7</v>
      </c>
      <c r="C16" s="19" t="n">
        <f aca="false">COUNTIF('MV Breakers'!$P$5:$P$300,"Discovery")</f>
        <v>7</v>
      </c>
      <c r="D16" s="19" t="n">
        <f aca="false">COUNTIF('MV Breakers'!$P$5:$P$300,"Prequalified")</f>
        <v>0</v>
      </c>
      <c r="E16" s="19" t="n">
        <f aca="false">COUNTIF('MV Breakers'!$P$5:$P$300,"Qualified")</f>
        <v>0</v>
      </c>
      <c r="F16" s="19" t="n">
        <f aca="false">COUNTIF('MV Breakers'!$P$5:$P$300,"AVL")</f>
        <v>0</v>
      </c>
      <c r="G16" s="19" t="n">
        <f aca="false">COUNTIF('MV Breakers'!$P$5:$P$300,"On Hold")</f>
        <v>0</v>
      </c>
      <c r="H16" s="19" t="n">
        <f aca="false">COUNTIF('MV Breakers'!$P$5:$P$300,"Disqualified")</f>
        <v>0</v>
      </c>
      <c r="I16" s="19" t="n">
        <f aca="false">COUNTIF('MV Breakers'!$W$5:$W$300,"FEOC Review")</f>
        <v>0</v>
      </c>
      <c r="J16" s="19" t="n">
        <f aca="false">COUNTIF('MV Breakers'!$W$5:$W$300,"High")</f>
        <v>0</v>
      </c>
      <c r="K16" s="19" t="n">
        <f aca="false">COUNTIF('MV Breakers'!$T$5:$T$300,"Not Assessed")</f>
        <v>7</v>
      </c>
    </row>
    <row r="17" customFormat="false" ht="15" hidden="false" customHeight="false" outlineLevel="0" collapsed="false">
      <c r="A17" s="18" t="s">
        <v>82</v>
      </c>
      <c r="B17" s="19" t="n">
        <f aca="false">COUNTA(EPC!$B$5:$B$300)</f>
        <v>8</v>
      </c>
      <c r="C17" s="19" t="n">
        <f aca="false">COUNTIF(EPC!$P$5:$P$300,"Discovery")</f>
        <v>8</v>
      </c>
      <c r="D17" s="19" t="n">
        <f aca="false">COUNTIF(EPC!$P$5:$P$300,"Prequalified")</f>
        <v>0</v>
      </c>
      <c r="E17" s="19" t="n">
        <f aca="false">COUNTIF(EPC!$P$5:$P$300,"Qualified")</f>
        <v>0</v>
      </c>
      <c r="F17" s="19" t="n">
        <f aca="false">COUNTIF(EPC!$P$5:$P$300,"AVL")</f>
        <v>0</v>
      </c>
      <c r="G17" s="19" t="n">
        <f aca="false">COUNTIF(EPC!$P$5:$P$300,"On Hold")</f>
        <v>0</v>
      </c>
      <c r="H17" s="19" t="n">
        <f aca="false">COUNTIF(EPC!$P$5:$P$300,"Disqualified")</f>
        <v>0</v>
      </c>
      <c r="I17" s="19" t="n">
        <f aca="false">COUNTIF(EPC!$W$5:$W$300,"FEOC Review")</f>
        <v>0</v>
      </c>
      <c r="J17" s="19" t="n">
        <f aca="false">COUNTIF(EPC!$W$5:$W$300,"High")</f>
        <v>0</v>
      </c>
      <c r="K17" s="19" t="n">
        <f aca="false">COUNTIF(EPC!$T$5:$T$300,"Not Assessed")</f>
        <v>8</v>
      </c>
    </row>
    <row r="18" customFormat="false" ht="15" hidden="false" customHeight="false" outlineLevel="0" collapsed="false">
      <c r="A18" s="18" t="s">
        <v>83</v>
      </c>
      <c r="B18" s="19" t="n">
        <f aca="false">COUNTA(Software!$B$5:$B$300)</f>
        <v>12</v>
      </c>
      <c r="C18" s="19" t="n">
        <f aca="false">COUNTIF(Software!$P$5:$P$300,"Discovery")</f>
        <v>12</v>
      </c>
      <c r="D18" s="19" t="n">
        <f aca="false">COUNTIF(Software!$P$5:$P$300,"Prequalified")</f>
        <v>0</v>
      </c>
      <c r="E18" s="19" t="n">
        <f aca="false">COUNTIF(Software!$P$5:$P$300,"Qualified")</f>
        <v>0</v>
      </c>
      <c r="F18" s="19" t="n">
        <f aca="false">COUNTIF(Software!$P$5:$P$300,"AVL")</f>
        <v>0</v>
      </c>
      <c r="G18" s="19" t="n">
        <f aca="false">COUNTIF(Software!$P$5:$P$300,"On Hold")</f>
        <v>0</v>
      </c>
      <c r="H18" s="19" t="n">
        <f aca="false">COUNTIF(Software!$P$5:$P$300,"Disqualified")</f>
        <v>0</v>
      </c>
      <c r="I18" s="19" t="n">
        <f aca="false">COUNTIF(Software!$W$5:$W$300,"FEOC Review")</f>
        <v>0</v>
      </c>
      <c r="J18" s="19" t="n">
        <f aca="false">COUNTIF(Software!$W$5:$W$300,"High")</f>
        <v>0</v>
      </c>
      <c r="K18" s="19" t="n">
        <f aca="false">COUNTIF(Software!$T$5:$T$300,"Not Assessed")</f>
        <v>12</v>
      </c>
    </row>
    <row r="19" customFormat="false" ht="15" hidden="false" customHeight="false" outlineLevel="0" collapsed="false">
      <c r="A19" s="20" t="s">
        <v>84</v>
      </c>
      <c r="B19" s="21" t="n">
        <f aca="false">SUM(B5:B18)</f>
        <v>109</v>
      </c>
      <c r="C19" s="21" t="n">
        <f aca="false">SUM(C5:C18)</f>
        <v>109</v>
      </c>
      <c r="D19" s="21" t="n">
        <f aca="false">SUM(D5:D18)</f>
        <v>0</v>
      </c>
      <c r="E19" s="21" t="n">
        <f aca="false">SUM(E5:E18)</f>
        <v>0</v>
      </c>
      <c r="F19" s="21" t="n">
        <f aca="false">SUM(F5:F18)</f>
        <v>0</v>
      </c>
      <c r="G19" s="21" t="n">
        <f aca="false">SUM(G5:G18)</f>
        <v>0</v>
      </c>
      <c r="H19" s="21" t="n">
        <f aca="false">SUM(H5:H18)</f>
        <v>0</v>
      </c>
      <c r="I19" s="21" t="n">
        <f aca="false">SUM(I5:I18)</f>
        <v>9</v>
      </c>
      <c r="J19" s="21" t="n">
        <f aca="false">SUM(J5:J18)</f>
        <v>0</v>
      </c>
      <c r="K19" s="21" t="n">
        <f aca="false">SUM(K5:K18)</f>
        <v>109</v>
      </c>
    </row>
    <row r="20" customFormat="false" ht="15" hidden="false" customHeight="false" outlineLevel="0" collapsed="false">
      <c r="A20" s="2" t="s">
        <v>85</v>
      </c>
    </row>
  </sheetData>
  <hyperlinks>
    <hyperlink ref="A5" r:id="rId1" location="'Env%20Eng'!A1" display="Env Eng"/>
    <hyperlink ref="A6" r:id="rId2" location="'Civil%20Eng'!A1" display="Civil Eng"/>
    <hyperlink ref="A7" r:id="rId3" location="'Structural%20Eng'!A1" display="Structural Eng"/>
    <hyperlink ref="A8" r:id="rId4" location="'Electrical%20Eng'!A1" display="Electrical Eng"/>
    <hyperlink ref="A9" r:id="rId5" location="'Fire%20Eng'!A1" display="Fire Eng"/>
    <hyperlink ref="A10" r:id="rId6" location="'Owners%20Eng'!A1" display="Owners Eng"/>
    <hyperlink ref="A11" r:id="rId7" location="'Eng%20of%20Record'!A1" display="Eng of Record"/>
    <hyperlink ref="A12" r:id="rId8" location="'Independent%20Eng'!A1" display="Independent Eng"/>
    <hyperlink ref="A13" r:id="rId9" location="'BESS%20Equipment'!A1" display="BESS Equipment"/>
    <hyperlink ref="A14" r:id="rId10" location="'MV%20Transformers'!A1" display="MV Transformers"/>
    <hyperlink ref="A15" r:id="rId11" location="'HV%20Breakers'!A1" display="HV Breakers"/>
    <hyperlink ref="A16" r:id="rId12" location="'MV%20Breakers'!A1" display="MV Breakers"/>
    <hyperlink ref="A17" r:id="rId13" location="'EPC'!A1" display="EPC"/>
    <hyperlink ref="A18" r:id="rId14" location="'Software'!A1" display="Softwa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C8A"/>
    <pageSetUpPr fitToPage="false"/>
  </sheetPr>
  <dimension ref="A1:W30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40"/>
    <col collapsed="false" customWidth="true" hidden="false" outlineLevel="0" max="4" min="4" style="0" width="15"/>
    <col collapsed="false" customWidth="true" hidden="false" outlineLevel="0" max="5" min="5" style="0" width="11"/>
    <col collapsed="false" customWidth="true" hidden="false" outlineLevel="0" max="6" min="6" style="0" width="13"/>
    <col collapsed="false" customWidth="true" hidden="false" outlineLevel="0" max="7" min="7" style="0" width="18"/>
    <col collapsed="false" customWidth="true" hidden="false" outlineLevel="0" max="9" min="8" style="0" width="28"/>
    <col collapsed="false" customWidth="true" hidden="false" outlineLevel="0" max="10" min="10" style="0" width="18"/>
    <col collapsed="false" customWidth="true" hidden="false" outlineLevel="0" max="11" min="11" style="0" width="28"/>
    <col collapsed="false" customWidth="true" hidden="false" outlineLevel="0" max="12" min="12" style="0" width="20"/>
    <col collapsed="false" customWidth="true" hidden="false" outlineLevel="0" max="13" min="13" style="0" width="18"/>
    <col collapsed="false" customWidth="true" hidden="false" outlineLevel="0" max="14" min="14" style="0" width="24"/>
    <col collapsed="false" customWidth="true" hidden="false" outlineLevel="0" max="16" min="15" style="0" width="15"/>
    <col collapsed="false" customWidth="true" hidden="false" outlineLevel="0" max="17" min="17" style="0" width="12"/>
    <col collapsed="false" customWidth="true" hidden="false" outlineLevel="0" max="18" min="18" style="0" width="14"/>
    <col collapsed="false" customWidth="true" hidden="false" outlineLevel="0" max="19" min="19" style="0" width="24"/>
    <col collapsed="false" customWidth="true" hidden="false" outlineLevel="0" max="20" min="20" style="0" width="13"/>
    <col collapsed="false" customWidth="true" hidden="false" outlineLevel="0" max="22" min="21" style="0" width="45"/>
    <col collapsed="false" customWidth="true" hidden="false" outlineLevel="0" max="23" min="23" style="0" width="13"/>
  </cols>
  <sheetData>
    <row r="1" customFormat="false" ht="17.35" hidden="false" customHeight="false" outlineLevel="0" collapsed="false">
      <c r="A1" s="16" t="s">
        <v>86</v>
      </c>
    </row>
    <row r="2" customFormat="false" ht="15" hidden="false" customHeight="false" outlineLevel="0" collapsed="false">
      <c r="A2" s="2" t="s">
        <v>87</v>
      </c>
    </row>
    <row r="3" customFormat="false" ht="15" hidden="false" customHeight="false" outlineLevel="0" collapsed="false">
      <c r="A3" s="22" t="s">
        <v>58</v>
      </c>
      <c r="B3" s="22"/>
      <c r="C3" s="22"/>
      <c r="D3" s="23" t="s">
        <v>60</v>
      </c>
      <c r="E3" s="23"/>
      <c r="F3" s="23"/>
      <c r="G3" s="23"/>
      <c r="H3" s="23"/>
      <c r="I3" s="24" t="s">
        <v>61</v>
      </c>
      <c r="J3" s="24"/>
      <c r="K3" s="24"/>
      <c r="L3" s="24"/>
      <c r="M3" s="24"/>
      <c r="N3" s="24"/>
      <c r="O3" s="24"/>
      <c r="P3" s="25" t="s">
        <v>62</v>
      </c>
      <c r="Q3" s="25"/>
      <c r="R3" s="25"/>
      <c r="S3" s="26" t="s">
        <v>32</v>
      </c>
      <c r="T3" s="26"/>
      <c r="U3" s="26"/>
      <c r="V3" s="27" t="s">
        <v>34</v>
      </c>
      <c r="W3" s="27"/>
    </row>
    <row r="4" customFormat="false" ht="31.5" hidden="false" customHeight="true" outlineLevel="0" collapsed="false">
      <c r="A4" s="28" t="s">
        <v>88</v>
      </c>
      <c r="B4" s="28" t="s">
        <v>89</v>
      </c>
      <c r="C4" s="28" t="s">
        <v>90</v>
      </c>
      <c r="D4" s="28" t="s">
        <v>91</v>
      </c>
      <c r="E4" s="28" t="s">
        <v>92</v>
      </c>
      <c r="F4" s="28" t="s">
        <v>93</v>
      </c>
      <c r="G4" s="28" t="s">
        <v>94</v>
      </c>
      <c r="H4" s="28" t="s">
        <v>95</v>
      </c>
      <c r="I4" s="28" t="s">
        <v>96</v>
      </c>
      <c r="J4" s="28" t="s">
        <v>97</v>
      </c>
      <c r="K4" s="28" t="s">
        <v>98</v>
      </c>
      <c r="L4" s="28" t="s">
        <v>99</v>
      </c>
      <c r="M4" s="28" t="s">
        <v>100</v>
      </c>
      <c r="N4" s="28" t="s">
        <v>101</v>
      </c>
      <c r="O4" s="28" t="s">
        <v>102</v>
      </c>
      <c r="P4" s="28" t="s">
        <v>103</v>
      </c>
      <c r="Q4" s="28" t="s">
        <v>104</v>
      </c>
      <c r="R4" s="28" t="s">
        <v>105</v>
      </c>
      <c r="S4" s="28" t="s">
        <v>106</v>
      </c>
      <c r="T4" s="28" t="s">
        <v>41</v>
      </c>
      <c r="U4" s="28" t="s">
        <v>107</v>
      </c>
      <c r="V4" s="28" t="s">
        <v>108</v>
      </c>
      <c r="W4" s="28" t="s">
        <v>109</v>
      </c>
    </row>
    <row r="5" customFormat="false" ht="43.25" hidden="false" customHeight="false" outlineLevel="0" collapsed="false">
      <c r="A5" s="29" t="s">
        <v>110</v>
      </c>
      <c r="B5" s="29" t="s">
        <v>111</v>
      </c>
      <c r="C5" s="29" t="s">
        <v>112</v>
      </c>
      <c r="D5" s="29" t="s">
        <v>113</v>
      </c>
      <c r="E5" s="29"/>
      <c r="F5" s="29" t="s">
        <v>114</v>
      </c>
      <c r="G5" s="29"/>
      <c r="H5" s="29"/>
      <c r="I5" s="30" t="s">
        <v>115</v>
      </c>
      <c r="J5" s="29"/>
      <c r="K5" s="30" t="s">
        <v>116</v>
      </c>
      <c r="L5" s="31"/>
      <c r="M5" s="31"/>
      <c r="N5" s="31"/>
      <c r="O5" s="31"/>
      <c r="P5" s="29" t="s">
        <v>19</v>
      </c>
      <c r="Q5" s="32" t="n">
        <v>46300</v>
      </c>
      <c r="R5" s="29" t="s">
        <v>117</v>
      </c>
      <c r="S5" s="29" t="s">
        <v>118</v>
      </c>
      <c r="T5" s="29" t="s">
        <v>119</v>
      </c>
      <c r="U5" s="29" t="s">
        <v>120</v>
      </c>
      <c r="V5" s="29" t="s">
        <v>121</v>
      </c>
      <c r="W5" s="29" t="s">
        <v>119</v>
      </c>
    </row>
    <row r="6" customFormat="false" ht="32.8" hidden="false" customHeight="false" outlineLevel="0" collapsed="false">
      <c r="A6" s="29" t="s">
        <v>122</v>
      </c>
      <c r="B6" s="29" t="s">
        <v>123</v>
      </c>
      <c r="C6" s="29" t="s">
        <v>124</v>
      </c>
      <c r="D6" s="29" t="s">
        <v>125</v>
      </c>
      <c r="E6" s="29" t="s">
        <v>126</v>
      </c>
      <c r="F6" s="29" t="s">
        <v>127</v>
      </c>
      <c r="G6" s="29"/>
      <c r="H6" s="29"/>
      <c r="I6" s="30" t="s">
        <v>128</v>
      </c>
      <c r="J6" s="29" t="s">
        <v>129</v>
      </c>
      <c r="K6" s="30" t="s">
        <v>130</v>
      </c>
      <c r="L6" s="31"/>
      <c r="M6" s="31"/>
      <c r="N6" s="31"/>
      <c r="O6" s="31"/>
      <c r="P6" s="29" t="s">
        <v>19</v>
      </c>
      <c r="Q6" s="32" t="n">
        <v>46300</v>
      </c>
      <c r="R6" s="29" t="s">
        <v>117</v>
      </c>
      <c r="S6" s="29" t="s">
        <v>131</v>
      </c>
      <c r="T6" s="29" t="s">
        <v>119</v>
      </c>
      <c r="U6" s="29" t="s">
        <v>132</v>
      </c>
      <c r="V6" s="29" t="s">
        <v>133</v>
      </c>
      <c r="W6" s="29" t="s">
        <v>119</v>
      </c>
    </row>
    <row r="7" customFormat="false" ht="32.8" hidden="false" customHeight="false" outlineLevel="0" collapsed="false">
      <c r="A7" s="29" t="s">
        <v>134</v>
      </c>
      <c r="B7" s="29" t="s">
        <v>135</v>
      </c>
      <c r="C7" s="29" t="s">
        <v>136</v>
      </c>
      <c r="D7" s="29" t="s">
        <v>137</v>
      </c>
      <c r="E7" s="29" t="s">
        <v>138</v>
      </c>
      <c r="F7" s="29" t="s">
        <v>139</v>
      </c>
      <c r="G7" s="29"/>
      <c r="H7" s="29" t="s">
        <v>140</v>
      </c>
      <c r="I7" s="30" t="s">
        <v>141</v>
      </c>
      <c r="J7" s="29"/>
      <c r="K7" s="29"/>
      <c r="L7" s="31"/>
      <c r="M7" s="31"/>
      <c r="N7" s="31"/>
      <c r="O7" s="31"/>
      <c r="P7" s="29" t="s">
        <v>19</v>
      </c>
      <c r="Q7" s="32" t="n">
        <v>46300</v>
      </c>
      <c r="R7" s="29" t="s">
        <v>117</v>
      </c>
      <c r="S7" s="29" t="s">
        <v>142</v>
      </c>
      <c r="T7" s="29" t="s">
        <v>119</v>
      </c>
      <c r="U7" s="29" t="s">
        <v>143</v>
      </c>
      <c r="V7" s="29" t="s">
        <v>144</v>
      </c>
      <c r="W7" s="29" t="s">
        <v>119</v>
      </c>
    </row>
    <row r="8" customFormat="false" ht="43.25" hidden="false" customHeight="false" outlineLevel="0" collapsed="false">
      <c r="A8" s="29" t="s">
        <v>145</v>
      </c>
      <c r="B8" s="29" t="s">
        <v>146</v>
      </c>
      <c r="C8" s="29" t="s">
        <v>147</v>
      </c>
      <c r="D8" s="29" t="s">
        <v>148</v>
      </c>
      <c r="E8" s="29" t="s">
        <v>149</v>
      </c>
      <c r="F8" s="29" t="s">
        <v>139</v>
      </c>
      <c r="G8" s="29"/>
      <c r="H8" s="29" t="s">
        <v>150</v>
      </c>
      <c r="I8" s="30" t="s">
        <v>151</v>
      </c>
      <c r="J8" s="29"/>
      <c r="K8" s="30" t="s">
        <v>152</v>
      </c>
      <c r="L8" s="31"/>
      <c r="M8" s="31"/>
      <c r="N8" s="31"/>
      <c r="O8" s="31"/>
      <c r="P8" s="29" t="s">
        <v>19</v>
      </c>
      <c r="Q8" s="32" t="n">
        <v>46300</v>
      </c>
      <c r="R8" s="29" t="s">
        <v>117</v>
      </c>
      <c r="S8" s="29" t="s">
        <v>153</v>
      </c>
      <c r="T8" s="29" t="s">
        <v>119</v>
      </c>
      <c r="U8" s="29" t="s">
        <v>154</v>
      </c>
      <c r="V8" s="29" t="s">
        <v>155</v>
      </c>
      <c r="W8" s="29" t="s">
        <v>119</v>
      </c>
    </row>
    <row r="9" customFormat="false" ht="32.8" hidden="false" customHeight="false" outlineLevel="0" collapsed="false">
      <c r="A9" s="29" t="s">
        <v>156</v>
      </c>
      <c r="B9" s="29" t="s">
        <v>157</v>
      </c>
      <c r="C9" s="29" t="s">
        <v>158</v>
      </c>
      <c r="D9" s="29" t="s">
        <v>159</v>
      </c>
      <c r="E9" s="29" t="s">
        <v>160</v>
      </c>
      <c r="F9" s="29" t="s">
        <v>127</v>
      </c>
      <c r="G9" s="29"/>
      <c r="H9" s="29" t="s">
        <v>161</v>
      </c>
      <c r="I9" s="30" t="s">
        <v>162</v>
      </c>
      <c r="J9" s="29" t="s">
        <v>163</v>
      </c>
      <c r="K9" s="30" t="s">
        <v>164</v>
      </c>
      <c r="L9" s="31"/>
      <c r="M9" s="31"/>
      <c r="N9" s="31"/>
      <c r="O9" s="31"/>
      <c r="P9" s="29" t="s">
        <v>19</v>
      </c>
      <c r="Q9" s="32" t="n">
        <v>46300</v>
      </c>
      <c r="R9" s="29" t="s">
        <v>117</v>
      </c>
      <c r="S9" s="29" t="s">
        <v>165</v>
      </c>
      <c r="T9" s="29" t="s">
        <v>119</v>
      </c>
      <c r="U9" s="29" t="s">
        <v>166</v>
      </c>
      <c r="V9" s="29" t="s">
        <v>167</v>
      </c>
      <c r="W9" s="29" t="s">
        <v>119</v>
      </c>
    </row>
    <row r="10" customFormat="false" ht="32.8" hidden="false" customHeight="false" outlineLevel="0" collapsed="false">
      <c r="A10" s="29" t="s">
        <v>168</v>
      </c>
      <c r="B10" s="29" t="s">
        <v>169</v>
      </c>
      <c r="C10" s="29" t="s">
        <v>170</v>
      </c>
      <c r="D10" s="29" t="s">
        <v>171</v>
      </c>
      <c r="E10" s="29" t="s">
        <v>172</v>
      </c>
      <c r="F10" s="29" t="s">
        <v>127</v>
      </c>
      <c r="G10" s="29"/>
      <c r="H10" s="29" t="s">
        <v>173</v>
      </c>
      <c r="I10" s="30" t="s">
        <v>174</v>
      </c>
      <c r="J10" s="29" t="s">
        <v>175</v>
      </c>
      <c r="K10" s="30" t="s">
        <v>176</v>
      </c>
      <c r="L10" s="31"/>
      <c r="M10" s="31"/>
      <c r="N10" s="31"/>
      <c r="O10" s="31"/>
      <c r="P10" s="29" t="s">
        <v>19</v>
      </c>
      <c r="Q10" s="32" t="n">
        <v>46300</v>
      </c>
      <c r="R10" s="29" t="s">
        <v>117</v>
      </c>
      <c r="S10" s="29" t="s">
        <v>177</v>
      </c>
      <c r="T10" s="29" t="s">
        <v>119</v>
      </c>
      <c r="U10" s="29" t="s">
        <v>178</v>
      </c>
      <c r="V10" s="29" t="s">
        <v>179</v>
      </c>
      <c r="W10" s="29" t="s">
        <v>119</v>
      </c>
    </row>
    <row r="11" customFormat="false" ht="64.15" hidden="false" customHeight="false" outlineLevel="0" collapsed="false">
      <c r="A11" s="29" t="s">
        <v>180</v>
      </c>
      <c r="B11" s="29" t="s">
        <v>181</v>
      </c>
      <c r="C11" s="29" t="s">
        <v>182</v>
      </c>
      <c r="D11" s="29" t="s">
        <v>183</v>
      </c>
      <c r="E11" s="29" t="s">
        <v>184</v>
      </c>
      <c r="F11" s="29" t="s">
        <v>127</v>
      </c>
      <c r="G11" s="29"/>
      <c r="H11" s="29" t="s">
        <v>185</v>
      </c>
      <c r="I11" s="30" t="s">
        <v>186</v>
      </c>
      <c r="J11" s="29" t="s">
        <v>187</v>
      </c>
      <c r="K11" s="30" t="s">
        <v>188</v>
      </c>
      <c r="L11" s="31"/>
      <c r="M11" s="31"/>
      <c r="N11" s="31"/>
      <c r="O11" s="31"/>
      <c r="P11" s="29" t="s">
        <v>19</v>
      </c>
      <c r="Q11" s="32" t="n">
        <v>46300</v>
      </c>
      <c r="R11" s="29" t="s">
        <v>117</v>
      </c>
      <c r="S11" s="29" t="s">
        <v>189</v>
      </c>
      <c r="T11" s="29" t="s">
        <v>119</v>
      </c>
      <c r="U11" s="29" t="s">
        <v>190</v>
      </c>
      <c r="V11" s="29" t="s">
        <v>191</v>
      </c>
      <c r="W11" s="29" t="s">
        <v>119</v>
      </c>
    </row>
    <row r="12" customFormat="false" ht="32.8" hidden="false" customHeight="false" outlineLevel="0" collapsed="false">
      <c r="A12" s="29" t="s">
        <v>192</v>
      </c>
      <c r="B12" s="29" t="s">
        <v>193</v>
      </c>
      <c r="C12" s="29" t="s">
        <v>194</v>
      </c>
      <c r="D12" s="29" t="s">
        <v>195</v>
      </c>
      <c r="E12" s="29" t="s">
        <v>196</v>
      </c>
      <c r="F12" s="29" t="s">
        <v>127</v>
      </c>
      <c r="G12" s="29"/>
      <c r="H12" s="29" t="s">
        <v>197</v>
      </c>
      <c r="I12" s="30" t="s">
        <v>198</v>
      </c>
      <c r="J12" s="29" t="s">
        <v>199</v>
      </c>
      <c r="K12" s="30" t="s">
        <v>200</v>
      </c>
      <c r="L12" s="31"/>
      <c r="M12" s="31"/>
      <c r="N12" s="31"/>
      <c r="O12" s="31"/>
      <c r="P12" s="29" t="s">
        <v>19</v>
      </c>
      <c r="Q12" s="32" t="n">
        <v>46300</v>
      </c>
      <c r="R12" s="29" t="s">
        <v>117</v>
      </c>
      <c r="S12" s="29" t="s">
        <v>201</v>
      </c>
      <c r="T12" s="29" t="s">
        <v>119</v>
      </c>
      <c r="U12" s="29" t="s">
        <v>202</v>
      </c>
      <c r="V12" s="29" t="s">
        <v>203</v>
      </c>
      <c r="W12" s="29" t="s">
        <v>119</v>
      </c>
    </row>
    <row r="13" customFormat="false" ht="15" hidden="false" customHeight="false" outlineLevel="0" collapsed="false">
      <c r="A13" s="29"/>
      <c r="B13" s="29"/>
      <c r="C13" s="29"/>
      <c r="D13" s="29"/>
      <c r="E13" s="29"/>
      <c r="F13" s="29"/>
      <c r="G13" s="29"/>
      <c r="H13" s="29"/>
      <c r="I13" s="29"/>
      <c r="J13" s="29"/>
      <c r="K13" s="29"/>
      <c r="L13" s="31"/>
      <c r="M13" s="31"/>
      <c r="N13" s="31"/>
      <c r="O13" s="31"/>
      <c r="P13" s="29"/>
      <c r="Q13" s="32"/>
      <c r="R13" s="29"/>
      <c r="S13" s="29"/>
      <c r="T13" s="29"/>
      <c r="U13" s="29"/>
      <c r="V13" s="29"/>
      <c r="W13" s="29"/>
    </row>
    <row r="14" customFormat="false" ht="15" hidden="false" customHeight="false" outlineLevel="0" collapsed="false">
      <c r="A14" s="29"/>
      <c r="B14" s="29"/>
      <c r="C14" s="29"/>
      <c r="D14" s="29"/>
      <c r="E14" s="29"/>
      <c r="F14" s="29"/>
      <c r="G14" s="29"/>
      <c r="H14" s="29"/>
      <c r="I14" s="29"/>
      <c r="J14" s="29"/>
      <c r="K14" s="29"/>
      <c r="L14" s="31"/>
      <c r="M14" s="31"/>
      <c r="N14" s="31"/>
      <c r="O14" s="31"/>
      <c r="P14" s="29"/>
      <c r="Q14" s="32"/>
      <c r="R14" s="29"/>
      <c r="S14" s="29"/>
      <c r="T14" s="29"/>
      <c r="U14" s="29"/>
      <c r="V14" s="29"/>
      <c r="W14" s="29"/>
    </row>
    <row r="15" customFormat="false" ht="15" hidden="false" customHeight="false" outlineLevel="0" collapsed="false">
      <c r="A15" s="29"/>
      <c r="B15" s="29"/>
      <c r="C15" s="29"/>
      <c r="D15" s="29"/>
      <c r="E15" s="29"/>
      <c r="F15" s="29"/>
      <c r="G15" s="29"/>
      <c r="H15" s="29"/>
      <c r="I15" s="29"/>
      <c r="J15" s="29"/>
      <c r="K15" s="29"/>
      <c r="L15" s="31"/>
      <c r="M15" s="31"/>
      <c r="N15" s="31"/>
      <c r="O15" s="31"/>
      <c r="P15" s="29"/>
      <c r="Q15" s="32"/>
      <c r="R15" s="29"/>
      <c r="S15" s="29"/>
      <c r="T15" s="29"/>
      <c r="U15" s="29"/>
      <c r="V15" s="29"/>
      <c r="W15" s="29"/>
    </row>
    <row r="16" customFormat="false" ht="15" hidden="false" customHeight="false" outlineLevel="0" collapsed="false">
      <c r="A16" s="29"/>
      <c r="B16" s="29"/>
      <c r="C16" s="29"/>
      <c r="D16" s="29"/>
      <c r="E16" s="29"/>
      <c r="F16" s="29"/>
      <c r="G16" s="29"/>
      <c r="H16" s="29"/>
      <c r="I16" s="29"/>
      <c r="J16" s="29"/>
      <c r="K16" s="29"/>
      <c r="L16" s="31"/>
      <c r="M16" s="31"/>
      <c r="N16" s="31"/>
      <c r="O16" s="31"/>
      <c r="P16" s="29"/>
      <c r="Q16" s="32"/>
      <c r="R16" s="29"/>
      <c r="S16" s="29"/>
      <c r="T16" s="29"/>
      <c r="U16" s="29"/>
      <c r="V16" s="29"/>
      <c r="W16" s="29"/>
    </row>
    <row r="17" customFormat="false" ht="15" hidden="false" customHeight="false" outlineLevel="0" collapsed="false">
      <c r="A17" s="29"/>
      <c r="B17" s="29"/>
      <c r="C17" s="29"/>
      <c r="D17" s="29"/>
      <c r="E17" s="29"/>
      <c r="F17" s="29"/>
      <c r="G17" s="29"/>
      <c r="H17" s="29"/>
      <c r="I17" s="29"/>
      <c r="J17" s="29"/>
      <c r="K17" s="29"/>
      <c r="L17" s="31"/>
      <c r="M17" s="31"/>
      <c r="N17" s="31"/>
      <c r="O17" s="31"/>
      <c r="P17" s="29"/>
      <c r="Q17" s="32"/>
      <c r="R17" s="29"/>
      <c r="S17" s="29"/>
      <c r="T17" s="29"/>
      <c r="U17" s="29"/>
      <c r="V17" s="29"/>
      <c r="W17" s="29"/>
    </row>
    <row r="18" customFormat="false" ht="15" hidden="false" customHeight="false" outlineLevel="0" collapsed="false">
      <c r="A18" s="29"/>
      <c r="B18" s="29"/>
      <c r="C18" s="29"/>
      <c r="D18" s="29"/>
      <c r="E18" s="29"/>
      <c r="F18" s="29"/>
      <c r="G18" s="29"/>
      <c r="H18" s="29"/>
      <c r="I18" s="29"/>
      <c r="J18" s="29"/>
      <c r="K18" s="29"/>
      <c r="L18" s="31"/>
      <c r="M18" s="31"/>
      <c r="N18" s="31"/>
      <c r="O18" s="31"/>
      <c r="P18" s="29"/>
      <c r="Q18" s="32"/>
      <c r="R18" s="29"/>
      <c r="S18" s="29"/>
      <c r="T18" s="29"/>
      <c r="U18" s="29"/>
      <c r="V18" s="29"/>
      <c r="W18" s="29"/>
    </row>
    <row r="19" customFormat="false" ht="15" hidden="false" customHeight="false" outlineLevel="0" collapsed="false">
      <c r="A19" s="29"/>
      <c r="B19" s="29"/>
      <c r="C19" s="29"/>
      <c r="D19" s="29"/>
      <c r="E19" s="29"/>
      <c r="F19" s="29"/>
      <c r="G19" s="29"/>
      <c r="H19" s="29"/>
      <c r="I19" s="29"/>
      <c r="J19" s="29"/>
      <c r="K19" s="29"/>
      <c r="L19" s="31"/>
      <c r="M19" s="31"/>
      <c r="N19" s="31"/>
      <c r="O19" s="31"/>
      <c r="P19" s="29"/>
      <c r="Q19" s="32"/>
      <c r="R19" s="29"/>
      <c r="S19" s="29"/>
      <c r="T19" s="29"/>
      <c r="U19" s="29"/>
      <c r="V19" s="29"/>
      <c r="W19" s="29"/>
    </row>
    <row r="20" customFormat="false" ht="15" hidden="false" customHeight="false" outlineLevel="0" collapsed="false">
      <c r="A20" s="29"/>
      <c r="B20" s="29"/>
      <c r="C20" s="29"/>
      <c r="D20" s="29"/>
      <c r="E20" s="29"/>
      <c r="F20" s="29"/>
      <c r="G20" s="29"/>
      <c r="H20" s="29"/>
      <c r="I20" s="29"/>
      <c r="J20" s="29"/>
      <c r="K20" s="29"/>
      <c r="L20" s="31"/>
      <c r="M20" s="31"/>
      <c r="N20" s="31"/>
      <c r="O20" s="31"/>
      <c r="P20" s="29"/>
      <c r="Q20" s="32"/>
      <c r="R20" s="29"/>
      <c r="S20" s="29"/>
      <c r="T20" s="29"/>
      <c r="U20" s="29"/>
      <c r="V20" s="29"/>
      <c r="W20" s="29"/>
    </row>
    <row r="21" customFormat="false" ht="15" hidden="false" customHeight="false" outlineLevel="0" collapsed="false">
      <c r="A21" s="29"/>
      <c r="B21" s="29"/>
      <c r="C21" s="29"/>
      <c r="D21" s="29"/>
      <c r="E21" s="29"/>
      <c r="F21" s="29"/>
      <c r="G21" s="29"/>
      <c r="H21" s="29"/>
      <c r="I21" s="29"/>
      <c r="J21" s="29"/>
      <c r="K21" s="29"/>
      <c r="L21" s="31"/>
      <c r="M21" s="31"/>
      <c r="N21" s="31"/>
      <c r="O21" s="31"/>
      <c r="P21" s="29"/>
      <c r="Q21" s="32"/>
      <c r="R21" s="29"/>
      <c r="S21" s="29"/>
      <c r="T21" s="29"/>
      <c r="U21" s="29"/>
      <c r="V21" s="29"/>
      <c r="W21" s="29"/>
    </row>
    <row r="22" customFormat="false" ht="15" hidden="false" customHeight="false" outlineLevel="0" collapsed="false">
      <c r="A22" s="29"/>
      <c r="B22" s="29"/>
      <c r="C22" s="29"/>
      <c r="D22" s="29"/>
      <c r="E22" s="29"/>
      <c r="F22" s="29"/>
      <c r="G22" s="29"/>
      <c r="H22" s="29"/>
      <c r="I22" s="29"/>
      <c r="J22" s="29"/>
      <c r="K22" s="29"/>
      <c r="L22" s="31"/>
      <c r="M22" s="31"/>
      <c r="N22" s="31"/>
      <c r="O22" s="31"/>
      <c r="P22" s="29"/>
      <c r="Q22" s="32"/>
      <c r="R22" s="29"/>
      <c r="S22" s="29"/>
      <c r="T22" s="29"/>
      <c r="U22" s="29"/>
      <c r="V22" s="29"/>
      <c r="W22" s="29"/>
    </row>
    <row r="23" customFormat="false" ht="15" hidden="false" customHeight="false" outlineLevel="0" collapsed="false">
      <c r="A23" s="29"/>
      <c r="B23" s="29"/>
      <c r="C23" s="29"/>
      <c r="D23" s="29"/>
      <c r="E23" s="29"/>
      <c r="F23" s="29"/>
      <c r="G23" s="29"/>
      <c r="H23" s="29"/>
      <c r="I23" s="29"/>
      <c r="J23" s="29"/>
      <c r="K23" s="29"/>
      <c r="L23" s="31"/>
      <c r="M23" s="31"/>
      <c r="N23" s="31"/>
      <c r="O23" s="31"/>
      <c r="P23" s="29"/>
      <c r="Q23" s="32"/>
      <c r="R23" s="29"/>
      <c r="S23" s="29"/>
      <c r="T23" s="29"/>
      <c r="U23" s="29"/>
      <c r="V23" s="29"/>
      <c r="W23" s="29"/>
    </row>
    <row r="24" customFormat="false" ht="15" hidden="false" customHeight="false" outlineLevel="0" collapsed="false">
      <c r="A24" s="29"/>
      <c r="B24" s="29"/>
      <c r="C24" s="29"/>
      <c r="D24" s="29"/>
      <c r="E24" s="29"/>
      <c r="F24" s="29"/>
      <c r="G24" s="29"/>
      <c r="H24" s="29"/>
      <c r="I24" s="29"/>
      <c r="J24" s="29"/>
      <c r="K24" s="29"/>
      <c r="L24" s="31"/>
      <c r="M24" s="31"/>
      <c r="N24" s="31"/>
      <c r="O24" s="31"/>
      <c r="P24" s="29"/>
      <c r="Q24" s="32"/>
      <c r="R24" s="29"/>
      <c r="S24" s="29"/>
      <c r="T24" s="29"/>
      <c r="U24" s="29"/>
      <c r="V24" s="29"/>
      <c r="W24" s="29"/>
    </row>
    <row r="25" customFormat="false" ht="15" hidden="false" customHeight="false" outlineLevel="0" collapsed="false">
      <c r="A25" s="29"/>
      <c r="B25" s="29"/>
      <c r="C25" s="29"/>
      <c r="D25" s="29"/>
      <c r="E25" s="29"/>
      <c r="F25" s="29"/>
      <c r="G25" s="29"/>
      <c r="H25" s="29"/>
      <c r="I25" s="29"/>
      <c r="J25" s="29"/>
      <c r="K25" s="29"/>
      <c r="L25" s="31"/>
      <c r="M25" s="31"/>
      <c r="N25" s="31"/>
      <c r="O25" s="31"/>
      <c r="P25" s="29"/>
      <c r="Q25" s="32"/>
      <c r="R25" s="29"/>
      <c r="S25" s="29"/>
      <c r="T25" s="29"/>
      <c r="U25" s="29"/>
      <c r="V25" s="29"/>
      <c r="W25" s="29"/>
    </row>
    <row r="26" customFormat="false" ht="15" hidden="false" customHeight="false" outlineLevel="0" collapsed="false">
      <c r="A26" s="29"/>
      <c r="B26" s="29"/>
      <c r="C26" s="29"/>
      <c r="D26" s="29"/>
      <c r="E26" s="29"/>
      <c r="F26" s="29"/>
      <c r="G26" s="29"/>
      <c r="H26" s="29"/>
      <c r="I26" s="29"/>
      <c r="J26" s="29"/>
      <c r="K26" s="29"/>
      <c r="L26" s="31"/>
      <c r="M26" s="31"/>
      <c r="N26" s="31"/>
      <c r="O26" s="31"/>
      <c r="P26" s="29"/>
      <c r="Q26" s="32"/>
      <c r="R26" s="29"/>
      <c r="S26" s="29"/>
      <c r="T26" s="29"/>
      <c r="U26" s="29"/>
      <c r="V26" s="29"/>
      <c r="W26" s="29"/>
    </row>
    <row r="27" customFormat="false" ht="15" hidden="false" customHeight="false" outlineLevel="0" collapsed="false">
      <c r="A27" s="29"/>
      <c r="B27" s="29"/>
      <c r="C27" s="29"/>
      <c r="D27" s="29"/>
      <c r="E27" s="29"/>
      <c r="F27" s="29"/>
      <c r="G27" s="29"/>
      <c r="H27" s="29"/>
      <c r="I27" s="29"/>
      <c r="J27" s="29"/>
      <c r="K27" s="29"/>
      <c r="L27" s="31"/>
      <c r="M27" s="31"/>
      <c r="N27" s="31"/>
      <c r="O27" s="31"/>
      <c r="P27" s="29"/>
      <c r="Q27" s="32"/>
      <c r="R27" s="29"/>
      <c r="S27" s="29"/>
      <c r="T27" s="29"/>
      <c r="U27" s="29"/>
      <c r="V27" s="29"/>
      <c r="W27" s="29"/>
    </row>
    <row r="28" customFormat="false" ht="15" hidden="false" customHeight="false" outlineLevel="0" collapsed="false">
      <c r="A28" s="33"/>
      <c r="B28" s="33"/>
      <c r="C28" s="33"/>
      <c r="D28" s="33"/>
      <c r="E28" s="33"/>
      <c r="F28" s="33"/>
      <c r="G28" s="33"/>
      <c r="H28" s="33"/>
      <c r="I28" s="33"/>
      <c r="J28" s="33"/>
      <c r="K28" s="33"/>
      <c r="L28" s="34"/>
      <c r="M28" s="34"/>
      <c r="N28" s="34"/>
      <c r="O28" s="34"/>
      <c r="P28" s="33"/>
      <c r="Q28" s="35"/>
      <c r="R28" s="33"/>
      <c r="S28" s="33"/>
      <c r="T28" s="33"/>
      <c r="U28" s="33"/>
      <c r="V28" s="33"/>
      <c r="W28" s="33"/>
    </row>
    <row r="29" customFormat="false" ht="15" hidden="false" customHeight="false" outlineLevel="0" collapsed="false">
      <c r="A29" s="33"/>
      <c r="B29" s="33"/>
      <c r="C29" s="33"/>
      <c r="D29" s="33"/>
      <c r="E29" s="33"/>
      <c r="F29" s="33"/>
      <c r="G29" s="33"/>
      <c r="H29" s="33"/>
      <c r="I29" s="33"/>
      <c r="J29" s="33"/>
      <c r="K29" s="33"/>
      <c r="L29" s="34"/>
      <c r="M29" s="34"/>
      <c r="N29" s="34"/>
      <c r="O29" s="34"/>
      <c r="P29" s="33"/>
      <c r="Q29" s="35"/>
      <c r="R29" s="33"/>
      <c r="S29" s="33"/>
      <c r="T29" s="33"/>
      <c r="U29" s="33"/>
      <c r="V29" s="33"/>
      <c r="W29" s="33"/>
    </row>
    <row r="30" customFormat="false" ht="15" hidden="false" customHeight="false" outlineLevel="0" collapsed="false">
      <c r="A30" s="33"/>
      <c r="B30" s="33"/>
      <c r="C30" s="33"/>
      <c r="D30" s="33"/>
      <c r="E30" s="33"/>
      <c r="F30" s="33"/>
      <c r="G30" s="33"/>
      <c r="H30" s="33"/>
      <c r="I30" s="33"/>
      <c r="J30" s="33"/>
      <c r="K30" s="33"/>
      <c r="L30" s="34"/>
      <c r="M30" s="34"/>
      <c r="N30" s="34"/>
      <c r="O30" s="34"/>
      <c r="P30" s="33"/>
      <c r="Q30" s="35"/>
      <c r="R30" s="33"/>
      <c r="S30" s="33"/>
      <c r="T30" s="33"/>
      <c r="U30" s="33"/>
      <c r="V30" s="33"/>
      <c r="W30" s="33"/>
    </row>
    <row r="31" customFormat="false" ht="15" hidden="false" customHeight="false" outlineLevel="0" collapsed="false">
      <c r="A31" s="33"/>
      <c r="B31" s="33"/>
      <c r="C31" s="33"/>
      <c r="D31" s="33"/>
      <c r="E31" s="33"/>
      <c r="F31" s="33"/>
      <c r="G31" s="33"/>
      <c r="H31" s="33"/>
      <c r="I31" s="33"/>
      <c r="J31" s="33"/>
      <c r="K31" s="33"/>
      <c r="L31" s="34"/>
      <c r="M31" s="34"/>
      <c r="N31" s="34"/>
      <c r="O31" s="34"/>
      <c r="P31" s="33"/>
      <c r="Q31" s="35"/>
      <c r="R31" s="33"/>
      <c r="S31" s="33"/>
      <c r="T31" s="33"/>
      <c r="U31" s="33"/>
      <c r="V31" s="33"/>
      <c r="W31" s="33"/>
    </row>
    <row r="32" customFormat="false" ht="15" hidden="false" customHeight="false" outlineLevel="0" collapsed="false">
      <c r="A32" s="33"/>
      <c r="B32" s="33"/>
      <c r="C32" s="33"/>
      <c r="D32" s="33"/>
      <c r="E32" s="33"/>
      <c r="F32" s="33"/>
      <c r="G32" s="33"/>
      <c r="H32" s="33"/>
      <c r="I32" s="33"/>
      <c r="J32" s="33"/>
      <c r="K32" s="33"/>
      <c r="L32" s="34"/>
      <c r="M32" s="34"/>
      <c r="N32" s="34"/>
      <c r="O32" s="34"/>
      <c r="P32" s="33"/>
      <c r="Q32" s="35"/>
      <c r="R32" s="33"/>
      <c r="S32" s="33"/>
      <c r="T32" s="33"/>
      <c r="U32" s="33"/>
      <c r="V32" s="33"/>
      <c r="W32" s="33"/>
    </row>
    <row r="33" customFormat="false" ht="15" hidden="false" customHeight="false" outlineLevel="0" collapsed="false">
      <c r="A33" s="33"/>
      <c r="B33" s="33"/>
      <c r="C33" s="33"/>
      <c r="D33" s="33"/>
      <c r="E33" s="33"/>
      <c r="F33" s="33"/>
      <c r="G33" s="33"/>
      <c r="H33" s="33"/>
      <c r="I33" s="33"/>
      <c r="J33" s="33"/>
      <c r="K33" s="33"/>
      <c r="L33" s="34"/>
      <c r="M33" s="34"/>
      <c r="N33" s="34"/>
      <c r="O33" s="34"/>
      <c r="P33" s="33"/>
      <c r="Q33" s="35"/>
      <c r="R33" s="33"/>
      <c r="S33" s="33"/>
      <c r="T33" s="33"/>
      <c r="U33" s="33"/>
      <c r="V33" s="33"/>
      <c r="W33" s="33"/>
    </row>
    <row r="34" customFormat="false" ht="15" hidden="false" customHeight="false" outlineLevel="0" collapsed="false">
      <c r="A34" s="33"/>
      <c r="B34" s="33"/>
      <c r="C34" s="33"/>
      <c r="D34" s="33"/>
      <c r="E34" s="33"/>
      <c r="F34" s="33"/>
      <c r="G34" s="33"/>
      <c r="H34" s="33"/>
      <c r="I34" s="33"/>
      <c r="J34" s="33"/>
      <c r="K34" s="33"/>
      <c r="L34" s="34"/>
      <c r="M34" s="34"/>
      <c r="N34" s="34"/>
      <c r="O34" s="34"/>
      <c r="P34" s="33"/>
      <c r="Q34" s="35"/>
      <c r="R34" s="33"/>
      <c r="S34" s="33"/>
      <c r="T34" s="33"/>
      <c r="U34" s="33"/>
      <c r="V34" s="33"/>
      <c r="W34" s="33"/>
    </row>
    <row r="35" customFormat="false" ht="15" hidden="false" customHeight="false" outlineLevel="0" collapsed="false">
      <c r="A35" s="33"/>
      <c r="B35" s="33"/>
      <c r="C35" s="33"/>
      <c r="D35" s="33"/>
      <c r="E35" s="33"/>
      <c r="F35" s="33"/>
      <c r="G35" s="33"/>
      <c r="H35" s="33"/>
      <c r="I35" s="33"/>
      <c r="J35" s="33"/>
      <c r="K35" s="33"/>
      <c r="L35" s="34"/>
      <c r="M35" s="34"/>
      <c r="N35" s="34"/>
      <c r="O35" s="34"/>
      <c r="P35" s="33"/>
      <c r="Q35" s="35"/>
      <c r="R35" s="33"/>
      <c r="S35" s="33"/>
      <c r="T35" s="33"/>
      <c r="U35" s="33"/>
      <c r="V35" s="33"/>
      <c r="W35" s="33"/>
    </row>
    <row r="36" customFormat="false" ht="15" hidden="false" customHeight="false" outlineLevel="0" collapsed="false">
      <c r="A36" s="33"/>
      <c r="B36" s="33"/>
      <c r="C36" s="33"/>
      <c r="D36" s="33"/>
      <c r="E36" s="33"/>
      <c r="F36" s="33"/>
      <c r="G36" s="33"/>
      <c r="H36" s="33"/>
      <c r="I36" s="33"/>
      <c r="J36" s="33"/>
      <c r="K36" s="33"/>
      <c r="L36" s="34"/>
      <c r="M36" s="34"/>
      <c r="N36" s="34"/>
      <c r="O36" s="34"/>
      <c r="P36" s="33"/>
      <c r="Q36" s="35"/>
      <c r="R36" s="33"/>
      <c r="S36" s="33"/>
      <c r="T36" s="33"/>
      <c r="U36" s="33"/>
      <c r="V36" s="33"/>
      <c r="W36" s="33"/>
    </row>
    <row r="37" customFormat="false" ht="15" hidden="false" customHeight="false" outlineLevel="0" collapsed="false">
      <c r="A37" s="33"/>
      <c r="B37" s="33"/>
      <c r="C37" s="33"/>
      <c r="D37" s="33"/>
      <c r="E37" s="33"/>
      <c r="F37" s="33"/>
      <c r="G37" s="33"/>
      <c r="H37" s="33"/>
      <c r="I37" s="33"/>
      <c r="J37" s="33"/>
      <c r="K37" s="33"/>
      <c r="L37" s="34"/>
      <c r="M37" s="34"/>
      <c r="N37" s="34"/>
      <c r="O37" s="34"/>
      <c r="P37" s="33"/>
      <c r="Q37" s="35"/>
      <c r="R37" s="33"/>
      <c r="S37" s="33"/>
      <c r="T37" s="33"/>
      <c r="U37" s="33"/>
      <c r="V37" s="33"/>
      <c r="W37" s="33"/>
    </row>
    <row r="38" customFormat="false" ht="15" hidden="false" customHeight="false" outlineLevel="0" collapsed="false">
      <c r="A38" s="33"/>
      <c r="B38" s="33"/>
      <c r="C38" s="33"/>
      <c r="D38" s="33"/>
      <c r="E38" s="33"/>
      <c r="F38" s="33"/>
      <c r="G38" s="33"/>
      <c r="H38" s="33"/>
      <c r="I38" s="33"/>
      <c r="J38" s="33"/>
      <c r="K38" s="33"/>
      <c r="L38" s="34"/>
      <c r="M38" s="34"/>
      <c r="N38" s="34"/>
      <c r="O38" s="34"/>
      <c r="P38" s="33"/>
      <c r="Q38" s="35"/>
      <c r="R38" s="33"/>
      <c r="S38" s="33"/>
      <c r="T38" s="33"/>
      <c r="U38" s="33"/>
      <c r="V38" s="33"/>
      <c r="W38" s="33"/>
    </row>
    <row r="39" customFormat="false" ht="15" hidden="false" customHeight="false" outlineLevel="0" collapsed="false">
      <c r="A39" s="33"/>
      <c r="B39" s="33"/>
      <c r="C39" s="33"/>
      <c r="D39" s="33"/>
      <c r="E39" s="33"/>
      <c r="F39" s="33"/>
      <c r="G39" s="33"/>
      <c r="H39" s="33"/>
      <c r="I39" s="33"/>
      <c r="J39" s="33"/>
      <c r="K39" s="33"/>
      <c r="L39" s="34"/>
      <c r="M39" s="34"/>
      <c r="N39" s="34"/>
      <c r="O39" s="34"/>
      <c r="P39" s="33"/>
      <c r="Q39" s="35"/>
      <c r="R39" s="33"/>
      <c r="S39" s="33"/>
      <c r="T39" s="33"/>
      <c r="U39" s="33"/>
      <c r="V39" s="33"/>
      <c r="W39" s="33"/>
    </row>
    <row r="40" customFormat="false" ht="15" hidden="false" customHeight="false" outlineLevel="0" collapsed="false">
      <c r="A40" s="33"/>
      <c r="B40" s="33"/>
      <c r="C40" s="33"/>
      <c r="D40" s="33"/>
      <c r="E40" s="33"/>
      <c r="F40" s="33"/>
      <c r="G40" s="33"/>
      <c r="H40" s="33"/>
      <c r="I40" s="33"/>
      <c r="J40" s="33"/>
      <c r="K40" s="33"/>
      <c r="L40" s="34"/>
      <c r="M40" s="34"/>
      <c r="N40" s="34"/>
      <c r="O40" s="34"/>
      <c r="P40" s="33"/>
      <c r="Q40" s="35"/>
      <c r="R40" s="33"/>
      <c r="S40" s="33"/>
      <c r="T40" s="33"/>
      <c r="U40" s="33"/>
      <c r="V40" s="33"/>
      <c r="W40" s="33"/>
    </row>
    <row r="41" customFormat="false" ht="15" hidden="false" customHeight="false" outlineLevel="0" collapsed="false">
      <c r="A41" s="33"/>
      <c r="B41" s="33"/>
      <c r="C41" s="33"/>
      <c r="D41" s="33"/>
      <c r="E41" s="33"/>
      <c r="F41" s="33"/>
      <c r="G41" s="33"/>
      <c r="H41" s="33"/>
      <c r="I41" s="33"/>
      <c r="J41" s="33"/>
      <c r="K41" s="33"/>
      <c r="L41" s="34"/>
      <c r="M41" s="34"/>
      <c r="N41" s="34"/>
      <c r="O41" s="34"/>
      <c r="P41" s="33"/>
      <c r="Q41" s="35"/>
      <c r="R41" s="33"/>
      <c r="S41" s="33"/>
      <c r="T41" s="33"/>
      <c r="U41" s="33"/>
      <c r="V41" s="33"/>
      <c r="W41" s="33"/>
    </row>
    <row r="42" customFormat="false" ht="15" hidden="false" customHeight="false" outlineLevel="0" collapsed="false">
      <c r="A42" s="33"/>
      <c r="B42" s="33"/>
      <c r="C42" s="33"/>
      <c r="D42" s="33"/>
      <c r="E42" s="33"/>
      <c r="F42" s="33"/>
      <c r="G42" s="33"/>
      <c r="H42" s="33"/>
      <c r="I42" s="33"/>
      <c r="J42" s="33"/>
      <c r="K42" s="33"/>
      <c r="L42" s="34"/>
      <c r="M42" s="34"/>
      <c r="N42" s="34"/>
      <c r="O42" s="34"/>
      <c r="P42" s="33"/>
      <c r="Q42" s="35"/>
      <c r="R42" s="33"/>
      <c r="S42" s="33"/>
      <c r="T42" s="33"/>
      <c r="U42" s="33"/>
      <c r="V42" s="33"/>
      <c r="W42" s="33"/>
    </row>
    <row r="43" customFormat="false" ht="15" hidden="false" customHeight="false" outlineLevel="0" collapsed="false">
      <c r="A43" s="33"/>
      <c r="B43" s="33"/>
      <c r="C43" s="33"/>
      <c r="D43" s="33"/>
      <c r="E43" s="33"/>
      <c r="F43" s="33"/>
      <c r="G43" s="33"/>
      <c r="H43" s="33"/>
      <c r="I43" s="33"/>
      <c r="J43" s="33"/>
      <c r="K43" s="33"/>
      <c r="L43" s="34"/>
      <c r="M43" s="34"/>
      <c r="N43" s="34"/>
      <c r="O43" s="34"/>
      <c r="P43" s="33"/>
      <c r="Q43" s="35"/>
      <c r="R43" s="33"/>
      <c r="S43" s="33"/>
      <c r="T43" s="33"/>
      <c r="U43" s="33"/>
      <c r="V43" s="33"/>
      <c r="W43" s="33"/>
    </row>
    <row r="44" customFormat="false" ht="15" hidden="false" customHeight="false" outlineLevel="0" collapsed="false">
      <c r="A44" s="33"/>
      <c r="B44" s="33"/>
      <c r="C44" s="33"/>
      <c r="D44" s="33"/>
      <c r="E44" s="33"/>
      <c r="F44" s="33"/>
      <c r="G44" s="33"/>
      <c r="H44" s="33"/>
      <c r="I44" s="33"/>
      <c r="J44" s="33"/>
      <c r="K44" s="33"/>
      <c r="L44" s="34"/>
      <c r="M44" s="34"/>
      <c r="N44" s="34"/>
      <c r="O44" s="34"/>
      <c r="P44" s="33"/>
      <c r="Q44" s="35"/>
      <c r="R44" s="33"/>
      <c r="S44" s="33"/>
      <c r="T44" s="33"/>
      <c r="U44" s="33"/>
      <c r="V44" s="33"/>
      <c r="W44" s="33"/>
    </row>
    <row r="45" customFormat="false" ht="15" hidden="false" customHeight="false" outlineLevel="0" collapsed="false">
      <c r="A45" s="33"/>
      <c r="B45" s="33"/>
      <c r="C45" s="33"/>
      <c r="D45" s="33"/>
      <c r="E45" s="33"/>
      <c r="F45" s="33"/>
      <c r="G45" s="33"/>
      <c r="H45" s="33"/>
      <c r="I45" s="33"/>
      <c r="J45" s="33"/>
      <c r="K45" s="33"/>
      <c r="L45" s="34"/>
      <c r="M45" s="34"/>
      <c r="N45" s="34"/>
      <c r="O45" s="34"/>
      <c r="P45" s="33"/>
      <c r="Q45" s="35"/>
      <c r="R45" s="33"/>
      <c r="S45" s="33"/>
      <c r="T45" s="33"/>
      <c r="U45" s="33"/>
      <c r="V45" s="33"/>
      <c r="W45" s="33"/>
    </row>
    <row r="46" customFormat="false" ht="15" hidden="false" customHeight="false" outlineLevel="0" collapsed="false">
      <c r="A46" s="33"/>
      <c r="B46" s="33"/>
      <c r="C46" s="33"/>
      <c r="D46" s="33"/>
      <c r="E46" s="33"/>
      <c r="F46" s="33"/>
      <c r="G46" s="33"/>
      <c r="H46" s="33"/>
      <c r="I46" s="33"/>
      <c r="J46" s="33"/>
      <c r="K46" s="33"/>
      <c r="L46" s="34"/>
      <c r="M46" s="34"/>
      <c r="N46" s="34"/>
      <c r="O46" s="34"/>
      <c r="P46" s="33"/>
      <c r="Q46" s="35"/>
      <c r="R46" s="33"/>
      <c r="S46" s="33"/>
      <c r="T46" s="33"/>
      <c r="U46" s="33"/>
      <c r="V46" s="33"/>
      <c r="W46" s="33"/>
    </row>
    <row r="47" customFormat="false" ht="15" hidden="false" customHeight="false" outlineLevel="0" collapsed="false">
      <c r="A47" s="33"/>
      <c r="B47" s="33"/>
      <c r="C47" s="33"/>
      <c r="D47" s="33"/>
      <c r="E47" s="33"/>
      <c r="F47" s="33"/>
      <c r="G47" s="33"/>
      <c r="H47" s="33"/>
      <c r="I47" s="33"/>
      <c r="J47" s="33"/>
      <c r="K47" s="33"/>
      <c r="L47" s="34"/>
      <c r="M47" s="34"/>
      <c r="N47" s="34"/>
      <c r="O47" s="34"/>
      <c r="P47" s="33"/>
      <c r="Q47" s="35"/>
      <c r="R47" s="33"/>
      <c r="S47" s="33"/>
      <c r="T47" s="33"/>
      <c r="U47" s="33"/>
      <c r="V47" s="33"/>
      <c r="W47" s="33"/>
    </row>
    <row r="48" customFormat="false" ht="15" hidden="false" customHeight="false" outlineLevel="0" collapsed="false">
      <c r="A48" s="33"/>
      <c r="B48" s="33"/>
      <c r="C48" s="33"/>
      <c r="D48" s="33"/>
      <c r="E48" s="33"/>
      <c r="F48" s="33"/>
      <c r="G48" s="33"/>
      <c r="H48" s="33"/>
      <c r="I48" s="33"/>
      <c r="J48" s="33"/>
      <c r="K48" s="33"/>
      <c r="L48" s="34"/>
      <c r="M48" s="34"/>
      <c r="N48" s="34"/>
      <c r="O48" s="34"/>
      <c r="P48" s="33"/>
      <c r="Q48" s="35"/>
      <c r="R48" s="33"/>
      <c r="S48" s="33"/>
      <c r="T48" s="33"/>
      <c r="U48" s="33"/>
      <c r="V48" s="33"/>
      <c r="W48" s="33"/>
    </row>
    <row r="49" customFormat="false" ht="15" hidden="false" customHeight="false" outlineLevel="0" collapsed="false">
      <c r="A49" s="33"/>
      <c r="B49" s="33"/>
      <c r="C49" s="33"/>
      <c r="D49" s="33"/>
      <c r="E49" s="33"/>
      <c r="F49" s="33"/>
      <c r="G49" s="33"/>
      <c r="H49" s="33"/>
      <c r="I49" s="33"/>
      <c r="J49" s="33"/>
      <c r="K49" s="33"/>
      <c r="L49" s="34"/>
      <c r="M49" s="34"/>
      <c r="N49" s="34"/>
      <c r="O49" s="34"/>
      <c r="P49" s="33"/>
      <c r="Q49" s="35"/>
      <c r="R49" s="33"/>
      <c r="S49" s="33"/>
      <c r="T49" s="33"/>
      <c r="U49" s="33"/>
      <c r="V49" s="33"/>
      <c r="W49" s="33"/>
    </row>
    <row r="50" customFormat="false" ht="15" hidden="false" customHeight="false" outlineLevel="0" collapsed="false">
      <c r="A50" s="33"/>
      <c r="B50" s="33"/>
      <c r="C50" s="33"/>
      <c r="D50" s="33"/>
      <c r="E50" s="33"/>
      <c r="F50" s="33"/>
      <c r="G50" s="33"/>
      <c r="H50" s="33"/>
      <c r="I50" s="33"/>
      <c r="J50" s="33"/>
      <c r="K50" s="33"/>
      <c r="L50" s="34"/>
      <c r="M50" s="34"/>
      <c r="N50" s="34"/>
      <c r="O50" s="34"/>
      <c r="P50" s="33"/>
      <c r="Q50" s="35"/>
      <c r="R50" s="33"/>
      <c r="S50" s="33"/>
      <c r="T50" s="33"/>
      <c r="U50" s="33"/>
      <c r="V50" s="33"/>
      <c r="W50" s="33"/>
    </row>
    <row r="51" customFormat="false" ht="15" hidden="false" customHeight="false" outlineLevel="0" collapsed="false">
      <c r="A51" s="33"/>
      <c r="B51" s="33"/>
      <c r="C51" s="33"/>
      <c r="D51" s="33"/>
      <c r="E51" s="33"/>
      <c r="F51" s="33"/>
      <c r="G51" s="33"/>
      <c r="H51" s="33"/>
      <c r="I51" s="33"/>
      <c r="J51" s="33"/>
      <c r="K51" s="33"/>
      <c r="L51" s="34"/>
      <c r="M51" s="34"/>
      <c r="N51" s="34"/>
      <c r="O51" s="34"/>
      <c r="P51" s="33"/>
      <c r="Q51" s="35"/>
      <c r="R51" s="33"/>
      <c r="S51" s="33"/>
      <c r="T51" s="33"/>
      <c r="U51" s="33"/>
      <c r="V51" s="33"/>
      <c r="W51" s="33"/>
    </row>
    <row r="52" customFormat="false" ht="15" hidden="false" customHeight="false" outlineLevel="0" collapsed="false">
      <c r="A52" s="33"/>
      <c r="B52" s="33"/>
      <c r="C52" s="33"/>
      <c r="D52" s="33"/>
      <c r="E52" s="33"/>
      <c r="F52" s="33"/>
      <c r="G52" s="33"/>
      <c r="H52" s="33"/>
      <c r="I52" s="33"/>
      <c r="J52" s="33"/>
      <c r="K52" s="33"/>
      <c r="L52" s="34"/>
      <c r="M52" s="34"/>
      <c r="N52" s="34"/>
      <c r="O52" s="34"/>
      <c r="P52" s="33"/>
      <c r="Q52" s="35"/>
      <c r="R52" s="33"/>
      <c r="S52" s="33"/>
      <c r="T52" s="33"/>
      <c r="U52" s="33"/>
      <c r="V52" s="33"/>
      <c r="W52" s="33"/>
    </row>
    <row r="53" customFormat="false" ht="15" hidden="false" customHeight="false" outlineLevel="0" collapsed="false">
      <c r="A53" s="33"/>
      <c r="B53" s="33"/>
      <c r="C53" s="33"/>
      <c r="D53" s="33"/>
      <c r="E53" s="33"/>
      <c r="F53" s="33"/>
      <c r="G53" s="33"/>
      <c r="H53" s="33"/>
      <c r="I53" s="33"/>
      <c r="J53" s="33"/>
      <c r="K53" s="33"/>
      <c r="L53" s="34"/>
      <c r="M53" s="34"/>
      <c r="N53" s="34"/>
      <c r="O53" s="34"/>
      <c r="P53" s="33"/>
      <c r="Q53" s="35"/>
      <c r="R53" s="33"/>
      <c r="S53" s="33"/>
      <c r="T53" s="33"/>
      <c r="U53" s="33"/>
      <c r="V53" s="33"/>
      <c r="W53" s="33"/>
    </row>
    <row r="54" customFormat="false" ht="15" hidden="false" customHeight="false" outlineLevel="0" collapsed="false">
      <c r="A54" s="33"/>
      <c r="B54" s="33"/>
      <c r="C54" s="33"/>
      <c r="D54" s="33"/>
      <c r="E54" s="33"/>
      <c r="F54" s="33"/>
      <c r="G54" s="33"/>
      <c r="H54" s="33"/>
      <c r="I54" s="33"/>
      <c r="J54" s="33"/>
      <c r="K54" s="33"/>
      <c r="L54" s="34"/>
      <c r="M54" s="34"/>
      <c r="N54" s="34"/>
      <c r="O54" s="34"/>
      <c r="P54" s="33"/>
      <c r="Q54" s="35"/>
      <c r="R54" s="33"/>
      <c r="S54" s="33"/>
      <c r="T54" s="33"/>
      <c r="U54" s="33"/>
      <c r="V54" s="33"/>
      <c r="W54" s="33"/>
    </row>
    <row r="55" customFormat="false" ht="15" hidden="false" customHeight="false" outlineLevel="0" collapsed="false">
      <c r="A55" s="33"/>
      <c r="B55" s="33"/>
      <c r="C55" s="33"/>
      <c r="D55" s="33"/>
      <c r="E55" s="33"/>
      <c r="F55" s="33"/>
      <c r="G55" s="33"/>
      <c r="H55" s="33"/>
      <c r="I55" s="33"/>
      <c r="J55" s="33"/>
      <c r="K55" s="33"/>
      <c r="L55" s="34"/>
      <c r="M55" s="34"/>
      <c r="N55" s="34"/>
      <c r="O55" s="34"/>
      <c r="P55" s="33"/>
      <c r="Q55" s="35"/>
      <c r="R55" s="33"/>
      <c r="S55" s="33"/>
      <c r="T55" s="33"/>
      <c r="U55" s="33"/>
      <c r="V55" s="33"/>
      <c r="W55" s="33"/>
    </row>
    <row r="56" customFormat="false" ht="15" hidden="false" customHeight="false" outlineLevel="0" collapsed="false">
      <c r="A56" s="33"/>
      <c r="B56" s="33"/>
      <c r="C56" s="33"/>
      <c r="D56" s="33"/>
      <c r="E56" s="33"/>
      <c r="F56" s="33"/>
      <c r="G56" s="33"/>
      <c r="H56" s="33"/>
      <c r="I56" s="33"/>
      <c r="J56" s="33"/>
      <c r="K56" s="33"/>
      <c r="L56" s="34"/>
      <c r="M56" s="34"/>
      <c r="N56" s="34"/>
      <c r="O56" s="34"/>
      <c r="P56" s="33"/>
      <c r="Q56" s="35"/>
      <c r="R56" s="33"/>
      <c r="S56" s="33"/>
      <c r="T56" s="33"/>
      <c r="U56" s="33"/>
      <c r="V56" s="33"/>
      <c r="W56" s="33"/>
    </row>
    <row r="57" customFormat="false" ht="15" hidden="false" customHeight="false" outlineLevel="0" collapsed="false">
      <c r="A57" s="33"/>
      <c r="B57" s="33"/>
      <c r="C57" s="33"/>
      <c r="D57" s="33"/>
      <c r="E57" s="33"/>
      <c r="F57" s="33"/>
      <c r="G57" s="33"/>
      <c r="H57" s="33"/>
      <c r="I57" s="33"/>
      <c r="J57" s="33"/>
      <c r="K57" s="33"/>
      <c r="L57" s="34"/>
      <c r="M57" s="34"/>
      <c r="N57" s="34"/>
      <c r="O57" s="34"/>
      <c r="P57" s="33"/>
      <c r="Q57" s="35"/>
      <c r="R57" s="33"/>
      <c r="S57" s="33"/>
      <c r="T57" s="33"/>
      <c r="U57" s="33"/>
      <c r="V57" s="33"/>
      <c r="W57" s="33"/>
    </row>
    <row r="58" customFormat="false" ht="15" hidden="false" customHeight="false" outlineLevel="0" collapsed="false">
      <c r="A58" s="33"/>
      <c r="B58" s="33"/>
      <c r="C58" s="33"/>
      <c r="D58" s="33"/>
      <c r="E58" s="33"/>
      <c r="F58" s="33"/>
      <c r="G58" s="33"/>
      <c r="H58" s="33"/>
      <c r="I58" s="33"/>
      <c r="J58" s="33"/>
      <c r="K58" s="33"/>
      <c r="L58" s="34"/>
      <c r="M58" s="34"/>
      <c r="N58" s="34"/>
      <c r="O58" s="34"/>
      <c r="P58" s="33"/>
      <c r="Q58" s="35"/>
      <c r="R58" s="33"/>
      <c r="S58" s="33"/>
      <c r="T58" s="33"/>
      <c r="U58" s="33"/>
      <c r="V58" s="33"/>
      <c r="W58" s="33"/>
    </row>
    <row r="59" customFormat="false" ht="15" hidden="false" customHeight="false" outlineLevel="0" collapsed="false">
      <c r="A59" s="33"/>
      <c r="B59" s="33"/>
      <c r="C59" s="33"/>
      <c r="D59" s="33"/>
      <c r="E59" s="33"/>
      <c r="F59" s="33"/>
      <c r="G59" s="33"/>
      <c r="H59" s="33"/>
      <c r="I59" s="33"/>
      <c r="J59" s="33"/>
      <c r="K59" s="33"/>
      <c r="L59" s="34"/>
      <c r="M59" s="34"/>
      <c r="N59" s="34"/>
      <c r="O59" s="34"/>
      <c r="P59" s="33"/>
      <c r="Q59" s="35"/>
      <c r="R59" s="33"/>
      <c r="S59" s="33"/>
      <c r="T59" s="33"/>
      <c r="U59" s="33"/>
      <c r="V59" s="33"/>
      <c r="W59" s="33"/>
    </row>
    <row r="60" customFormat="false" ht="15" hidden="false" customHeight="false" outlineLevel="0" collapsed="false">
      <c r="A60" s="33"/>
      <c r="B60" s="33"/>
      <c r="C60" s="33"/>
      <c r="D60" s="33"/>
      <c r="E60" s="33"/>
      <c r="F60" s="33"/>
      <c r="G60" s="33"/>
      <c r="H60" s="33"/>
      <c r="I60" s="33"/>
      <c r="J60" s="33"/>
      <c r="K60" s="33"/>
      <c r="L60" s="34"/>
      <c r="M60" s="34"/>
      <c r="N60" s="34"/>
      <c r="O60" s="34"/>
      <c r="P60" s="33"/>
      <c r="Q60" s="35"/>
      <c r="R60" s="33"/>
      <c r="S60" s="33"/>
      <c r="T60" s="33"/>
      <c r="U60" s="33"/>
      <c r="V60" s="33"/>
      <c r="W60" s="33"/>
    </row>
    <row r="61" customFormat="false" ht="15" hidden="false" customHeight="false" outlineLevel="0" collapsed="false">
      <c r="A61" s="33"/>
      <c r="B61" s="33"/>
      <c r="C61" s="33"/>
      <c r="D61" s="33"/>
      <c r="E61" s="33"/>
      <c r="F61" s="33"/>
      <c r="G61" s="33"/>
      <c r="H61" s="33"/>
      <c r="I61" s="33"/>
      <c r="J61" s="33"/>
      <c r="K61" s="33"/>
      <c r="L61" s="34"/>
      <c r="M61" s="34"/>
      <c r="N61" s="34"/>
      <c r="O61" s="34"/>
      <c r="P61" s="33"/>
      <c r="Q61" s="35"/>
      <c r="R61" s="33"/>
      <c r="S61" s="33"/>
      <c r="T61" s="33"/>
      <c r="U61" s="33"/>
      <c r="V61" s="33"/>
      <c r="W61" s="33"/>
    </row>
    <row r="62" customFormat="false" ht="15" hidden="false" customHeight="false" outlineLevel="0" collapsed="false">
      <c r="A62" s="33"/>
      <c r="B62" s="33"/>
      <c r="C62" s="33"/>
      <c r="D62" s="33"/>
      <c r="E62" s="33"/>
      <c r="F62" s="33"/>
      <c r="G62" s="33"/>
      <c r="H62" s="33"/>
      <c r="I62" s="33"/>
      <c r="J62" s="33"/>
      <c r="K62" s="33"/>
      <c r="L62" s="34"/>
      <c r="M62" s="34"/>
      <c r="N62" s="34"/>
      <c r="O62" s="34"/>
      <c r="P62" s="33"/>
      <c r="Q62" s="35"/>
      <c r="R62" s="33"/>
      <c r="S62" s="33"/>
      <c r="T62" s="33"/>
      <c r="U62" s="33"/>
      <c r="V62" s="33"/>
      <c r="W62" s="33"/>
    </row>
    <row r="63" customFormat="false" ht="15" hidden="false" customHeight="false" outlineLevel="0" collapsed="false">
      <c r="A63" s="33"/>
      <c r="B63" s="33"/>
      <c r="C63" s="33"/>
      <c r="D63" s="33"/>
      <c r="E63" s="33"/>
      <c r="F63" s="33"/>
      <c r="G63" s="33"/>
      <c r="H63" s="33"/>
      <c r="I63" s="33"/>
      <c r="J63" s="33"/>
      <c r="K63" s="33"/>
      <c r="L63" s="34"/>
      <c r="M63" s="34"/>
      <c r="N63" s="34"/>
      <c r="O63" s="34"/>
      <c r="P63" s="33"/>
      <c r="Q63" s="35"/>
      <c r="R63" s="33"/>
      <c r="S63" s="33"/>
      <c r="T63" s="33"/>
      <c r="U63" s="33"/>
      <c r="V63" s="33"/>
      <c r="W63" s="33"/>
    </row>
    <row r="64" customFormat="false" ht="15" hidden="false" customHeight="false" outlineLevel="0" collapsed="false">
      <c r="A64" s="33"/>
      <c r="B64" s="33"/>
      <c r="C64" s="33"/>
      <c r="D64" s="33"/>
      <c r="E64" s="33"/>
      <c r="F64" s="33"/>
      <c r="G64" s="33"/>
      <c r="H64" s="33"/>
      <c r="I64" s="33"/>
      <c r="J64" s="33"/>
      <c r="K64" s="33"/>
      <c r="L64" s="34"/>
      <c r="M64" s="34"/>
      <c r="N64" s="34"/>
      <c r="O64" s="34"/>
      <c r="P64" s="33"/>
      <c r="Q64" s="35"/>
      <c r="R64" s="33"/>
      <c r="S64" s="33"/>
      <c r="T64" s="33"/>
      <c r="U64" s="33"/>
      <c r="V64" s="33"/>
      <c r="W64" s="33"/>
    </row>
    <row r="65" customFormat="false" ht="15" hidden="false" customHeight="false" outlineLevel="0" collapsed="false">
      <c r="A65" s="33"/>
      <c r="B65" s="33"/>
      <c r="C65" s="33"/>
      <c r="D65" s="33"/>
      <c r="E65" s="33"/>
      <c r="F65" s="33"/>
      <c r="G65" s="33"/>
      <c r="H65" s="33"/>
      <c r="I65" s="33"/>
      <c r="J65" s="33"/>
      <c r="K65" s="33"/>
      <c r="L65" s="34"/>
      <c r="M65" s="34"/>
      <c r="N65" s="34"/>
      <c r="O65" s="34"/>
      <c r="P65" s="33"/>
      <c r="Q65" s="35"/>
      <c r="R65" s="33"/>
      <c r="S65" s="33"/>
      <c r="T65" s="33"/>
      <c r="U65" s="33"/>
      <c r="V65" s="33"/>
      <c r="W65" s="33"/>
    </row>
    <row r="66" customFormat="false" ht="15" hidden="false" customHeight="false" outlineLevel="0" collapsed="false">
      <c r="A66" s="33"/>
      <c r="B66" s="33"/>
      <c r="C66" s="33"/>
      <c r="D66" s="33"/>
      <c r="E66" s="33"/>
      <c r="F66" s="33"/>
      <c r="G66" s="33"/>
      <c r="H66" s="33"/>
      <c r="I66" s="33"/>
      <c r="J66" s="33"/>
      <c r="K66" s="33"/>
      <c r="L66" s="34"/>
      <c r="M66" s="34"/>
      <c r="N66" s="34"/>
      <c r="O66" s="34"/>
      <c r="P66" s="33"/>
      <c r="Q66" s="35"/>
      <c r="R66" s="33"/>
      <c r="S66" s="33"/>
      <c r="T66" s="33"/>
      <c r="U66" s="33"/>
      <c r="V66" s="33"/>
      <c r="W66" s="33"/>
    </row>
    <row r="67" customFormat="false" ht="15" hidden="false" customHeight="false" outlineLevel="0" collapsed="false">
      <c r="A67" s="33"/>
      <c r="B67" s="33"/>
      <c r="C67" s="33"/>
      <c r="D67" s="33"/>
      <c r="E67" s="33"/>
      <c r="F67" s="33"/>
      <c r="G67" s="33"/>
      <c r="H67" s="33"/>
      <c r="I67" s="33"/>
      <c r="J67" s="33"/>
      <c r="K67" s="33"/>
      <c r="L67" s="34"/>
      <c r="M67" s="34"/>
      <c r="N67" s="34"/>
      <c r="O67" s="34"/>
      <c r="P67" s="33"/>
      <c r="Q67" s="35"/>
      <c r="R67" s="33"/>
      <c r="S67" s="33"/>
      <c r="T67" s="33"/>
      <c r="U67" s="33"/>
      <c r="V67" s="33"/>
      <c r="W67" s="33"/>
    </row>
    <row r="68" customFormat="false" ht="15" hidden="false" customHeight="false" outlineLevel="0" collapsed="false">
      <c r="A68" s="33"/>
      <c r="B68" s="33"/>
      <c r="C68" s="33"/>
      <c r="D68" s="33"/>
      <c r="E68" s="33"/>
      <c r="F68" s="33"/>
      <c r="G68" s="33"/>
      <c r="H68" s="33"/>
      <c r="I68" s="33"/>
      <c r="J68" s="33"/>
      <c r="K68" s="33"/>
      <c r="L68" s="34"/>
      <c r="M68" s="34"/>
      <c r="N68" s="34"/>
      <c r="O68" s="34"/>
      <c r="P68" s="33"/>
      <c r="Q68" s="35"/>
      <c r="R68" s="33"/>
      <c r="S68" s="33"/>
      <c r="T68" s="33"/>
      <c r="U68" s="33"/>
      <c r="V68" s="33"/>
      <c r="W68" s="33"/>
    </row>
    <row r="69" customFormat="false" ht="15" hidden="false" customHeight="false" outlineLevel="0" collapsed="false">
      <c r="A69" s="33"/>
      <c r="B69" s="33"/>
      <c r="C69" s="33"/>
      <c r="D69" s="33"/>
      <c r="E69" s="33"/>
      <c r="F69" s="33"/>
      <c r="G69" s="33"/>
      <c r="H69" s="33"/>
      <c r="I69" s="33"/>
      <c r="J69" s="33"/>
      <c r="K69" s="33"/>
      <c r="L69" s="34"/>
      <c r="M69" s="34"/>
      <c r="N69" s="34"/>
      <c r="O69" s="34"/>
      <c r="P69" s="33"/>
      <c r="Q69" s="35"/>
      <c r="R69" s="33"/>
      <c r="S69" s="33"/>
      <c r="T69" s="33"/>
      <c r="U69" s="33"/>
      <c r="V69" s="33"/>
      <c r="W69" s="33"/>
    </row>
    <row r="70" customFormat="false" ht="15" hidden="false" customHeight="false" outlineLevel="0" collapsed="false">
      <c r="A70" s="33"/>
      <c r="B70" s="33"/>
      <c r="C70" s="33"/>
      <c r="D70" s="33"/>
      <c r="E70" s="33"/>
      <c r="F70" s="33"/>
      <c r="G70" s="33"/>
      <c r="H70" s="33"/>
      <c r="I70" s="33"/>
      <c r="J70" s="33"/>
      <c r="K70" s="33"/>
      <c r="L70" s="34"/>
      <c r="M70" s="34"/>
      <c r="N70" s="34"/>
      <c r="O70" s="34"/>
      <c r="P70" s="33"/>
      <c r="Q70" s="35"/>
      <c r="R70" s="33"/>
      <c r="S70" s="33"/>
      <c r="T70" s="33"/>
      <c r="U70" s="33"/>
      <c r="V70" s="33"/>
      <c r="W70" s="33"/>
    </row>
    <row r="71" customFormat="false" ht="15" hidden="false" customHeight="false" outlineLevel="0" collapsed="false">
      <c r="A71" s="33"/>
      <c r="B71" s="33"/>
      <c r="C71" s="33"/>
      <c r="D71" s="33"/>
      <c r="E71" s="33"/>
      <c r="F71" s="33"/>
      <c r="G71" s="33"/>
      <c r="H71" s="33"/>
      <c r="I71" s="33"/>
      <c r="J71" s="33"/>
      <c r="K71" s="33"/>
      <c r="L71" s="34"/>
      <c r="M71" s="34"/>
      <c r="N71" s="34"/>
      <c r="O71" s="34"/>
      <c r="P71" s="33"/>
      <c r="Q71" s="35"/>
      <c r="R71" s="33"/>
      <c r="S71" s="33"/>
      <c r="T71" s="33"/>
      <c r="U71" s="33"/>
      <c r="V71" s="33"/>
      <c r="W71" s="33"/>
    </row>
    <row r="72" customFormat="false" ht="15" hidden="false" customHeight="false" outlineLevel="0" collapsed="false">
      <c r="A72" s="33"/>
      <c r="B72" s="33"/>
      <c r="C72" s="33"/>
      <c r="D72" s="33"/>
      <c r="E72" s="33"/>
      <c r="F72" s="33"/>
      <c r="G72" s="33"/>
      <c r="H72" s="33"/>
      <c r="I72" s="33"/>
      <c r="J72" s="33"/>
      <c r="K72" s="33"/>
      <c r="L72" s="34"/>
      <c r="M72" s="34"/>
      <c r="N72" s="34"/>
      <c r="O72" s="34"/>
      <c r="P72" s="33"/>
      <c r="Q72" s="35"/>
      <c r="R72" s="33"/>
      <c r="S72" s="33"/>
      <c r="T72" s="33"/>
      <c r="U72" s="33"/>
      <c r="V72" s="33"/>
      <c r="W72" s="33"/>
    </row>
    <row r="73" customFormat="false" ht="15" hidden="false" customHeight="false" outlineLevel="0" collapsed="false">
      <c r="A73" s="33"/>
      <c r="B73" s="33"/>
      <c r="C73" s="33"/>
      <c r="D73" s="33"/>
      <c r="E73" s="33"/>
      <c r="F73" s="33"/>
      <c r="G73" s="33"/>
      <c r="H73" s="33"/>
      <c r="I73" s="33"/>
      <c r="J73" s="33"/>
      <c r="K73" s="33"/>
      <c r="L73" s="34"/>
      <c r="M73" s="34"/>
      <c r="N73" s="34"/>
      <c r="O73" s="34"/>
      <c r="P73" s="33"/>
      <c r="Q73" s="35"/>
      <c r="R73" s="33"/>
      <c r="S73" s="33"/>
      <c r="T73" s="33"/>
      <c r="U73" s="33"/>
      <c r="V73" s="33"/>
      <c r="W73" s="33"/>
    </row>
    <row r="74" customFormat="false" ht="15" hidden="false" customHeight="false" outlineLevel="0" collapsed="false">
      <c r="A74" s="33"/>
      <c r="B74" s="33"/>
      <c r="C74" s="33"/>
      <c r="D74" s="33"/>
      <c r="E74" s="33"/>
      <c r="F74" s="33"/>
      <c r="G74" s="33"/>
      <c r="H74" s="33"/>
      <c r="I74" s="33"/>
      <c r="J74" s="33"/>
      <c r="K74" s="33"/>
      <c r="L74" s="34"/>
      <c r="M74" s="34"/>
      <c r="N74" s="34"/>
      <c r="O74" s="34"/>
      <c r="P74" s="33"/>
      <c r="Q74" s="35"/>
      <c r="R74" s="33"/>
      <c r="S74" s="33"/>
      <c r="T74" s="33"/>
      <c r="U74" s="33"/>
      <c r="V74" s="33"/>
      <c r="W74" s="33"/>
    </row>
    <row r="75" customFormat="false" ht="15" hidden="false" customHeight="false" outlineLevel="0" collapsed="false">
      <c r="A75" s="33"/>
      <c r="B75" s="33"/>
      <c r="C75" s="33"/>
      <c r="D75" s="33"/>
      <c r="E75" s="33"/>
      <c r="F75" s="33"/>
      <c r="G75" s="33"/>
      <c r="H75" s="33"/>
      <c r="I75" s="33"/>
      <c r="J75" s="33"/>
      <c r="K75" s="33"/>
      <c r="L75" s="34"/>
      <c r="M75" s="34"/>
      <c r="N75" s="34"/>
      <c r="O75" s="34"/>
      <c r="P75" s="33"/>
      <c r="Q75" s="35"/>
      <c r="R75" s="33"/>
      <c r="S75" s="33"/>
      <c r="T75" s="33"/>
      <c r="U75" s="33"/>
      <c r="V75" s="33"/>
      <c r="W75" s="33"/>
    </row>
    <row r="76" customFormat="false" ht="15" hidden="false" customHeight="false" outlineLevel="0" collapsed="false">
      <c r="A76" s="33"/>
      <c r="B76" s="33"/>
      <c r="C76" s="33"/>
      <c r="D76" s="33"/>
      <c r="E76" s="33"/>
      <c r="F76" s="33"/>
      <c r="G76" s="33"/>
      <c r="H76" s="33"/>
      <c r="I76" s="33"/>
      <c r="J76" s="33"/>
      <c r="K76" s="33"/>
      <c r="L76" s="34"/>
      <c r="M76" s="34"/>
      <c r="N76" s="34"/>
      <c r="O76" s="34"/>
      <c r="P76" s="33"/>
      <c r="Q76" s="35"/>
      <c r="R76" s="33"/>
      <c r="S76" s="33"/>
      <c r="T76" s="33"/>
      <c r="U76" s="33"/>
      <c r="V76" s="33"/>
      <c r="W76" s="33"/>
    </row>
    <row r="77" customFormat="false" ht="15" hidden="false" customHeight="false" outlineLevel="0" collapsed="false">
      <c r="A77" s="33"/>
      <c r="B77" s="33"/>
      <c r="C77" s="33"/>
      <c r="D77" s="33"/>
      <c r="E77" s="33"/>
      <c r="F77" s="33"/>
      <c r="G77" s="33"/>
      <c r="H77" s="33"/>
      <c r="I77" s="33"/>
      <c r="J77" s="33"/>
      <c r="K77" s="33"/>
      <c r="L77" s="34"/>
      <c r="M77" s="34"/>
      <c r="N77" s="34"/>
      <c r="O77" s="34"/>
      <c r="P77" s="33"/>
      <c r="Q77" s="35"/>
      <c r="R77" s="33"/>
      <c r="S77" s="33"/>
      <c r="T77" s="33"/>
      <c r="U77" s="33"/>
      <c r="V77" s="33"/>
      <c r="W77" s="33"/>
    </row>
    <row r="78" customFormat="false" ht="15" hidden="false" customHeight="false" outlineLevel="0" collapsed="false">
      <c r="A78" s="33"/>
      <c r="B78" s="33"/>
      <c r="C78" s="33"/>
      <c r="D78" s="33"/>
      <c r="E78" s="33"/>
      <c r="F78" s="33"/>
      <c r="G78" s="33"/>
      <c r="H78" s="33"/>
      <c r="I78" s="33"/>
      <c r="J78" s="33"/>
      <c r="K78" s="33"/>
      <c r="L78" s="34"/>
      <c r="M78" s="34"/>
      <c r="N78" s="34"/>
      <c r="O78" s="34"/>
      <c r="P78" s="33"/>
      <c r="Q78" s="35"/>
      <c r="R78" s="33"/>
      <c r="S78" s="33"/>
      <c r="T78" s="33"/>
      <c r="U78" s="33"/>
      <c r="V78" s="33"/>
      <c r="W78" s="33"/>
    </row>
    <row r="79" customFormat="false" ht="15" hidden="false" customHeight="false" outlineLevel="0" collapsed="false">
      <c r="A79" s="33"/>
      <c r="B79" s="33"/>
      <c r="C79" s="33"/>
      <c r="D79" s="33"/>
      <c r="E79" s="33"/>
      <c r="F79" s="33"/>
      <c r="G79" s="33"/>
      <c r="H79" s="33"/>
      <c r="I79" s="33"/>
      <c r="J79" s="33"/>
      <c r="K79" s="33"/>
      <c r="L79" s="34"/>
      <c r="M79" s="34"/>
      <c r="N79" s="34"/>
      <c r="O79" s="34"/>
      <c r="P79" s="33"/>
      <c r="Q79" s="35"/>
      <c r="R79" s="33"/>
      <c r="S79" s="33"/>
      <c r="T79" s="33"/>
      <c r="U79" s="33"/>
      <c r="V79" s="33"/>
      <c r="W79" s="33"/>
    </row>
    <row r="80" customFormat="false" ht="15" hidden="false" customHeight="false" outlineLevel="0" collapsed="false">
      <c r="A80" s="33"/>
      <c r="B80" s="33"/>
      <c r="C80" s="33"/>
      <c r="D80" s="33"/>
      <c r="E80" s="33"/>
      <c r="F80" s="33"/>
      <c r="G80" s="33"/>
      <c r="H80" s="33"/>
      <c r="I80" s="33"/>
      <c r="J80" s="33"/>
      <c r="K80" s="33"/>
      <c r="L80" s="34"/>
      <c r="M80" s="34"/>
      <c r="N80" s="34"/>
      <c r="O80" s="34"/>
      <c r="P80" s="33"/>
      <c r="Q80" s="35"/>
      <c r="R80" s="33"/>
      <c r="S80" s="33"/>
      <c r="T80" s="33"/>
      <c r="U80" s="33"/>
      <c r="V80" s="33"/>
      <c r="W80" s="33"/>
    </row>
    <row r="81" customFormat="false" ht="15" hidden="false" customHeight="false" outlineLevel="0" collapsed="false">
      <c r="A81" s="33"/>
      <c r="B81" s="33"/>
      <c r="C81" s="33"/>
      <c r="D81" s="33"/>
      <c r="E81" s="33"/>
      <c r="F81" s="33"/>
      <c r="G81" s="33"/>
      <c r="H81" s="33"/>
      <c r="I81" s="33"/>
      <c r="J81" s="33"/>
      <c r="K81" s="33"/>
      <c r="L81" s="34"/>
      <c r="M81" s="34"/>
      <c r="N81" s="34"/>
      <c r="O81" s="34"/>
      <c r="P81" s="33"/>
      <c r="Q81" s="35"/>
      <c r="R81" s="33"/>
      <c r="S81" s="33"/>
      <c r="T81" s="33"/>
      <c r="U81" s="33"/>
      <c r="V81" s="33"/>
      <c r="W81" s="33"/>
    </row>
    <row r="82" customFormat="false" ht="15" hidden="false" customHeight="false" outlineLevel="0" collapsed="false">
      <c r="A82" s="33"/>
      <c r="B82" s="33"/>
      <c r="C82" s="33"/>
      <c r="D82" s="33"/>
      <c r="E82" s="33"/>
      <c r="F82" s="33"/>
      <c r="G82" s="33"/>
      <c r="H82" s="33"/>
      <c r="I82" s="33"/>
      <c r="J82" s="33"/>
      <c r="K82" s="33"/>
      <c r="L82" s="34"/>
      <c r="M82" s="34"/>
      <c r="N82" s="34"/>
      <c r="O82" s="34"/>
      <c r="P82" s="33"/>
      <c r="Q82" s="35"/>
      <c r="R82" s="33"/>
      <c r="S82" s="33"/>
      <c r="T82" s="33"/>
      <c r="U82" s="33"/>
      <c r="V82" s="33"/>
      <c r="W82" s="33"/>
    </row>
    <row r="83" customFormat="false" ht="15" hidden="false" customHeight="false" outlineLevel="0" collapsed="false">
      <c r="A83" s="33"/>
      <c r="B83" s="33"/>
      <c r="C83" s="33"/>
      <c r="D83" s="33"/>
      <c r="E83" s="33"/>
      <c r="F83" s="33"/>
      <c r="G83" s="33"/>
      <c r="H83" s="33"/>
      <c r="I83" s="33"/>
      <c r="J83" s="33"/>
      <c r="K83" s="33"/>
      <c r="L83" s="34"/>
      <c r="M83" s="34"/>
      <c r="N83" s="34"/>
      <c r="O83" s="34"/>
      <c r="P83" s="33"/>
      <c r="Q83" s="35"/>
      <c r="R83" s="33"/>
      <c r="S83" s="33"/>
      <c r="T83" s="33"/>
      <c r="U83" s="33"/>
      <c r="V83" s="33"/>
      <c r="W83" s="33"/>
    </row>
    <row r="84" customFormat="false" ht="15" hidden="false" customHeight="false" outlineLevel="0" collapsed="false">
      <c r="A84" s="33"/>
      <c r="B84" s="33"/>
      <c r="C84" s="33"/>
      <c r="D84" s="33"/>
      <c r="E84" s="33"/>
      <c r="F84" s="33"/>
      <c r="G84" s="33"/>
      <c r="H84" s="33"/>
      <c r="I84" s="33"/>
      <c r="J84" s="33"/>
      <c r="K84" s="33"/>
      <c r="L84" s="34"/>
      <c r="M84" s="34"/>
      <c r="N84" s="34"/>
      <c r="O84" s="34"/>
      <c r="P84" s="33"/>
      <c r="Q84" s="35"/>
      <c r="R84" s="33"/>
      <c r="S84" s="33"/>
      <c r="T84" s="33"/>
      <c r="U84" s="33"/>
      <c r="V84" s="33"/>
      <c r="W84" s="33"/>
    </row>
    <row r="85" customFormat="false" ht="15" hidden="false" customHeight="false" outlineLevel="0" collapsed="false">
      <c r="A85" s="33"/>
      <c r="B85" s="33"/>
      <c r="C85" s="33"/>
      <c r="D85" s="33"/>
      <c r="E85" s="33"/>
      <c r="F85" s="33"/>
      <c r="G85" s="33"/>
      <c r="H85" s="33"/>
      <c r="I85" s="33"/>
      <c r="J85" s="33"/>
      <c r="K85" s="33"/>
      <c r="L85" s="34"/>
      <c r="M85" s="34"/>
      <c r="N85" s="34"/>
      <c r="O85" s="34"/>
      <c r="P85" s="33"/>
      <c r="Q85" s="35"/>
      <c r="R85" s="33"/>
      <c r="S85" s="33"/>
      <c r="T85" s="33"/>
      <c r="U85" s="33"/>
      <c r="V85" s="33"/>
      <c r="W85" s="33"/>
    </row>
    <row r="86" customFormat="false" ht="15" hidden="false" customHeight="false" outlineLevel="0" collapsed="false">
      <c r="A86" s="33"/>
      <c r="B86" s="33"/>
      <c r="C86" s="33"/>
      <c r="D86" s="33"/>
      <c r="E86" s="33"/>
      <c r="F86" s="33"/>
      <c r="G86" s="33"/>
      <c r="H86" s="33"/>
      <c r="I86" s="33"/>
      <c r="J86" s="33"/>
      <c r="K86" s="33"/>
      <c r="L86" s="34"/>
      <c r="M86" s="34"/>
      <c r="N86" s="34"/>
      <c r="O86" s="34"/>
      <c r="P86" s="33"/>
      <c r="Q86" s="35"/>
      <c r="R86" s="33"/>
      <c r="S86" s="33"/>
      <c r="T86" s="33"/>
      <c r="U86" s="33"/>
      <c r="V86" s="33"/>
      <c r="W86" s="33"/>
    </row>
    <row r="87" customFormat="false" ht="15" hidden="false" customHeight="false" outlineLevel="0" collapsed="false">
      <c r="A87" s="33"/>
      <c r="B87" s="33"/>
      <c r="C87" s="33"/>
      <c r="D87" s="33"/>
      <c r="E87" s="33"/>
      <c r="F87" s="33"/>
      <c r="G87" s="33"/>
      <c r="H87" s="33"/>
      <c r="I87" s="33"/>
      <c r="J87" s="33"/>
      <c r="K87" s="33"/>
      <c r="L87" s="34"/>
      <c r="M87" s="34"/>
      <c r="N87" s="34"/>
      <c r="O87" s="34"/>
      <c r="P87" s="33"/>
      <c r="Q87" s="35"/>
      <c r="R87" s="33"/>
      <c r="S87" s="33"/>
      <c r="T87" s="33"/>
      <c r="U87" s="33"/>
      <c r="V87" s="33"/>
      <c r="W87" s="33"/>
    </row>
    <row r="88" customFormat="false" ht="15" hidden="false" customHeight="false" outlineLevel="0" collapsed="false">
      <c r="A88" s="33"/>
      <c r="B88" s="33"/>
      <c r="C88" s="33"/>
      <c r="D88" s="33"/>
      <c r="E88" s="33"/>
      <c r="F88" s="33"/>
      <c r="G88" s="33"/>
      <c r="H88" s="33"/>
      <c r="I88" s="33"/>
      <c r="J88" s="33"/>
      <c r="K88" s="33"/>
      <c r="L88" s="34"/>
      <c r="M88" s="34"/>
      <c r="N88" s="34"/>
      <c r="O88" s="34"/>
      <c r="P88" s="33"/>
      <c r="Q88" s="35"/>
      <c r="R88" s="33"/>
      <c r="S88" s="33"/>
      <c r="T88" s="33"/>
      <c r="U88" s="33"/>
      <c r="V88" s="33"/>
      <c r="W88" s="33"/>
    </row>
    <row r="89" customFormat="false" ht="15" hidden="false" customHeight="false" outlineLevel="0" collapsed="false">
      <c r="A89" s="33"/>
      <c r="B89" s="33"/>
      <c r="C89" s="33"/>
      <c r="D89" s="33"/>
      <c r="E89" s="33"/>
      <c r="F89" s="33"/>
      <c r="G89" s="33"/>
      <c r="H89" s="33"/>
      <c r="I89" s="33"/>
      <c r="J89" s="33"/>
      <c r="K89" s="33"/>
      <c r="L89" s="34"/>
      <c r="M89" s="34"/>
      <c r="N89" s="34"/>
      <c r="O89" s="34"/>
      <c r="P89" s="33"/>
      <c r="Q89" s="35"/>
      <c r="R89" s="33"/>
      <c r="S89" s="33"/>
      <c r="T89" s="33"/>
      <c r="U89" s="33"/>
      <c r="V89" s="33"/>
      <c r="W89" s="33"/>
    </row>
    <row r="90" customFormat="false" ht="15" hidden="false" customHeight="false" outlineLevel="0" collapsed="false">
      <c r="A90" s="33"/>
      <c r="B90" s="33"/>
      <c r="C90" s="33"/>
      <c r="D90" s="33"/>
      <c r="E90" s="33"/>
      <c r="F90" s="33"/>
      <c r="G90" s="33"/>
      <c r="H90" s="33"/>
      <c r="I90" s="33"/>
      <c r="J90" s="33"/>
      <c r="K90" s="33"/>
      <c r="L90" s="34"/>
      <c r="M90" s="34"/>
      <c r="N90" s="34"/>
      <c r="O90" s="34"/>
      <c r="P90" s="33"/>
      <c r="Q90" s="35"/>
      <c r="R90" s="33"/>
      <c r="S90" s="33"/>
      <c r="T90" s="33"/>
      <c r="U90" s="33"/>
      <c r="V90" s="33"/>
      <c r="W90" s="33"/>
    </row>
    <row r="91" customFormat="false" ht="15" hidden="false" customHeight="false" outlineLevel="0" collapsed="false">
      <c r="A91" s="33"/>
      <c r="B91" s="33"/>
      <c r="C91" s="33"/>
      <c r="D91" s="33"/>
      <c r="E91" s="33"/>
      <c r="F91" s="33"/>
      <c r="G91" s="33"/>
      <c r="H91" s="33"/>
      <c r="I91" s="33"/>
      <c r="J91" s="33"/>
      <c r="K91" s="33"/>
      <c r="L91" s="34"/>
      <c r="M91" s="34"/>
      <c r="N91" s="34"/>
      <c r="O91" s="34"/>
      <c r="P91" s="33"/>
      <c r="Q91" s="35"/>
      <c r="R91" s="33"/>
      <c r="S91" s="33"/>
      <c r="T91" s="33"/>
      <c r="U91" s="33"/>
      <c r="V91" s="33"/>
      <c r="W91" s="33"/>
    </row>
    <row r="92" customFormat="false" ht="15" hidden="false" customHeight="false" outlineLevel="0" collapsed="false">
      <c r="A92" s="33"/>
      <c r="B92" s="33"/>
      <c r="C92" s="33"/>
      <c r="D92" s="33"/>
      <c r="E92" s="33"/>
      <c r="F92" s="33"/>
      <c r="G92" s="33"/>
      <c r="H92" s="33"/>
      <c r="I92" s="33"/>
      <c r="J92" s="33"/>
      <c r="K92" s="33"/>
      <c r="L92" s="34"/>
      <c r="M92" s="34"/>
      <c r="N92" s="34"/>
      <c r="O92" s="34"/>
      <c r="P92" s="33"/>
      <c r="Q92" s="35"/>
      <c r="R92" s="33"/>
      <c r="S92" s="33"/>
      <c r="T92" s="33"/>
      <c r="U92" s="33"/>
      <c r="V92" s="33"/>
      <c r="W92" s="33"/>
    </row>
    <row r="93" customFormat="false" ht="15" hidden="false" customHeight="false" outlineLevel="0" collapsed="false">
      <c r="A93" s="33"/>
      <c r="B93" s="33"/>
      <c r="C93" s="33"/>
      <c r="D93" s="33"/>
      <c r="E93" s="33"/>
      <c r="F93" s="33"/>
      <c r="G93" s="33"/>
      <c r="H93" s="33"/>
      <c r="I93" s="33"/>
      <c r="J93" s="33"/>
      <c r="K93" s="33"/>
      <c r="L93" s="34"/>
      <c r="M93" s="34"/>
      <c r="N93" s="34"/>
      <c r="O93" s="34"/>
      <c r="P93" s="33"/>
      <c r="Q93" s="35"/>
      <c r="R93" s="33"/>
      <c r="S93" s="33"/>
      <c r="T93" s="33"/>
      <c r="U93" s="33"/>
      <c r="V93" s="33"/>
      <c r="W93" s="33"/>
    </row>
    <row r="94" customFormat="false" ht="15" hidden="false" customHeight="false" outlineLevel="0" collapsed="false">
      <c r="A94" s="33"/>
      <c r="B94" s="33"/>
      <c r="C94" s="33"/>
      <c r="D94" s="33"/>
      <c r="E94" s="33"/>
      <c r="F94" s="33"/>
      <c r="G94" s="33"/>
      <c r="H94" s="33"/>
      <c r="I94" s="33"/>
      <c r="J94" s="33"/>
      <c r="K94" s="33"/>
      <c r="L94" s="34"/>
      <c r="M94" s="34"/>
      <c r="N94" s="34"/>
      <c r="O94" s="34"/>
      <c r="P94" s="33"/>
      <c r="Q94" s="35"/>
      <c r="R94" s="33"/>
      <c r="S94" s="33"/>
      <c r="T94" s="33"/>
      <c r="U94" s="33"/>
      <c r="V94" s="33"/>
      <c r="W94" s="33"/>
    </row>
    <row r="95" customFormat="false" ht="15" hidden="false" customHeight="false" outlineLevel="0" collapsed="false">
      <c r="A95" s="33"/>
      <c r="B95" s="33"/>
      <c r="C95" s="33"/>
      <c r="D95" s="33"/>
      <c r="E95" s="33"/>
      <c r="F95" s="33"/>
      <c r="G95" s="33"/>
      <c r="H95" s="33"/>
      <c r="I95" s="33"/>
      <c r="J95" s="33"/>
      <c r="K95" s="33"/>
      <c r="L95" s="34"/>
      <c r="M95" s="34"/>
      <c r="N95" s="34"/>
      <c r="O95" s="34"/>
      <c r="P95" s="33"/>
      <c r="Q95" s="35"/>
      <c r="R95" s="33"/>
      <c r="S95" s="33"/>
      <c r="T95" s="33"/>
      <c r="U95" s="33"/>
      <c r="V95" s="33"/>
      <c r="W95" s="33"/>
    </row>
    <row r="96" customFormat="false" ht="15" hidden="false" customHeight="false" outlineLevel="0" collapsed="false">
      <c r="A96" s="33"/>
      <c r="B96" s="33"/>
      <c r="C96" s="33"/>
      <c r="D96" s="33"/>
      <c r="E96" s="33"/>
      <c r="F96" s="33"/>
      <c r="G96" s="33"/>
      <c r="H96" s="33"/>
      <c r="I96" s="33"/>
      <c r="J96" s="33"/>
      <c r="K96" s="33"/>
      <c r="L96" s="34"/>
      <c r="M96" s="34"/>
      <c r="N96" s="34"/>
      <c r="O96" s="34"/>
      <c r="P96" s="33"/>
      <c r="Q96" s="35"/>
      <c r="R96" s="33"/>
      <c r="S96" s="33"/>
      <c r="T96" s="33"/>
      <c r="U96" s="33"/>
      <c r="V96" s="33"/>
      <c r="W96" s="33"/>
    </row>
    <row r="97" customFormat="false" ht="15" hidden="false" customHeight="false" outlineLevel="0" collapsed="false">
      <c r="A97" s="33"/>
      <c r="B97" s="33"/>
      <c r="C97" s="33"/>
      <c r="D97" s="33"/>
      <c r="E97" s="33"/>
      <c r="F97" s="33"/>
      <c r="G97" s="33"/>
      <c r="H97" s="33"/>
      <c r="I97" s="33"/>
      <c r="J97" s="33"/>
      <c r="K97" s="33"/>
      <c r="L97" s="34"/>
      <c r="M97" s="34"/>
      <c r="N97" s="34"/>
      <c r="O97" s="34"/>
      <c r="P97" s="33"/>
      <c r="Q97" s="35"/>
      <c r="R97" s="33"/>
      <c r="S97" s="33"/>
      <c r="T97" s="33"/>
      <c r="U97" s="33"/>
      <c r="V97" s="33"/>
      <c r="W97" s="33"/>
    </row>
    <row r="98" customFormat="false" ht="15" hidden="false" customHeight="false" outlineLevel="0" collapsed="false">
      <c r="A98" s="33"/>
      <c r="B98" s="33"/>
      <c r="C98" s="33"/>
      <c r="D98" s="33"/>
      <c r="E98" s="33"/>
      <c r="F98" s="33"/>
      <c r="G98" s="33"/>
      <c r="H98" s="33"/>
      <c r="I98" s="33"/>
      <c r="J98" s="33"/>
      <c r="K98" s="33"/>
      <c r="L98" s="34"/>
      <c r="M98" s="34"/>
      <c r="N98" s="34"/>
      <c r="O98" s="34"/>
      <c r="P98" s="33"/>
      <c r="Q98" s="35"/>
      <c r="R98" s="33"/>
      <c r="S98" s="33"/>
      <c r="T98" s="33"/>
      <c r="U98" s="33"/>
      <c r="V98" s="33"/>
      <c r="W98" s="33"/>
    </row>
    <row r="99" customFormat="false" ht="15" hidden="false" customHeight="false" outlineLevel="0" collapsed="false">
      <c r="A99" s="33"/>
      <c r="B99" s="33"/>
      <c r="C99" s="33"/>
      <c r="D99" s="33"/>
      <c r="E99" s="33"/>
      <c r="F99" s="33"/>
      <c r="G99" s="33"/>
      <c r="H99" s="33"/>
      <c r="I99" s="33"/>
      <c r="J99" s="33"/>
      <c r="K99" s="33"/>
      <c r="L99" s="34"/>
      <c r="M99" s="34"/>
      <c r="N99" s="34"/>
      <c r="O99" s="34"/>
      <c r="P99" s="33"/>
      <c r="Q99" s="35"/>
      <c r="R99" s="33"/>
      <c r="S99" s="33"/>
      <c r="T99" s="33"/>
      <c r="U99" s="33"/>
      <c r="V99" s="33"/>
      <c r="W99" s="33"/>
    </row>
    <row r="100" customFormat="false" ht="15" hidden="false" customHeight="false" outlineLevel="0" collapsed="false">
      <c r="A100" s="33"/>
      <c r="B100" s="33"/>
      <c r="C100" s="33"/>
      <c r="D100" s="33"/>
      <c r="E100" s="33"/>
      <c r="F100" s="33"/>
      <c r="G100" s="33"/>
      <c r="H100" s="33"/>
      <c r="I100" s="33"/>
      <c r="J100" s="33"/>
      <c r="K100" s="33"/>
      <c r="L100" s="34"/>
      <c r="M100" s="34"/>
      <c r="N100" s="34"/>
      <c r="O100" s="34"/>
      <c r="P100" s="33"/>
      <c r="Q100" s="35"/>
      <c r="R100" s="33"/>
      <c r="S100" s="33"/>
      <c r="T100" s="33"/>
      <c r="U100" s="33"/>
      <c r="V100" s="33"/>
      <c r="W100" s="33"/>
    </row>
    <row r="101" customFormat="false" ht="15" hidden="false" customHeight="false" outlineLevel="0" collapsed="false">
      <c r="A101" s="33"/>
      <c r="B101" s="33"/>
      <c r="C101" s="33"/>
      <c r="D101" s="33"/>
      <c r="E101" s="33"/>
      <c r="F101" s="33"/>
      <c r="G101" s="33"/>
      <c r="H101" s="33"/>
      <c r="I101" s="33"/>
      <c r="J101" s="33"/>
      <c r="K101" s="33"/>
      <c r="L101" s="34"/>
      <c r="M101" s="34"/>
      <c r="N101" s="34"/>
      <c r="O101" s="34"/>
      <c r="P101" s="33"/>
      <c r="Q101" s="35"/>
      <c r="R101" s="33"/>
      <c r="S101" s="33"/>
      <c r="T101" s="33"/>
      <c r="U101" s="33"/>
      <c r="V101" s="33"/>
      <c r="W101" s="33"/>
    </row>
    <row r="102" customFormat="false" ht="15" hidden="false" customHeight="false" outlineLevel="0" collapsed="false">
      <c r="A102" s="33"/>
      <c r="B102" s="33"/>
      <c r="C102" s="33"/>
      <c r="D102" s="33"/>
      <c r="E102" s="33"/>
      <c r="F102" s="33"/>
      <c r="G102" s="33"/>
      <c r="H102" s="33"/>
      <c r="I102" s="33"/>
      <c r="J102" s="33"/>
      <c r="K102" s="33"/>
      <c r="L102" s="34"/>
      <c r="M102" s="34"/>
      <c r="N102" s="34"/>
      <c r="O102" s="34"/>
      <c r="P102" s="33"/>
      <c r="Q102" s="35"/>
      <c r="R102" s="33"/>
      <c r="S102" s="33"/>
      <c r="T102" s="33"/>
      <c r="U102" s="33"/>
      <c r="V102" s="33"/>
      <c r="W102" s="33"/>
    </row>
    <row r="103" customFormat="false" ht="15" hidden="false" customHeight="false" outlineLevel="0" collapsed="false">
      <c r="A103" s="33"/>
      <c r="B103" s="33"/>
      <c r="C103" s="33"/>
      <c r="D103" s="33"/>
      <c r="E103" s="33"/>
      <c r="F103" s="33"/>
      <c r="G103" s="33"/>
      <c r="H103" s="33"/>
      <c r="I103" s="33"/>
      <c r="J103" s="33"/>
      <c r="K103" s="33"/>
      <c r="L103" s="34"/>
      <c r="M103" s="34"/>
      <c r="N103" s="34"/>
      <c r="O103" s="34"/>
      <c r="P103" s="33"/>
      <c r="Q103" s="35"/>
      <c r="R103" s="33"/>
      <c r="S103" s="33"/>
      <c r="T103" s="33"/>
      <c r="U103" s="33"/>
      <c r="V103" s="33"/>
      <c r="W103" s="33"/>
    </row>
    <row r="104" customFormat="false" ht="15" hidden="false" customHeight="false" outlineLevel="0" collapsed="false">
      <c r="A104" s="33"/>
      <c r="B104" s="33"/>
      <c r="C104" s="33"/>
      <c r="D104" s="33"/>
      <c r="E104" s="33"/>
      <c r="F104" s="33"/>
      <c r="G104" s="33"/>
      <c r="H104" s="33"/>
      <c r="I104" s="33"/>
      <c r="J104" s="33"/>
      <c r="K104" s="33"/>
      <c r="L104" s="34"/>
      <c r="M104" s="34"/>
      <c r="N104" s="34"/>
      <c r="O104" s="34"/>
      <c r="P104" s="33"/>
      <c r="Q104" s="35"/>
      <c r="R104" s="33"/>
      <c r="S104" s="33"/>
      <c r="T104" s="33"/>
      <c r="U104" s="33"/>
      <c r="V104" s="33"/>
      <c r="W104" s="33"/>
    </row>
    <row r="105" customFormat="false" ht="15" hidden="false" customHeight="false" outlineLevel="0" collapsed="false">
      <c r="A105" s="33"/>
      <c r="B105" s="33"/>
      <c r="C105" s="33"/>
      <c r="D105" s="33"/>
      <c r="E105" s="33"/>
      <c r="F105" s="33"/>
      <c r="G105" s="33"/>
      <c r="H105" s="33"/>
      <c r="I105" s="33"/>
      <c r="J105" s="33"/>
      <c r="K105" s="33"/>
      <c r="L105" s="34"/>
      <c r="M105" s="34"/>
      <c r="N105" s="34"/>
      <c r="O105" s="34"/>
      <c r="P105" s="33"/>
      <c r="Q105" s="35"/>
      <c r="R105" s="33"/>
      <c r="S105" s="33"/>
      <c r="T105" s="33"/>
      <c r="U105" s="33"/>
      <c r="V105" s="33"/>
      <c r="W105" s="33"/>
    </row>
    <row r="106" customFormat="false" ht="15" hidden="false" customHeight="false" outlineLevel="0" collapsed="false">
      <c r="A106" s="33"/>
      <c r="B106" s="33"/>
      <c r="C106" s="33"/>
      <c r="D106" s="33"/>
      <c r="E106" s="33"/>
      <c r="F106" s="33"/>
      <c r="G106" s="33"/>
      <c r="H106" s="33"/>
      <c r="I106" s="33"/>
      <c r="J106" s="33"/>
      <c r="K106" s="33"/>
      <c r="L106" s="34"/>
      <c r="M106" s="34"/>
      <c r="N106" s="34"/>
      <c r="O106" s="34"/>
      <c r="P106" s="33"/>
      <c r="Q106" s="35"/>
      <c r="R106" s="33"/>
      <c r="S106" s="33"/>
      <c r="T106" s="33"/>
      <c r="U106" s="33"/>
      <c r="V106" s="33"/>
      <c r="W106" s="33"/>
    </row>
    <row r="107" customFormat="false" ht="15" hidden="false" customHeight="false" outlineLevel="0" collapsed="false">
      <c r="A107" s="33"/>
      <c r="B107" s="33"/>
      <c r="C107" s="33"/>
      <c r="D107" s="33"/>
      <c r="E107" s="33"/>
      <c r="F107" s="33"/>
      <c r="G107" s="33"/>
      <c r="H107" s="33"/>
      <c r="I107" s="33"/>
      <c r="J107" s="33"/>
      <c r="K107" s="33"/>
      <c r="L107" s="34"/>
      <c r="M107" s="34"/>
      <c r="N107" s="34"/>
      <c r="O107" s="34"/>
      <c r="P107" s="33"/>
      <c r="Q107" s="35"/>
      <c r="R107" s="33"/>
      <c r="S107" s="33"/>
      <c r="T107" s="33"/>
      <c r="U107" s="33"/>
      <c r="V107" s="33"/>
      <c r="W107" s="33"/>
    </row>
    <row r="108" customFormat="false" ht="15" hidden="false" customHeight="false" outlineLevel="0" collapsed="false">
      <c r="A108" s="33"/>
      <c r="B108" s="33"/>
      <c r="C108" s="33"/>
      <c r="D108" s="33"/>
      <c r="E108" s="33"/>
      <c r="F108" s="33"/>
      <c r="G108" s="33"/>
      <c r="H108" s="33"/>
      <c r="I108" s="33"/>
      <c r="J108" s="33"/>
      <c r="K108" s="33"/>
      <c r="L108" s="34"/>
      <c r="M108" s="34"/>
      <c r="N108" s="34"/>
      <c r="O108" s="34"/>
      <c r="P108" s="33"/>
      <c r="Q108" s="35"/>
      <c r="R108" s="33"/>
      <c r="S108" s="33"/>
      <c r="T108" s="33"/>
      <c r="U108" s="33"/>
      <c r="V108" s="33"/>
      <c r="W108" s="33"/>
    </row>
    <row r="109" customFormat="false" ht="15" hidden="false" customHeight="false" outlineLevel="0" collapsed="false">
      <c r="A109" s="33"/>
      <c r="B109" s="33"/>
      <c r="C109" s="33"/>
      <c r="D109" s="33"/>
      <c r="E109" s="33"/>
      <c r="F109" s="33"/>
      <c r="G109" s="33"/>
      <c r="H109" s="33"/>
      <c r="I109" s="33"/>
      <c r="J109" s="33"/>
      <c r="K109" s="33"/>
      <c r="L109" s="34"/>
      <c r="M109" s="34"/>
      <c r="N109" s="34"/>
      <c r="O109" s="34"/>
      <c r="P109" s="33"/>
      <c r="Q109" s="35"/>
      <c r="R109" s="33"/>
      <c r="S109" s="33"/>
      <c r="T109" s="33"/>
      <c r="U109" s="33"/>
      <c r="V109" s="33"/>
      <c r="W109" s="33"/>
    </row>
    <row r="110" customFormat="false" ht="15" hidden="false" customHeight="false" outlineLevel="0" collapsed="false">
      <c r="A110" s="33"/>
      <c r="B110" s="33"/>
      <c r="C110" s="33"/>
      <c r="D110" s="33"/>
      <c r="E110" s="33"/>
      <c r="F110" s="33"/>
      <c r="G110" s="33"/>
      <c r="H110" s="33"/>
      <c r="I110" s="33"/>
      <c r="J110" s="33"/>
      <c r="K110" s="33"/>
      <c r="L110" s="34"/>
      <c r="M110" s="34"/>
      <c r="N110" s="34"/>
      <c r="O110" s="34"/>
      <c r="P110" s="33"/>
      <c r="Q110" s="35"/>
      <c r="R110" s="33"/>
      <c r="S110" s="33"/>
      <c r="T110" s="33"/>
      <c r="U110" s="33"/>
      <c r="V110" s="33"/>
      <c r="W110" s="33"/>
    </row>
    <row r="111" customFormat="false" ht="15" hidden="false" customHeight="false" outlineLevel="0" collapsed="false">
      <c r="A111" s="33"/>
      <c r="B111" s="33"/>
      <c r="C111" s="33"/>
      <c r="D111" s="33"/>
      <c r="E111" s="33"/>
      <c r="F111" s="33"/>
      <c r="G111" s="33"/>
      <c r="H111" s="33"/>
      <c r="I111" s="33"/>
      <c r="J111" s="33"/>
      <c r="K111" s="33"/>
      <c r="L111" s="34"/>
      <c r="M111" s="34"/>
      <c r="N111" s="34"/>
      <c r="O111" s="34"/>
      <c r="P111" s="33"/>
      <c r="Q111" s="35"/>
      <c r="R111" s="33"/>
      <c r="S111" s="33"/>
      <c r="T111" s="33"/>
      <c r="U111" s="33"/>
      <c r="V111" s="33"/>
      <c r="W111" s="33"/>
    </row>
    <row r="112" customFormat="false" ht="15" hidden="false" customHeight="false" outlineLevel="0" collapsed="false">
      <c r="A112" s="33"/>
      <c r="B112" s="33"/>
      <c r="C112" s="33"/>
      <c r="D112" s="33"/>
      <c r="E112" s="33"/>
      <c r="F112" s="33"/>
      <c r="G112" s="33"/>
      <c r="H112" s="33"/>
      <c r="I112" s="33"/>
      <c r="J112" s="33"/>
      <c r="K112" s="33"/>
      <c r="L112" s="34"/>
      <c r="M112" s="34"/>
      <c r="N112" s="34"/>
      <c r="O112" s="34"/>
      <c r="P112" s="33"/>
      <c r="Q112" s="35"/>
      <c r="R112" s="33"/>
      <c r="S112" s="33"/>
      <c r="T112" s="33"/>
      <c r="U112" s="33"/>
      <c r="V112" s="33"/>
      <c r="W112" s="33"/>
    </row>
    <row r="113" customFormat="false" ht="15" hidden="false" customHeight="false" outlineLevel="0" collapsed="false">
      <c r="A113" s="33"/>
      <c r="B113" s="33"/>
      <c r="C113" s="33"/>
      <c r="D113" s="33"/>
      <c r="E113" s="33"/>
      <c r="F113" s="33"/>
      <c r="G113" s="33"/>
      <c r="H113" s="33"/>
      <c r="I113" s="33"/>
      <c r="J113" s="33"/>
      <c r="K113" s="33"/>
      <c r="L113" s="34"/>
      <c r="M113" s="34"/>
      <c r="N113" s="34"/>
      <c r="O113" s="34"/>
      <c r="P113" s="33"/>
      <c r="Q113" s="35"/>
      <c r="R113" s="33"/>
      <c r="S113" s="33"/>
      <c r="T113" s="33"/>
      <c r="U113" s="33"/>
      <c r="V113" s="33"/>
      <c r="W113" s="33"/>
    </row>
    <row r="114" customFormat="false" ht="15" hidden="false" customHeight="false" outlineLevel="0" collapsed="false">
      <c r="A114" s="33"/>
      <c r="B114" s="33"/>
      <c r="C114" s="33"/>
      <c r="D114" s="33"/>
      <c r="E114" s="33"/>
      <c r="F114" s="33"/>
      <c r="G114" s="33"/>
      <c r="H114" s="33"/>
      <c r="I114" s="33"/>
      <c r="J114" s="33"/>
      <c r="K114" s="33"/>
      <c r="L114" s="34"/>
      <c r="M114" s="34"/>
      <c r="N114" s="34"/>
      <c r="O114" s="34"/>
      <c r="P114" s="33"/>
      <c r="Q114" s="35"/>
      <c r="R114" s="33"/>
      <c r="S114" s="33"/>
      <c r="T114" s="33"/>
      <c r="U114" s="33"/>
      <c r="V114" s="33"/>
      <c r="W114" s="33"/>
    </row>
    <row r="115" customFormat="false" ht="15" hidden="false" customHeight="false" outlineLevel="0" collapsed="false">
      <c r="A115" s="33"/>
      <c r="B115" s="33"/>
      <c r="C115" s="33"/>
      <c r="D115" s="33"/>
      <c r="E115" s="33"/>
      <c r="F115" s="33"/>
      <c r="G115" s="33"/>
      <c r="H115" s="33"/>
      <c r="I115" s="33"/>
      <c r="J115" s="33"/>
      <c r="K115" s="33"/>
      <c r="L115" s="34"/>
      <c r="M115" s="34"/>
      <c r="N115" s="34"/>
      <c r="O115" s="34"/>
      <c r="P115" s="33"/>
      <c r="Q115" s="35"/>
      <c r="R115" s="33"/>
      <c r="S115" s="33"/>
      <c r="T115" s="33"/>
      <c r="U115" s="33"/>
      <c r="V115" s="33"/>
      <c r="W115" s="33"/>
    </row>
    <row r="116" customFormat="false" ht="15" hidden="false" customHeight="false" outlineLevel="0" collapsed="false">
      <c r="A116" s="33"/>
      <c r="B116" s="33"/>
      <c r="C116" s="33"/>
      <c r="D116" s="33"/>
      <c r="E116" s="33"/>
      <c r="F116" s="33"/>
      <c r="G116" s="33"/>
      <c r="H116" s="33"/>
      <c r="I116" s="33"/>
      <c r="J116" s="33"/>
      <c r="K116" s="33"/>
      <c r="L116" s="34"/>
      <c r="M116" s="34"/>
      <c r="N116" s="34"/>
      <c r="O116" s="34"/>
      <c r="P116" s="33"/>
      <c r="Q116" s="35"/>
      <c r="R116" s="33"/>
      <c r="S116" s="33"/>
      <c r="T116" s="33"/>
      <c r="U116" s="33"/>
      <c r="V116" s="33"/>
      <c r="W116" s="33"/>
    </row>
    <row r="117" customFormat="false" ht="15" hidden="false" customHeight="false" outlineLevel="0" collapsed="false">
      <c r="A117" s="33"/>
      <c r="B117" s="33"/>
      <c r="C117" s="33"/>
      <c r="D117" s="33"/>
      <c r="E117" s="33"/>
      <c r="F117" s="33"/>
      <c r="G117" s="33"/>
      <c r="H117" s="33"/>
      <c r="I117" s="33"/>
      <c r="J117" s="33"/>
      <c r="K117" s="33"/>
      <c r="L117" s="34"/>
      <c r="M117" s="34"/>
      <c r="N117" s="34"/>
      <c r="O117" s="34"/>
      <c r="P117" s="33"/>
      <c r="Q117" s="35"/>
      <c r="R117" s="33"/>
      <c r="S117" s="33"/>
      <c r="T117" s="33"/>
      <c r="U117" s="33"/>
      <c r="V117" s="33"/>
      <c r="W117" s="33"/>
    </row>
    <row r="118" customFormat="false" ht="15" hidden="false" customHeight="false" outlineLevel="0" collapsed="false">
      <c r="A118" s="33"/>
      <c r="B118" s="33"/>
      <c r="C118" s="33"/>
      <c r="D118" s="33"/>
      <c r="E118" s="33"/>
      <c r="F118" s="33"/>
      <c r="G118" s="33"/>
      <c r="H118" s="33"/>
      <c r="I118" s="33"/>
      <c r="J118" s="33"/>
      <c r="K118" s="33"/>
      <c r="L118" s="34"/>
      <c r="M118" s="34"/>
      <c r="N118" s="34"/>
      <c r="O118" s="34"/>
      <c r="P118" s="33"/>
      <c r="Q118" s="35"/>
      <c r="R118" s="33"/>
      <c r="S118" s="33"/>
      <c r="T118" s="33"/>
      <c r="U118" s="33"/>
      <c r="V118" s="33"/>
      <c r="W118" s="33"/>
    </row>
    <row r="119" customFormat="false" ht="15" hidden="false" customHeight="false" outlineLevel="0" collapsed="false">
      <c r="A119" s="33"/>
      <c r="B119" s="33"/>
      <c r="C119" s="33"/>
      <c r="D119" s="33"/>
      <c r="E119" s="33"/>
      <c r="F119" s="33"/>
      <c r="G119" s="33"/>
      <c r="H119" s="33"/>
      <c r="I119" s="33"/>
      <c r="J119" s="33"/>
      <c r="K119" s="33"/>
      <c r="L119" s="34"/>
      <c r="M119" s="34"/>
      <c r="N119" s="34"/>
      <c r="O119" s="34"/>
      <c r="P119" s="33"/>
      <c r="Q119" s="35"/>
      <c r="R119" s="33"/>
      <c r="S119" s="33"/>
      <c r="T119" s="33"/>
      <c r="U119" s="33"/>
      <c r="V119" s="33"/>
      <c r="W119" s="33"/>
    </row>
    <row r="120" customFormat="false" ht="15" hidden="false" customHeight="false" outlineLevel="0" collapsed="false">
      <c r="A120" s="33"/>
      <c r="B120" s="33"/>
      <c r="C120" s="33"/>
      <c r="D120" s="33"/>
      <c r="E120" s="33"/>
      <c r="F120" s="33"/>
      <c r="G120" s="33"/>
      <c r="H120" s="33"/>
      <c r="I120" s="33"/>
      <c r="J120" s="33"/>
      <c r="K120" s="33"/>
      <c r="L120" s="34"/>
      <c r="M120" s="34"/>
      <c r="N120" s="34"/>
      <c r="O120" s="34"/>
      <c r="P120" s="33"/>
      <c r="Q120" s="35"/>
      <c r="R120" s="33"/>
      <c r="S120" s="33"/>
      <c r="T120" s="33"/>
      <c r="U120" s="33"/>
      <c r="V120" s="33"/>
      <c r="W120" s="33"/>
    </row>
    <row r="121" customFormat="false" ht="15" hidden="false" customHeight="false" outlineLevel="0" collapsed="false">
      <c r="A121" s="33"/>
      <c r="B121" s="33"/>
      <c r="C121" s="33"/>
      <c r="D121" s="33"/>
      <c r="E121" s="33"/>
      <c r="F121" s="33"/>
      <c r="G121" s="33"/>
      <c r="H121" s="33"/>
      <c r="I121" s="33"/>
      <c r="J121" s="33"/>
      <c r="K121" s="33"/>
      <c r="L121" s="34"/>
      <c r="M121" s="34"/>
      <c r="N121" s="34"/>
      <c r="O121" s="34"/>
      <c r="P121" s="33"/>
      <c r="Q121" s="35"/>
      <c r="R121" s="33"/>
      <c r="S121" s="33"/>
      <c r="T121" s="33"/>
      <c r="U121" s="33"/>
      <c r="V121" s="33"/>
      <c r="W121" s="33"/>
    </row>
    <row r="122" customFormat="false" ht="15" hidden="false" customHeight="false" outlineLevel="0" collapsed="false">
      <c r="A122" s="33"/>
      <c r="B122" s="33"/>
      <c r="C122" s="33"/>
      <c r="D122" s="33"/>
      <c r="E122" s="33"/>
      <c r="F122" s="33"/>
      <c r="G122" s="33"/>
      <c r="H122" s="33"/>
      <c r="I122" s="33"/>
      <c r="J122" s="33"/>
      <c r="K122" s="33"/>
      <c r="L122" s="34"/>
      <c r="M122" s="34"/>
      <c r="N122" s="34"/>
      <c r="O122" s="34"/>
      <c r="P122" s="33"/>
      <c r="Q122" s="35"/>
      <c r="R122" s="33"/>
      <c r="S122" s="33"/>
      <c r="T122" s="33"/>
      <c r="U122" s="33"/>
      <c r="V122" s="33"/>
      <c r="W122" s="33"/>
    </row>
    <row r="123" customFormat="false" ht="15" hidden="false" customHeight="false" outlineLevel="0" collapsed="false">
      <c r="A123" s="33"/>
      <c r="B123" s="33"/>
      <c r="C123" s="33"/>
      <c r="D123" s="33"/>
      <c r="E123" s="33"/>
      <c r="F123" s="33"/>
      <c r="G123" s="33"/>
      <c r="H123" s="33"/>
      <c r="I123" s="33"/>
      <c r="J123" s="33"/>
      <c r="K123" s="33"/>
      <c r="L123" s="34"/>
      <c r="M123" s="34"/>
      <c r="N123" s="34"/>
      <c r="O123" s="34"/>
      <c r="P123" s="33"/>
      <c r="Q123" s="35"/>
      <c r="R123" s="33"/>
      <c r="S123" s="33"/>
      <c r="T123" s="33"/>
      <c r="U123" s="33"/>
      <c r="V123" s="33"/>
      <c r="W123" s="33"/>
    </row>
    <row r="124" customFormat="false" ht="15" hidden="false" customHeight="false" outlineLevel="0" collapsed="false">
      <c r="A124" s="33"/>
      <c r="B124" s="33"/>
      <c r="C124" s="33"/>
      <c r="D124" s="33"/>
      <c r="E124" s="33"/>
      <c r="F124" s="33"/>
      <c r="G124" s="33"/>
      <c r="H124" s="33"/>
      <c r="I124" s="33"/>
      <c r="J124" s="33"/>
      <c r="K124" s="33"/>
      <c r="L124" s="34"/>
      <c r="M124" s="34"/>
      <c r="N124" s="34"/>
      <c r="O124" s="34"/>
      <c r="P124" s="33"/>
      <c r="Q124" s="35"/>
      <c r="R124" s="33"/>
      <c r="S124" s="33"/>
      <c r="T124" s="33"/>
      <c r="U124" s="33"/>
      <c r="V124" s="33"/>
      <c r="W124" s="33"/>
    </row>
    <row r="125" customFormat="false" ht="15" hidden="false" customHeight="false" outlineLevel="0" collapsed="false">
      <c r="A125" s="33"/>
      <c r="B125" s="33"/>
      <c r="C125" s="33"/>
      <c r="D125" s="33"/>
      <c r="E125" s="33"/>
      <c r="F125" s="33"/>
      <c r="G125" s="33"/>
      <c r="H125" s="33"/>
      <c r="I125" s="33"/>
      <c r="J125" s="33"/>
      <c r="K125" s="33"/>
      <c r="L125" s="34"/>
      <c r="M125" s="34"/>
      <c r="N125" s="34"/>
      <c r="O125" s="34"/>
      <c r="P125" s="33"/>
      <c r="Q125" s="35"/>
      <c r="R125" s="33"/>
      <c r="S125" s="33"/>
      <c r="T125" s="33"/>
      <c r="U125" s="33"/>
      <c r="V125" s="33"/>
      <c r="W125" s="33"/>
    </row>
    <row r="126" customFormat="false" ht="15" hidden="false" customHeight="false" outlineLevel="0" collapsed="false">
      <c r="A126" s="33"/>
      <c r="B126" s="33"/>
      <c r="C126" s="33"/>
      <c r="D126" s="33"/>
      <c r="E126" s="33"/>
      <c r="F126" s="33"/>
      <c r="G126" s="33"/>
      <c r="H126" s="33"/>
      <c r="I126" s="33"/>
      <c r="J126" s="33"/>
      <c r="K126" s="33"/>
      <c r="L126" s="34"/>
      <c r="M126" s="34"/>
      <c r="N126" s="34"/>
      <c r="O126" s="34"/>
      <c r="P126" s="33"/>
      <c r="Q126" s="35"/>
      <c r="R126" s="33"/>
      <c r="S126" s="33"/>
      <c r="T126" s="33"/>
      <c r="U126" s="33"/>
      <c r="V126" s="33"/>
      <c r="W126" s="33"/>
    </row>
    <row r="127" customFormat="false" ht="15" hidden="false" customHeight="false" outlineLevel="0" collapsed="false">
      <c r="A127" s="33"/>
      <c r="B127" s="33"/>
      <c r="C127" s="33"/>
      <c r="D127" s="33"/>
      <c r="E127" s="33"/>
      <c r="F127" s="33"/>
      <c r="G127" s="33"/>
      <c r="H127" s="33"/>
      <c r="I127" s="33"/>
      <c r="J127" s="33"/>
      <c r="K127" s="33"/>
      <c r="L127" s="34"/>
      <c r="M127" s="34"/>
      <c r="N127" s="34"/>
      <c r="O127" s="34"/>
      <c r="P127" s="33"/>
      <c r="Q127" s="35"/>
      <c r="R127" s="33"/>
      <c r="S127" s="33"/>
      <c r="T127" s="33"/>
      <c r="U127" s="33"/>
      <c r="V127" s="33"/>
      <c r="W127" s="33"/>
    </row>
    <row r="128" customFormat="false" ht="15" hidden="false" customHeight="false" outlineLevel="0" collapsed="false">
      <c r="A128" s="33"/>
      <c r="B128" s="33"/>
      <c r="C128" s="33"/>
      <c r="D128" s="33"/>
      <c r="E128" s="33"/>
      <c r="F128" s="33"/>
      <c r="G128" s="33"/>
      <c r="H128" s="33"/>
      <c r="I128" s="33"/>
      <c r="J128" s="33"/>
      <c r="K128" s="33"/>
      <c r="L128" s="34"/>
      <c r="M128" s="34"/>
      <c r="N128" s="34"/>
      <c r="O128" s="34"/>
      <c r="P128" s="33"/>
      <c r="Q128" s="35"/>
      <c r="R128" s="33"/>
      <c r="S128" s="33"/>
      <c r="T128" s="33"/>
      <c r="U128" s="33"/>
      <c r="V128" s="33"/>
      <c r="W128" s="33"/>
    </row>
    <row r="129" customFormat="false" ht="15" hidden="false" customHeight="false" outlineLevel="0" collapsed="false">
      <c r="A129" s="33"/>
      <c r="B129" s="33"/>
      <c r="C129" s="33"/>
      <c r="D129" s="33"/>
      <c r="E129" s="33"/>
      <c r="F129" s="33"/>
      <c r="G129" s="33"/>
      <c r="H129" s="33"/>
      <c r="I129" s="33"/>
      <c r="J129" s="33"/>
      <c r="K129" s="33"/>
      <c r="L129" s="34"/>
      <c r="M129" s="34"/>
      <c r="N129" s="34"/>
      <c r="O129" s="34"/>
      <c r="P129" s="33"/>
      <c r="Q129" s="35"/>
      <c r="R129" s="33"/>
      <c r="S129" s="33"/>
      <c r="T129" s="33"/>
      <c r="U129" s="33"/>
      <c r="V129" s="33"/>
      <c r="W129" s="33"/>
    </row>
    <row r="130" customFormat="false" ht="15" hidden="false" customHeight="false" outlineLevel="0" collapsed="false">
      <c r="A130" s="33"/>
      <c r="B130" s="33"/>
      <c r="C130" s="33"/>
      <c r="D130" s="33"/>
      <c r="E130" s="33"/>
      <c r="F130" s="33"/>
      <c r="G130" s="33"/>
      <c r="H130" s="33"/>
      <c r="I130" s="33"/>
      <c r="J130" s="33"/>
      <c r="K130" s="33"/>
      <c r="L130" s="34"/>
      <c r="M130" s="34"/>
      <c r="N130" s="34"/>
      <c r="O130" s="34"/>
      <c r="P130" s="33"/>
      <c r="Q130" s="35"/>
      <c r="R130" s="33"/>
      <c r="S130" s="33"/>
      <c r="T130" s="33"/>
      <c r="U130" s="33"/>
      <c r="V130" s="33"/>
      <c r="W130" s="33"/>
    </row>
    <row r="131" customFormat="false" ht="15" hidden="false" customHeight="false" outlineLevel="0" collapsed="false">
      <c r="A131" s="33"/>
      <c r="B131" s="33"/>
      <c r="C131" s="33"/>
      <c r="D131" s="33"/>
      <c r="E131" s="33"/>
      <c r="F131" s="33"/>
      <c r="G131" s="33"/>
      <c r="H131" s="33"/>
      <c r="I131" s="33"/>
      <c r="J131" s="33"/>
      <c r="K131" s="33"/>
      <c r="L131" s="34"/>
      <c r="M131" s="34"/>
      <c r="N131" s="34"/>
      <c r="O131" s="34"/>
      <c r="P131" s="33"/>
      <c r="Q131" s="35"/>
      <c r="R131" s="33"/>
      <c r="S131" s="33"/>
      <c r="T131" s="33"/>
      <c r="U131" s="33"/>
      <c r="V131" s="33"/>
      <c r="W131" s="33"/>
    </row>
    <row r="132" customFormat="false" ht="15" hidden="false" customHeight="false" outlineLevel="0" collapsed="false">
      <c r="A132" s="33"/>
      <c r="B132" s="33"/>
      <c r="C132" s="33"/>
      <c r="D132" s="33"/>
      <c r="E132" s="33"/>
      <c r="F132" s="33"/>
      <c r="G132" s="33"/>
      <c r="H132" s="33"/>
      <c r="I132" s="33"/>
      <c r="J132" s="33"/>
      <c r="K132" s="33"/>
      <c r="L132" s="34"/>
      <c r="M132" s="34"/>
      <c r="N132" s="34"/>
      <c r="O132" s="34"/>
      <c r="P132" s="33"/>
      <c r="Q132" s="35"/>
      <c r="R132" s="33"/>
      <c r="S132" s="33"/>
      <c r="T132" s="33"/>
      <c r="U132" s="33"/>
      <c r="V132" s="33"/>
      <c r="W132" s="33"/>
    </row>
    <row r="133" customFormat="false" ht="15" hidden="false" customHeight="false" outlineLevel="0" collapsed="false">
      <c r="A133" s="33"/>
      <c r="B133" s="33"/>
      <c r="C133" s="33"/>
      <c r="D133" s="33"/>
      <c r="E133" s="33"/>
      <c r="F133" s="33"/>
      <c r="G133" s="33"/>
      <c r="H133" s="33"/>
      <c r="I133" s="33"/>
      <c r="J133" s="33"/>
      <c r="K133" s="33"/>
      <c r="L133" s="34"/>
      <c r="M133" s="34"/>
      <c r="N133" s="34"/>
      <c r="O133" s="34"/>
      <c r="P133" s="33"/>
      <c r="Q133" s="35"/>
      <c r="R133" s="33"/>
      <c r="S133" s="33"/>
      <c r="T133" s="33"/>
      <c r="U133" s="33"/>
      <c r="V133" s="33"/>
      <c r="W133" s="33"/>
    </row>
    <row r="134" customFormat="false" ht="15" hidden="false" customHeight="false" outlineLevel="0" collapsed="false">
      <c r="A134" s="33"/>
      <c r="B134" s="33"/>
      <c r="C134" s="33"/>
      <c r="D134" s="33"/>
      <c r="E134" s="33"/>
      <c r="F134" s="33"/>
      <c r="G134" s="33"/>
      <c r="H134" s="33"/>
      <c r="I134" s="33"/>
      <c r="J134" s="33"/>
      <c r="K134" s="33"/>
      <c r="L134" s="34"/>
      <c r="M134" s="34"/>
      <c r="N134" s="34"/>
      <c r="O134" s="34"/>
      <c r="P134" s="33"/>
      <c r="Q134" s="35"/>
      <c r="R134" s="33"/>
      <c r="S134" s="33"/>
      <c r="T134" s="33"/>
      <c r="U134" s="33"/>
      <c r="V134" s="33"/>
      <c r="W134" s="33"/>
    </row>
    <row r="135" customFormat="false" ht="15" hidden="false" customHeight="false" outlineLevel="0" collapsed="false">
      <c r="A135" s="33"/>
      <c r="B135" s="33"/>
      <c r="C135" s="33"/>
      <c r="D135" s="33"/>
      <c r="E135" s="33"/>
      <c r="F135" s="33"/>
      <c r="G135" s="33"/>
      <c r="H135" s="33"/>
      <c r="I135" s="33"/>
      <c r="J135" s="33"/>
      <c r="K135" s="33"/>
      <c r="L135" s="34"/>
      <c r="M135" s="34"/>
      <c r="N135" s="34"/>
      <c r="O135" s="34"/>
      <c r="P135" s="33"/>
      <c r="Q135" s="35"/>
      <c r="R135" s="33"/>
      <c r="S135" s="33"/>
      <c r="T135" s="33"/>
      <c r="U135" s="33"/>
      <c r="V135" s="33"/>
      <c r="W135" s="33"/>
    </row>
    <row r="136" customFormat="false" ht="15" hidden="false" customHeight="false" outlineLevel="0" collapsed="false">
      <c r="A136" s="33"/>
      <c r="B136" s="33"/>
      <c r="C136" s="33"/>
      <c r="D136" s="33"/>
      <c r="E136" s="33"/>
      <c r="F136" s="33"/>
      <c r="G136" s="33"/>
      <c r="H136" s="33"/>
      <c r="I136" s="33"/>
      <c r="J136" s="33"/>
      <c r="K136" s="33"/>
      <c r="L136" s="34"/>
      <c r="M136" s="34"/>
      <c r="N136" s="34"/>
      <c r="O136" s="34"/>
      <c r="P136" s="33"/>
      <c r="Q136" s="35"/>
      <c r="R136" s="33"/>
      <c r="S136" s="33"/>
      <c r="T136" s="33"/>
      <c r="U136" s="33"/>
      <c r="V136" s="33"/>
      <c r="W136" s="33"/>
    </row>
    <row r="137" customFormat="false" ht="15" hidden="false" customHeight="false" outlineLevel="0" collapsed="false">
      <c r="A137" s="33"/>
      <c r="B137" s="33"/>
      <c r="C137" s="33"/>
      <c r="D137" s="33"/>
      <c r="E137" s="33"/>
      <c r="F137" s="33"/>
      <c r="G137" s="33"/>
      <c r="H137" s="33"/>
      <c r="I137" s="33"/>
      <c r="J137" s="33"/>
      <c r="K137" s="33"/>
      <c r="L137" s="34"/>
      <c r="M137" s="34"/>
      <c r="N137" s="34"/>
      <c r="O137" s="34"/>
      <c r="P137" s="33"/>
      <c r="Q137" s="35"/>
      <c r="R137" s="33"/>
      <c r="S137" s="33"/>
      <c r="T137" s="33"/>
      <c r="U137" s="33"/>
      <c r="V137" s="33"/>
      <c r="W137" s="33"/>
    </row>
    <row r="138" customFormat="false" ht="15" hidden="false" customHeight="false" outlineLevel="0" collapsed="false">
      <c r="A138" s="33"/>
      <c r="B138" s="33"/>
      <c r="C138" s="33"/>
      <c r="D138" s="33"/>
      <c r="E138" s="33"/>
      <c r="F138" s="33"/>
      <c r="G138" s="33"/>
      <c r="H138" s="33"/>
      <c r="I138" s="33"/>
      <c r="J138" s="33"/>
      <c r="K138" s="33"/>
      <c r="L138" s="34"/>
      <c r="M138" s="34"/>
      <c r="N138" s="34"/>
      <c r="O138" s="34"/>
      <c r="P138" s="33"/>
      <c r="Q138" s="35"/>
      <c r="R138" s="33"/>
      <c r="S138" s="33"/>
      <c r="T138" s="33"/>
      <c r="U138" s="33"/>
      <c r="V138" s="33"/>
      <c r="W138" s="33"/>
    </row>
    <row r="139" customFormat="false" ht="15" hidden="false" customHeight="false" outlineLevel="0" collapsed="false">
      <c r="A139" s="33"/>
      <c r="B139" s="33"/>
      <c r="C139" s="33"/>
      <c r="D139" s="33"/>
      <c r="E139" s="33"/>
      <c r="F139" s="33"/>
      <c r="G139" s="33"/>
      <c r="H139" s="33"/>
      <c r="I139" s="33"/>
      <c r="J139" s="33"/>
      <c r="K139" s="33"/>
      <c r="L139" s="34"/>
      <c r="M139" s="34"/>
      <c r="N139" s="34"/>
      <c r="O139" s="34"/>
      <c r="P139" s="33"/>
      <c r="Q139" s="35"/>
      <c r="R139" s="33"/>
      <c r="S139" s="33"/>
      <c r="T139" s="33"/>
      <c r="U139" s="33"/>
      <c r="V139" s="33"/>
      <c r="W139" s="33"/>
    </row>
    <row r="140" customFormat="false" ht="15" hidden="false" customHeight="false" outlineLevel="0" collapsed="false">
      <c r="A140" s="33"/>
      <c r="B140" s="33"/>
      <c r="C140" s="33"/>
      <c r="D140" s="33"/>
      <c r="E140" s="33"/>
      <c r="F140" s="33"/>
      <c r="G140" s="33"/>
      <c r="H140" s="33"/>
      <c r="I140" s="33"/>
      <c r="J140" s="33"/>
      <c r="K140" s="33"/>
      <c r="L140" s="34"/>
      <c r="M140" s="34"/>
      <c r="N140" s="34"/>
      <c r="O140" s="34"/>
      <c r="P140" s="33"/>
      <c r="Q140" s="35"/>
      <c r="R140" s="33"/>
      <c r="S140" s="33"/>
      <c r="T140" s="33"/>
      <c r="U140" s="33"/>
      <c r="V140" s="33"/>
      <c r="W140" s="33"/>
    </row>
    <row r="141" customFormat="false" ht="15" hidden="false" customHeight="false" outlineLevel="0" collapsed="false">
      <c r="A141" s="33"/>
      <c r="B141" s="33"/>
      <c r="C141" s="33"/>
      <c r="D141" s="33"/>
      <c r="E141" s="33"/>
      <c r="F141" s="33"/>
      <c r="G141" s="33"/>
      <c r="H141" s="33"/>
      <c r="I141" s="33"/>
      <c r="J141" s="33"/>
      <c r="K141" s="33"/>
      <c r="L141" s="34"/>
      <c r="M141" s="34"/>
      <c r="N141" s="34"/>
      <c r="O141" s="34"/>
      <c r="P141" s="33"/>
      <c r="Q141" s="35"/>
      <c r="R141" s="33"/>
      <c r="S141" s="33"/>
      <c r="T141" s="33"/>
      <c r="U141" s="33"/>
      <c r="V141" s="33"/>
      <c r="W141" s="33"/>
    </row>
    <row r="142" customFormat="false" ht="15" hidden="false" customHeight="false" outlineLevel="0" collapsed="false">
      <c r="A142" s="33"/>
      <c r="B142" s="33"/>
      <c r="C142" s="33"/>
      <c r="D142" s="33"/>
      <c r="E142" s="33"/>
      <c r="F142" s="33"/>
      <c r="G142" s="33"/>
      <c r="H142" s="33"/>
      <c r="I142" s="33"/>
      <c r="J142" s="33"/>
      <c r="K142" s="33"/>
      <c r="L142" s="34"/>
      <c r="M142" s="34"/>
      <c r="N142" s="34"/>
      <c r="O142" s="34"/>
      <c r="P142" s="33"/>
      <c r="Q142" s="35"/>
      <c r="R142" s="33"/>
      <c r="S142" s="33"/>
      <c r="T142" s="33"/>
      <c r="U142" s="33"/>
      <c r="V142" s="33"/>
      <c r="W142" s="33"/>
    </row>
    <row r="143" customFormat="false" ht="15" hidden="false" customHeight="false" outlineLevel="0" collapsed="false">
      <c r="A143" s="33"/>
      <c r="B143" s="33"/>
      <c r="C143" s="33"/>
      <c r="D143" s="33"/>
      <c r="E143" s="33"/>
      <c r="F143" s="33"/>
      <c r="G143" s="33"/>
      <c r="H143" s="33"/>
      <c r="I143" s="33"/>
      <c r="J143" s="33"/>
      <c r="K143" s="33"/>
      <c r="L143" s="34"/>
      <c r="M143" s="34"/>
      <c r="N143" s="34"/>
      <c r="O143" s="34"/>
      <c r="P143" s="33"/>
      <c r="Q143" s="35"/>
      <c r="R143" s="33"/>
      <c r="S143" s="33"/>
      <c r="T143" s="33"/>
      <c r="U143" s="33"/>
      <c r="V143" s="33"/>
      <c r="W143" s="33"/>
    </row>
    <row r="144" customFormat="false" ht="15" hidden="false" customHeight="false" outlineLevel="0" collapsed="false">
      <c r="A144" s="33"/>
      <c r="B144" s="33"/>
      <c r="C144" s="33"/>
      <c r="D144" s="33"/>
      <c r="E144" s="33"/>
      <c r="F144" s="33"/>
      <c r="G144" s="33"/>
      <c r="H144" s="33"/>
      <c r="I144" s="33"/>
      <c r="J144" s="33"/>
      <c r="K144" s="33"/>
      <c r="L144" s="34"/>
      <c r="M144" s="34"/>
      <c r="N144" s="34"/>
      <c r="O144" s="34"/>
      <c r="P144" s="33"/>
      <c r="Q144" s="35"/>
      <c r="R144" s="33"/>
      <c r="S144" s="33"/>
      <c r="T144" s="33"/>
      <c r="U144" s="33"/>
      <c r="V144" s="33"/>
      <c r="W144" s="33"/>
    </row>
    <row r="145" customFormat="false" ht="15" hidden="false" customHeight="false" outlineLevel="0" collapsed="false">
      <c r="A145" s="33"/>
      <c r="B145" s="33"/>
      <c r="C145" s="33"/>
      <c r="D145" s="33"/>
      <c r="E145" s="33"/>
      <c r="F145" s="33"/>
      <c r="G145" s="33"/>
      <c r="H145" s="33"/>
      <c r="I145" s="33"/>
      <c r="J145" s="33"/>
      <c r="K145" s="33"/>
      <c r="L145" s="34"/>
      <c r="M145" s="34"/>
      <c r="N145" s="34"/>
      <c r="O145" s="34"/>
      <c r="P145" s="33"/>
      <c r="Q145" s="35"/>
      <c r="R145" s="33"/>
      <c r="S145" s="33"/>
      <c r="T145" s="33"/>
      <c r="U145" s="33"/>
      <c r="V145" s="33"/>
      <c r="W145" s="33"/>
    </row>
    <row r="146" customFormat="false" ht="15" hidden="false" customHeight="false" outlineLevel="0" collapsed="false">
      <c r="A146" s="33"/>
      <c r="B146" s="33"/>
      <c r="C146" s="33"/>
      <c r="D146" s="33"/>
      <c r="E146" s="33"/>
      <c r="F146" s="33"/>
      <c r="G146" s="33"/>
      <c r="H146" s="33"/>
      <c r="I146" s="33"/>
      <c r="J146" s="33"/>
      <c r="K146" s="33"/>
      <c r="L146" s="34"/>
      <c r="M146" s="34"/>
      <c r="N146" s="34"/>
      <c r="O146" s="34"/>
      <c r="P146" s="33"/>
      <c r="Q146" s="35"/>
      <c r="R146" s="33"/>
      <c r="S146" s="33"/>
      <c r="T146" s="33"/>
      <c r="U146" s="33"/>
      <c r="V146" s="33"/>
      <c r="W146" s="33"/>
    </row>
    <row r="147" customFormat="false" ht="15" hidden="false" customHeight="false" outlineLevel="0" collapsed="false">
      <c r="A147" s="33"/>
      <c r="B147" s="33"/>
      <c r="C147" s="33"/>
      <c r="D147" s="33"/>
      <c r="E147" s="33"/>
      <c r="F147" s="33"/>
      <c r="G147" s="33"/>
      <c r="H147" s="33"/>
      <c r="I147" s="33"/>
      <c r="J147" s="33"/>
      <c r="K147" s="33"/>
      <c r="L147" s="34"/>
      <c r="M147" s="34"/>
      <c r="N147" s="34"/>
      <c r="O147" s="34"/>
      <c r="P147" s="33"/>
      <c r="Q147" s="35"/>
      <c r="R147" s="33"/>
      <c r="S147" s="33"/>
      <c r="T147" s="33"/>
      <c r="U147" s="33"/>
      <c r="V147" s="33"/>
      <c r="W147" s="33"/>
    </row>
    <row r="148" customFormat="false" ht="15" hidden="false" customHeight="false" outlineLevel="0" collapsed="false">
      <c r="A148" s="33"/>
      <c r="B148" s="33"/>
      <c r="C148" s="33"/>
      <c r="D148" s="33"/>
      <c r="E148" s="33"/>
      <c r="F148" s="33"/>
      <c r="G148" s="33"/>
      <c r="H148" s="33"/>
      <c r="I148" s="33"/>
      <c r="J148" s="33"/>
      <c r="K148" s="33"/>
      <c r="L148" s="34"/>
      <c r="M148" s="34"/>
      <c r="N148" s="34"/>
      <c r="O148" s="34"/>
      <c r="P148" s="33"/>
      <c r="Q148" s="35"/>
      <c r="R148" s="33"/>
      <c r="S148" s="33"/>
      <c r="T148" s="33"/>
      <c r="U148" s="33"/>
      <c r="V148" s="33"/>
      <c r="W148" s="33"/>
    </row>
    <row r="149" customFormat="false" ht="15" hidden="false" customHeight="false" outlineLevel="0" collapsed="false">
      <c r="A149" s="33"/>
      <c r="B149" s="33"/>
      <c r="C149" s="33"/>
      <c r="D149" s="33"/>
      <c r="E149" s="33"/>
      <c r="F149" s="33"/>
      <c r="G149" s="33"/>
      <c r="H149" s="33"/>
      <c r="I149" s="33"/>
      <c r="J149" s="33"/>
      <c r="K149" s="33"/>
      <c r="L149" s="34"/>
      <c r="M149" s="34"/>
      <c r="N149" s="34"/>
      <c r="O149" s="34"/>
      <c r="P149" s="33"/>
      <c r="Q149" s="35"/>
      <c r="R149" s="33"/>
      <c r="S149" s="33"/>
      <c r="T149" s="33"/>
      <c r="U149" s="33"/>
      <c r="V149" s="33"/>
      <c r="W149" s="33"/>
    </row>
    <row r="150" customFormat="false" ht="15" hidden="false" customHeight="false" outlineLevel="0" collapsed="false">
      <c r="A150" s="33"/>
      <c r="B150" s="33"/>
      <c r="C150" s="33"/>
      <c r="D150" s="33"/>
      <c r="E150" s="33"/>
      <c r="F150" s="33"/>
      <c r="G150" s="33"/>
      <c r="H150" s="33"/>
      <c r="I150" s="33"/>
      <c r="J150" s="33"/>
      <c r="K150" s="33"/>
      <c r="L150" s="34"/>
      <c r="M150" s="34"/>
      <c r="N150" s="34"/>
      <c r="O150" s="34"/>
      <c r="P150" s="33"/>
      <c r="Q150" s="35"/>
      <c r="R150" s="33"/>
      <c r="S150" s="33"/>
      <c r="T150" s="33"/>
      <c r="U150" s="33"/>
      <c r="V150" s="33"/>
      <c r="W150" s="33"/>
    </row>
    <row r="151" customFormat="false" ht="15" hidden="false" customHeight="false" outlineLevel="0" collapsed="false">
      <c r="A151" s="33"/>
      <c r="B151" s="33"/>
      <c r="C151" s="33"/>
      <c r="D151" s="33"/>
      <c r="E151" s="33"/>
      <c r="F151" s="33"/>
      <c r="G151" s="33"/>
      <c r="H151" s="33"/>
      <c r="I151" s="33"/>
      <c r="J151" s="33"/>
      <c r="K151" s="33"/>
      <c r="L151" s="34"/>
      <c r="M151" s="34"/>
      <c r="N151" s="34"/>
      <c r="O151" s="34"/>
      <c r="P151" s="33"/>
      <c r="Q151" s="35"/>
      <c r="R151" s="33"/>
      <c r="S151" s="33"/>
      <c r="T151" s="33"/>
      <c r="U151" s="33"/>
      <c r="V151" s="33"/>
      <c r="W151" s="33"/>
    </row>
    <row r="152" customFormat="false" ht="15" hidden="false" customHeight="false" outlineLevel="0" collapsed="false">
      <c r="A152" s="33"/>
      <c r="B152" s="33"/>
      <c r="C152" s="33"/>
      <c r="D152" s="33"/>
      <c r="E152" s="33"/>
      <c r="F152" s="33"/>
      <c r="G152" s="33"/>
      <c r="H152" s="33"/>
      <c r="I152" s="33"/>
      <c r="J152" s="33"/>
      <c r="K152" s="33"/>
      <c r="L152" s="34"/>
      <c r="M152" s="34"/>
      <c r="N152" s="34"/>
      <c r="O152" s="34"/>
      <c r="P152" s="33"/>
      <c r="Q152" s="35"/>
      <c r="R152" s="33"/>
      <c r="S152" s="33"/>
      <c r="T152" s="33"/>
      <c r="U152" s="33"/>
      <c r="V152" s="33"/>
      <c r="W152" s="33"/>
    </row>
    <row r="153" customFormat="false" ht="15" hidden="false" customHeight="false" outlineLevel="0" collapsed="false">
      <c r="A153" s="33"/>
      <c r="B153" s="33"/>
      <c r="C153" s="33"/>
      <c r="D153" s="33"/>
      <c r="E153" s="33"/>
      <c r="F153" s="33"/>
      <c r="G153" s="33"/>
      <c r="H153" s="33"/>
      <c r="I153" s="33"/>
      <c r="J153" s="33"/>
      <c r="K153" s="33"/>
      <c r="L153" s="34"/>
      <c r="M153" s="34"/>
      <c r="N153" s="34"/>
      <c r="O153" s="34"/>
      <c r="P153" s="33"/>
      <c r="Q153" s="35"/>
      <c r="R153" s="33"/>
      <c r="S153" s="33"/>
      <c r="T153" s="33"/>
      <c r="U153" s="33"/>
      <c r="V153" s="33"/>
      <c r="W153" s="33"/>
    </row>
    <row r="154" customFormat="false" ht="15" hidden="false" customHeight="false" outlineLevel="0" collapsed="false">
      <c r="A154" s="33"/>
      <c r="B154" s="33"/>
      <c r="C154" s="33"/>
      <c r="D154" s="33"/>
      <c r="E154" s="33"/>
      <c r="F154" s="33"/>
      <c r="G154" s="33"/>
      <c r="H154" s="33"/>
      <c r="I154" s="33"/>
      <c r="J154" s="33"/>
      <c r="K154" s="33"/>
      <c r="L154" s="34"/>
      <c r="M154" s="34"/>
      <c r="N154" s="34"/>
      <c r="O154" s="34"/>
      <c r="P154" s="33"/>
      <c r="Q154" s="35"/>
      <c r="R154" s="33"/>
      <c r="S154" s="33"/>
      <c r="T154" s="33"/>
      <c r="U154" s="33"/>
      <c r="V154" s="33"/>
      <c r="W154" s="33"/>
    </row>
    <row r="155" customFormat="false" ht="15" hidden="false" customHeight="false" outlineLevel="0" collapsed="false">
      <c r="A155" s="33"/>
      <c r="B155" s="33"/>
      <c r="C155" s="33"/>
      <c r="D155" s="33"/>
      <c r="E155" s="33"/>
      <c r="F155" s="33"/>
      <c r="G155" s="33"/>
      <c r="H155" s="33"/>
      <c r="I155" s="33"/>
      <c r="J155" s="33"/>
      <c r="K155" s="33"/>
      <c r="L155" s="34"/>
      <c r="M155" s="34"/>
      <c r="N155" s="34"/>
      <c r="O155" s="34"/>
      <c r="P155" s="33"/>
      <c r="Q155" s="35"/>
      <c r="R155" s="33"/>
      <c r="S155" s="33"/>
      <c r="T155" s="33"/>
      <c r="U155" s="33"/>
      <c r="V155" s="33"/>
      <c r="W155" s="33"/>
    </row>
    <row r="156" customFormat="false" ht="15" hidden="false" customHeight="false" outlineLevel="0" collapsed="false">
      <c r="A156" s="33"/>
      <c r="B156" s="33"/>
      <c r="C156" s="33"/>
      <c r="D156" s="33"/>
      <c r="E156" s="33"/>
      <c r="F156" s="33"/>
      <c r="G156" s="33"/>
      <c r="H156" s="33"/>
      <c r="I156" s="33"/>
      <c r="J156" s="33"/>
      <c r="K156" s="33"/>
      <c r="L156" s="34"/>
      <c r="M156" s="34"/>
      <c r="N156" s="34"/>
      <c r="O156" s="34"/>
      <c r="P156" s="33"/>
      <c r="Q156" s="35"/>
      <c r="R156" s="33"/>
      <c r="S156" s="33"/>
      <c r="T156" s="33"/>
      <c r="U156" s="33"/>
      <c r="V156" s="33"/>
      <c r="W156" s="33"/>
    </row>
    <row r="157" customFormat="false" ht="15" hidden="false" customHeight="false" outlineLevel="0" collapsed="false">
      <c r="A157" s="33"/>
      <c r="B157" s="33"/>
      <c r="C157" s="33"/>
      <c r="D157" s="33"/>
      <c r="E157" s="33"/>
      <c r="F157" s="33"/>
      <c r="G157" s="33"/>
      <c r="H157" s="33"/>
      <c r="I157" s="33"/>
      <c r="J157" s="33"/>
      <c r="K157" s="33"/>
      <c r="L157" s="34"/>
      <c r="M157" s="34"/>
      <c r="N157" s="34"/>
      <c r="O157" s="34"/>
      <c r="P157" s="33"/>
      <c r="Q157" s="35"/>
      <c r="R157" s="33"/>
      <c r="S157" s="33"/>
      <c r="T157" s="33"/>
      <c r="U157" s="33"/>
      <c r="V157" s="33"/>
      <c r="W157" s="33"/>
    </row>
    <row r="158" customFormat="false" ht="15" hidden="false" customHeight="false" outlineLevel="0" collapsed="false">
      <c r="A158" s="33"/>
      <c r="B158" s="33"/>
      <c r="C158" s="33"/>
      <c r="D158" s="33"/>
      <c r="E158" s="33"/>
      <c r="F158" s="33"/>
      <c r="G158" s="33"/>
      <c r="H158" s="33"/>
      <c r="I158" s="33"/>
      <c r="J158" s="33"/>
      <c r="K158" s="33"/>
      <c r="L158" s="34"/>
      <c r="M158" s="34"/>
      <c r="N158" s="34"/>
      <c r="O158" s="34"/>
      <c r="P158" s="33"/>
      <c r="Q158" s="35"/>
      <c r="R158" s="33"/>
      <c r="S158" s="33"/>
      <c r="T158" s="33"/>
      <c r="U158" s="33"/>
      <c r="V158" s="33"/>
      <c r="W158" s="33"/>
    </row>
    <row r="159" customFormat="false" ht="15" hidden="false" customHeight="false" outlineLevel="0" collapsed="false">
      <c r="A159" s="33"/>
      <c r="B159" s="33"/>
      <c r="C159" s="33"/>
      <c r="D159" s="33"/>
      <c r="E159" s="33"/>
      <c r="F159" s="33"/>
      <c r="G159" s="33"/>
      <c r="H159" s="33"/>
      <c r="I159" s="33"/>
      <c r="J159" s="33"/>
      <c r="K159" s="33"/>
      <c r="L159" s="34"/>
      <c r="M159" s="34"/>
      <c r="N159" s="34"/>
      <c r="O159" s="34"/>
      <c r="P159" s="33"/>
      <c r="Q159" s="35"/>
      <c r="R159" s="33"/>
      <c r="S159" s="33"/>
      <c r="T159" s="33"/>
      <c r="U159" s="33"/>
      <c r="V159" s="33"/>
      <c r="W159" s="33"/>
    </row>
    <row r="160" customFormat="false" ht="15" hidden="false" customHeight="false" outlineLevel="0" collapsed="false">
      <c r="A160" s="33"/>
      <c r="B160" s="33"/>
      <c r="C160" s="33"/>
      <c r="D160" s="33"/>
      <c r="E160" s="33"/>
      <c r="F160" s="33"/>
      <c r="G160" s="33"/>
      <c r="H160" s="33"/>
      <c r="I160" s="33"/>
      <c r="J160" s="33"/>
      <c r="K160" s="33"/>
      <c r="L160" s="34"/>
      <c r="M160" s="34"/>
      <c r="N160" s="34"/>
      <c r="O160" s="34"/>
      <c r="P160" s="33"/>
      <c r="Q160" s="35"/>
      <c r="R160" s="33"/>
      <c r="S160" s="33"/>
      <c r="T160" s="33"/>
      <c r="U160" s="33"/>
      <c r="V160" s="33"/>
      <c r="W160" s="33"/>
    </row>
    <row r="161" customFormat="false" ht="15" hidden="false" customHeight="false" outlineLevel="0" collapsed="false">
      <c r="A161" s="33"/>
      <c r="B161" s="33"/>
      <c r="C161" s="33"/>
      <c r="D161" s="33"/>
      <c r="E161" s="33"/>
      <c r="F161" s="33"/>
      <c r="G161" s="33"/>
      <c r="H161" s="33"/>
      <c r="I161" s="33"/>
      <c r="J161" s="33"/>
      <c r="K161" s="33"/>
      <c r="L161" s="34"/>
      <c r="M161" s="34"/>
      <c r="N161" s="34"/>
      <c r="O161" s="34"/>
      <c r="P161" s="33"/>
      <c r="Q161" s="35"/>
      <c r="R161" s="33"/>
      <c r="S161" s="33"/>
      <c r="T161" s="33"/>
      <c r="U161" s="33"/>
      <c r="V161" s="33"/>
      <c r="W161" s="33"/>
    </row>
    <row r="162" customFormat="false" ht="15" hidden="false" customHeight="false" outlineLevel="0" collapsed="false">
      <c r="A162" s="33"/>
      <c r="B162" s="33"/>
      <c r="C162" s="33"/>
      <c r="D162" s="33"/>
      <c r="E162" s="33"/>
      <c r="F162" s="33"/>
      <c r="G162" s="33"/>
      <c r="H162" s="33"/>
      <c r="I162" s="33"/>
      <c r="J162" s="33"/>
      <c r="K162" s="33"/>
      <c r="L162" s="34"/>
      <c r="M162" s="34"/>
      <c r="N162" s="34"/>
      <c r="O162" s="34"/>
      <c r="P162" s="33"/>
      <c r="Q162" s="35"/>
      <c r="R162" s="33"/>
      <c r="S162" s="33"/>
      <c r="T162" s="33"/>
      <c r="U162" s="33"/>
      <c r="V162" s="33"/>
      <c r="W162" s="33"/>
    </row>
    <row r="163" customFormat="false" ht="15" hidden="false" customHeight="false" outlineLevel="0" collapsed="false">
      <c r="A163" s="33"/>
      <c r="B163" s="33"/>
      <c r="C163" s="33"/>
      <c r="D163" s="33"/>
      <c r="E163" s="33"/>
      <c r="F163" s="33"/>
      <c r="G163" s="33"/>
      <c r="H163" s="33"/>
      <c r="I163" s="33"/>
      <c r="J163" s="33"/>
      <c r="K163" s="33"/>
      <c r="L163" s="34"/>
      <c r="M163" s="34"/>
      <c r="N163" s="34"/>
      <c r="O163" s="34"/>
      <c r="P163" s="33"/>
      <c r="Q163" s="35"/>
      <c r="R163" s="33"/>
      <c r="S163" s="33"/>
      <c r="T163" s="33"/>
      <c r="U163" s="33"/>
      <c r="V163" s="33"/>
      <c r="W163" s="33"/>
    </row>
    <row r="164" customFormat="false" ht="15" hidden="false" customHeight="false" outlineLevel="0" collapsed="false">
      <c r="A164" s="33"/>
      <c r="B164" s="33"/>
      <c r="C164" s="33"/>
      <c r="D164" s="33"/>
      <c r="E164" s="33"/>
      <c r="F164" s="33"/>
      <c r="G164" s="33"/>
      <c r="H164" s="33"/>
      <c r="I164" s="33"/>
      <c r="J164" s="33"/>
      <c r="K164" s="33"/>
      <c r="L164" s="34"/>
      <c r="M164" s="34"/>
      <c r="N164" s="34"/>
      <c r="O164" s="34"/>
      <c r="P164" s="33"/>
      <c r="Q164" s="35"/>
      <c r="R164" s="33"/>
      <c r="S164" s="33"/>
      <c r="T164" s="33"/>
      <c r="U164" s="33"/>
      <c r="V164" s="33"/>
      <c r="W164" s="33"/>
    </row>
    <row r="165" customFormat="false" ht="15" hidden="false" customHeight="false" outlineLevel="0" collapsed="false">
      <c r="A165" s="33"/>
      <c r="B165" s="33"/>
      <c r="C165" s="33"/>
      <c r="D165" s="33"/>
      <c r="E165" s="33"/>
      <c r="F165" s="33"/>
      <c r="G165" s="33"/>
      <c r="H165" s="33"/>
      <c r="I165" s="33"/>
      <c r="J165" s="33"/>
      <c r="K165" s="33"/>
      <c r="L165" s="34"/>
      <c r="M165" s="34"/>
      <c r="N165" s="34"/>
      <c r="O165" s="34"/>
      <c r="P165" s="33"/>
      <c r="Q165" s="35"/>
      <c r="R165" s="33"/>
      <c r="S165" s="33"/>
      <c r="T165" s="33"/>
      <c r="U165" s="33"/>
      <c r="V165" s="33"/>
      <c r="W165" s="33"/>
    </row>
    <row r="166" customFormat="false" ht="15" hidden="false" customHeight="false" outlineLevel="0" collapsed="false">
      <c r="A166" s="33"/>
      <c r="B166" s="33"/>
      <c r="C166" s="33"/>
      <c r="D166" s="33"/>
      <c r="E166" s="33"/>
      <c r="F166" s="33"/>
      <c r="G166" s="33"/>
      <c r="H166" s="33"/>
      <c r="I166" s="33"/>
      <c r="J166" s="33"/>
      <c r="K166" s="33"/>
      <c r="L166" s="34"/>
      <c r="M166" s="34"/>
      <c r="N166" s="34"/>
      <c r="O166" s="34"/>
      <c r="P166" s="33"/>
      <c r="Q166" s="35"/>
      <c r="R166" s="33"/>
      <c r="S166" s="33"/>
      <c r="T166" s="33"/>
      <c r="U166" s="33"/>
      <c r="V166" s="33"/>
      <c r="W166" s="33"/>
    </row>
    <row r="167" customFormat="false" ht="15" hidden="false" customHeight="false" outlineLevel="0" collapsed="false">
      <c r="A167" s="33"/>
      <c r="B167" s="33"/>
      <c r="C167" s="33"/>
      <c r="D167" s="33"/>
      <c r="E167" s="33"/>
      <c r="F167" s="33"/>
      <c r="G167" s="33"/>
      <c r="H167" s="33"/>
      <c r="I167" s="33"/>
      <c r="J167" s="33"/>
      <c r="K167" s="33"/>
      <c r="L167" s="34"/>
      <c r="M167" s="34"/>
      <c r="N167" s="34"/>
      <c r="O167" s="34"/>
      <c r="P167" s="33"/>
      <c r="Q167" s="35"/>
      <c r="R167" s="33"/>
      <c r="S167" s="33"/>
      <c r="T167" s="33"/>
      <c r="U167" s="33"/>
      <c r="V167" s="33"/>
      <c r="W167" s="33"/>
    </row>
    <row r="168" customFormat="false" ht="15" hidden="false" customHeight="false" outlineLevel="0" collapsed="false">
      <c r="A168" s="33"/>
      <c r="B168" s="33"/>
      <c r="C168" s="33"/>
      <c r="D168" s="33"/>
      <c r="E168" s="33"/>
      <c r="F168" s="33"/>
      <c r="G168" s="33"/>
      <c r="H168" s="33"/>
      <c r="I168" s="33"/>
      <c r="J168" s="33"/>
      <c r="K168" s="33"/>
      <c r="L168" s="34"/>
      <c r="M168" s="34"/>
      <c r="N168" s="34"/>
      <c r="O168" s="34"/>
      <c r="P168" s="33"/>
      <c r="Q168" s="35"/>
      <c r="R168" s="33"/>
      <c r="S168" s="33"/>
      <c r="T168" s="33"/>
      <c r="U168" s="33"/>
      <c r="V168" s="33"/>
      <c r="W168" s="33"/>
    </row>
    <row r="169" customFormat="false" ht="15" hidden="false" customHeight="false" outlineLevel="0" collapsed="false">
      <c r="A169" s="33"/>
      <c r="B169" s="33"/>
      <c r="C169" s="33"/>
      <c r="D169" s="33"/>
      <c r="E169" s="33"/>
      <c r="F169" s="33"/>
      <c r="G169" s="33"/>
      <c r="H169" s="33"/>
      <c r="I169" s="33"/>
      <c r="J169" s="33"/>
      <c r="K169" s="33"/>
      <c r="L169" s="34"/>
      <c r="M169" s="34"/>
      <c r="N169" s="34"/>
      <c r="O169" s="34"/>
      <c r="P169" s="33"/>
      <c r="Q169" s="35"/>
      <c r="R169" s="33"/>
      <c r="S169" s="33"/>
      <c r="T169" s="33"/>
      <c r="U169" s="33"/>
      <c r="V169" s="33"/>
      <c r="W169" s="33"/>
    </row>
    <row r="170" customFormat="false" ht="15" hidden="false" customHeight="false" outlineLevel="0" collapsed="false">
      <c r="A170" s="33"/>
      <c r="B170" s="33"/>
      <c r="C170" s="33"/>
      <c r="D170" s="33"/>
      <c r="E170" s="33"/>
      <c r="F170" s="33"/>
      <c r="G170" s="33"/>
      <c r="H170" s="33"/>
      <c r="I170" s="33"/>
      <c r="J170" s="33"/>
      <c r="K170" s="33"/>
      <c r="L170" s="34"/>
      <c r="M170" s="34"/>
      <c r="N170" s="34"/>
      <c r="O170" s="34"/>
      <c r="P170" s="33"/>
      <c r="Q170" s="35"/>
      <c r="R170" s="33"/>
      <c r="S170" s="33"/>
      <c r="T170" s="33"/>
      <c r="U170" s="33"/>
      <c r="V170" s="33"/>
      <c r="W170" s="33"/>
    </row>
    <row r="171" customFormat="false" ht="15" hidden="false" customHeight="false" outlineLevel="0" collapsed="false">
      <c r="A171" s="33"/>
      <c r="B171" s="33"/>
      <c r="C171" s="33"/>
      <c r="D171" s="33"/>
      <c r="E171" s="33"/>
      <c r="F171" s="33"/>
      <c r="G171" s="33"/>
      <c r="H171" s="33"/>
      <c r="I171" s="33"/>
      <c r="J171" s="33"/>
      <c r="K171" s="33"/>
      <c r="L171" s="34"/>
      <c r="M171" s="34"/>
      <c r="N171" s="34"/>
      <c r="O171" s="34"/>
      <c r="P171" s="33"/>
      <c r="Q171" s="35"/>
      <c r="R171" s="33"/>
      <c r="S171" s="33"/>
      <c r="T171" s="33"/>
      <c r="U171" s="33"/>
      <c r="V171" s="33"/>
      <c r="W171" s="33"/>
    </row>
    <row r="172" customFormat="false" ht="15" hidden="false" customHeight="false" outlineLevel="0" collapsed="false">
      <c r="A172" s="33"/>
      <c r="B172" s="33"/>
      <c r="C172" s="33"/>
      <c r="D172" s="33"/>
      <c r="E172" s="33"/>
      <c r="F172" s="33"/>
      <c r="G172" s="33"/>
      <c r="H172" s="33"/>
      <c r="I172" s="33"/>
      <c r="J172" s="33"/>
      <c r="K172" s="33"/>
      <c r="L172" s="34"/>
      <c r="M172" s="34"/>
      <c r="N172" s="34"/>
      <c r="O172" s="34"/>
      <c r="P172" s="33"/>
      <c r="Q172" s="35"/>
      <c r="R172" s="33"/>
      <c r="S172" s="33"/>
      <c r="T172" s="33"/>
      <c r="U172" s="33"/>
      <c r="V172" s="33"/>
      <c r="W172" s="33"/>
    </row>
    <row r="173" customFormat="false" ht="15" hidden="false" customHeight="false" outlineLevel="0" collapsed="false">
      <c r="A173" s="33"/>
      <c r="B173" s="33"/>
      <c r="C173" s="33"/>
      <c r="D173" s="33"/>
      <c r="E173" s="33"/>
      <c r="F173" s="33"/>
      <c r="G173" s="33"/>
      <c r="H173" s="33"/>
      <c r="I173" s="33"/>
      <c r="J173" s="33"/>
      <c r="K173" s="33"/>
      <c r="L173" s="34"/>
      <c r="M173" s="34"/>
      <c r="N173" s="34"/>
      <c r="O173" s="34"/>
      <c r="P173" s="33"/>
      <c r="Q173" s="35"/>
      <c r="R173" s="33"/>
      <c r="S173" s="33"/>
      <c r="T173" s="33"/>
      <c r="U173" s="33"/>
      <c r="V173" s="33"/>
      <c r="W173" s="33"/>
    </row>
    <row r="174" customFormat="false" ht="15" hidden="false" customHeight="false" outlineLevel="0" collapsed="false">
      <c r="A174" s="33"/>
      <c r="B174" s="33"/>
      <c r="C174" s="33"/>
      <c r="D174" s="33"/>
      <c r="E174" s="33"/>
      <c r="F174" s="33"/>
      <c r="G174" s="33"/>
      <c r="H174" s="33"/>
      <c r="I174" s="33"/>
      <c r="J174" s="33"/>
      <c r="K174" s="33"/>
      <c r="L174" s="34"/>
      <c r="M174" s="34"/>
      <c r="N174" s="34"/>
      <c r="O174" s="34"/>
      <c r="P174" s="33"/>
      <c r="Q174" s="35"/>
      <c r="R174" s="33"/>
      <c r="S174" s="33"/>
      <c r="T174" s="33"/>
      <c r="U174" s="33"/>
      <c r="V174" s="33"/>
      <c r="W174" s="33"/>
    </row>
    <row r="175" customFormat="false" ht="15" hidden="false" customHeight="false" outlineLevel="0" collapsed="false">
      <c r="A175" s="33"/>
      <c r="B175" s="33"/>
      <c r="C175" s="33"/>
      <c r="D175" s="33"/>
      <c r="E175" s="33"/>
      <c r="F175" s="33"/>
      <c r="G175" s="33"/>
      <c r="H175" s="33"/>
      <c r="I175" s="33"/>
      <c r="J175" s="33"/>
      <c r="K175" s="33"/>
      <c r="L175" s="34"/>
      <c r="M175" s="34"/>
      <c r="N175" s="34"/>
      <c r="O175" s="34"/>
      <c r="P175" s="33"/>
      <c r="Q175" s="35"/>
      <c r="R175" s="33"/>
      <c r="S175" s="33"/>
      <c r="T175" s="33"/>
      <c r="U175" s="33"/>
      <c r="V175" s="33"/>
      <c r="W175" s="33"/>
    </row>
    <row r="176" customFormat="false" ht="15" hidden="false" customHeight="false" outlineLevel="0" collapsed="false">
      <c r="A176" s="33"/>
      <c r="B176" s="33"/>
      <c r="C176" s="33"/>
      <c r="D176" s="33"/>
      <c r="E176" s="33"/>
      <c r="F176" s="33"/>
      <c r="G176" s="33"/>
      <c r="H176" s="33"/>
      <c r="I176" s="33"/>
      <c r="J176" s="33"/>
      <c r="K176" s="33"/>
      <c r="L176" s="34"/>
      <c r="M176" s="34"/>
      <c r="N176" s="34"/>
      <c r="O176" s="34"/>
      <c r="P176" s="33"/>
      <c r="Q176" s="35"/>
      <c r="R176" s="33"/>
      <c r="S176" s="33"/>
      <c r="T176" s="33"/>
      <c r="U176" s="33"/>
      <c r="V176" s="33"/>
      <c r="W176" s="33"/>
    </row>
    <row r="177" customFormat="false" ht="15" hidden="false" customHeight="false" outlineLevel="0" collapsed="false">
      <c r="A177" s="33"/>
      <c r="B177" s="33"/>
      <c r="C177" s="33"/>
      <c r="D177" s="33"/>
      <c r="E177" s="33"/>
      <c r="F177" s="33"/>
      <c r="G177" s="33"/>
      <c r="H177" s="33"/>
      <c r="I177" s="33"/>
      <c r="J177" s="33"/>
      <c r="K177" s="33"/>
      <c r="L177" s="34"/>
      <c r="M177" s="34"/>
      <c r="N177" s="34"/>
      <c r="O177" s="34"/>
      <c r="P177" s="33"/>
      <c r="Q177" s="35"/>
      <c r="R177" s="33"/>
      <c r="S177" s="33"/>
      <c r="T177" s="33"/>
      <c r="U177" s="33"/>
      <c r="V177" s="33"/>
      <c r="W177" s="33"/>
    </row>
    <row r="178" customFormat="false" ht="15" hidden="false" customHeight="false" outlineLevel="0" collapsed="false">
      <c r="A178" s="33"/>
      <c r="B178" s="33"/>
      <c r="C178" s="33"/>
      <c r="D178" s="33"/>
      <c r="E178" s="33"/>
      <c r="F178" s="33"/>
      <c r="G178" s="33"/>
      <c r="H178" s="33"/>
      <c r="I178" s="33"/>
      <c r="J178" s="33"/>
      <c r="K178" s="33"/>
      <c r="L178" s="34"/>
      <c r="M178" s="34"/>
      <c r="N178" s="34"/>
      <c r="O178" s="34"/>
      <c r="P178" s="33"/>
      <c r="Q178" s="35"/>
      <c r="R178" s="33"/>
      <c r="S178" s="33"/>
      <c r="T178" s="33"/>
      <c r="U178" s="33"/>
      <c r="V178" s="33"/>
      <c r="W178" s="33"/>
    </row>
    <row r="179" customFormat="false" ht="15" hidden="false" customHeight="false" outlineLevel="0" collapsed="false">
      <c r="A179" s="33"/>
      <c r="B179" s="33"/>
      <c r="C179" s="33"/>
      <c r="D179" s="33"/>
      <c r="E179" s="33"/>
      <c r="F179" s="33"/>
      <c r="G179" s="33"/>
      <c r="H179" s="33"/>
      <c r="I179" s="33"/>
      <c r="J179" s="33"/>
      <c r="K179" s="33"/>
      <c r="L179" s="34"/>
      <c r="M179" s="34"/>
      <c r="N179" s="34"/>
      <c r="O179" s="34"/>
      <c r="P179" s="33"/>
      <c r="Q179" s="35"/>
      <c r="R179" s="33"/>
      <c r="S179" s="33"/>
      <c r="T179" s="33"/>
      <c r="U179" s="33"/>
      <c r="V179" s="33"/>
      <c r="W179" s="33"/>
    </row>
    <row r="180" customFormat="false" ht="15" hidden="false" customHeight="false" outlineLevel="0" collapsed="false">
      <c r="A180" s="33"/>
      <c r="B180" s="33"/>
      <c r="C180" s="33"/>
      <c r="D180" s="33"/>
      <c r="E180" s="33"/>
      <c r="F180" s="33"/>
      <c r="G180" s="33"/>
      <c r="H180" s="33"/>
      <c r="I180" s="33"/>
      <c r="J180" s="33"/>
      <c r="K180" s="33"/>
      <c r="L180" s="34"/>
      <c r="M180" s="34"/>
      <c r="N180" s="34"/>
      <c r="O180" s="34"/>
      <c r="P180" s="33"/>
      <c r="Q180" s="35"/>
      <c r="R180" s="33"/>
      <c r="S180" s="33"/>
      <c r="T180" s="33"/>
      <c r="U180" s="33"/>
      <c r="V180" s="33"/>
      <c r="W180" s="33"/>
    </row>
    <row r="181" customFormat="false" ht="15" hidden="false" customHeight="false" outlineLevel="0" collapsed="false">
      <c r="A181" s="33"/>
      <c r="B181" s="33"/>
      <c r="C181" s="33"/>
      <c r="D181" s="33"/>
      <c r="E181" s="33"/>
      <c r="F181" s="33"/>
      <c r="G181" s="33"/>
      <c r="H181" s="33"/>
      <c r="I181" s="33"/>
      <c r="J181" s="33"/>
      <c r="K181" s="33"/>
      <c r="L181" s="34"/>
      <c r="M181" s="34"/>
      <c r="N181" s="34"/>
      <c r="O181" s="34"/>
      <c r="P181" s="33"/>
      <c r="Q181" s="35"/>
      <c r="R181" s="33"/>
      <c r="S181" s="33"/>
      <c r="T181" s="33"/>
      <c r="U181" s="33"/>
      <c r="V181" s="33"/>
      <c r="W181" s="33"/>
    </row>
    <row r="182" customFormat="false" ht="15" hidden="false" customHeight="false" outlineLevel="0" collapsed="false">
      <c r="A182" s="33"/>
      <c r="B182" s="33"/>
      <c r="C182" s="33"/>
      <c r="D182" s="33"/>
      <c r="E182" s="33"/>
      <c r="F182" s="33"/>
      <c r="G182" s="33"/>
      <c r="H182" s="33"/>
      <c r="I182" s="33"/>
      <c r="J182" s="33"/>
      <c r="K182" s="33"/>
      <c r="L182" s="34"/>
      <c r="M182" s="34"/>
      <c r="N182" s="34"/>
      <c r="O182" s="34"/>
      <c r="P182" s="33"/>
      <c r="Q182" s="35"/>
      <c r="R182" s="33"/>
      <c r="S182" s="33"/>
      <c r="T182" s="33"/>
      <c r="U182" s="33"/>
      <c r="V182" s="33"/>
      <c r="W182" s="33"/>
    </row>
    <row r="183" customFormat="false" ht="15" hidden="false" customHeight="false" outlineLevel="0" collapsed="false">
      <c r="A183" s="33"/>
      <c r="B183" s="33"/>
      <c r="C183" s="33"/>
      <c r="D183" s="33"/>
      <c r="E183" s="33"/>
      <c r="F183" s="33"/>
      <c r="G183" s="33"/>
      <c r="H183" s="33"/>
      <c r="I183" s="33"/>
      <c r="J183" s="33"/>
      <c r="K183" s="33"/>
      <c r="L183" s="34"/>
      <c r="M183" s="34"/>
      <c r="N183" s="34"/>
      <c r="O183" s="34"/>
      <c r="P183" s="33"/>
      <c r="Q183" s="35"/>
      <c r="R183" s="33"/>
      <c r="S183" s="33"/>
      <c r="T183" s="33"/>
      <c r="U183" s="33"/>
      <c r="V183" s="33"/>
      <c r="W183" s="33"/>
    </row>
    <row r="184" customFormat="false" ht="15" hidden="false" customHeight="false" outlineLevel="0" collapsed="false">
      <c r="A184" s="33"/>
      <c r="B184" s="33"/>
      <c r="C184" s="33"/>
      <c r="D184" s="33"/>
      <c r="E184" s="33"/>
      <c r="F184" s="33"/>
      <c r="G184" s="33"/>
      <c r="H184" s="33"/>
      <c r="I184" s="33"/>
      <c r="J184" s="33"/>
      <c r="K184" s="33"/>
      <c r="L184" s="34"/>
      <c r="M184" s="34"/>
      <c r="N184" s="34"/>
      <c r="O184" s="34"/>
      <c r="P184" s="33"/>
      <c r="Q184" s="35"/>
      <c r="R184" s="33"/>
      <c r="S184" s="33"/>
      <c r="T184" s="33"/>
      <c r="U184" s="33"/>
      <c r="V184" s="33"/>
      <c r="W184" s="33"/>
    </row>
    <row r="185" customFormat="false" ht="15" hidden="false" customHeight="false" outlineLevel="0" collapsed="false">
      <c r="A185" s="33"/>
      <c r="B185" s="33"/>
      <c r="C185" s="33"/>
      <c r="D185" s="33"/>
      <c r="E185" s="33"/>
      <c r="F185" s="33"/>
      <c r="G185" s="33"/>
      <c r="H185" s="33"/>
      <c r="I185" s="33"/>
      <c r="J185" s="33"/>
      <c r="K185" s="33"/>
      <c r="L185" s="34"/>
      <c r="M185" s="34"/>
      <c r="N185" s="34"/>
      <c r="O185" s="34"/>
      <c r="P185" s="33"/>
      <c r="Q185" s="35"/>
      <c r="R185" s="33"/>
      <c r="S185" s="33"/>
      <c r="T185" s="33"/>
      <c r="U185" s="33"/>
      <c r="V185" s="33"/>
      <c r="W185" s="33"/>
    </row>
    <row r="186" customFormat="false" ht="15" hidden="false" customHeight="false" outlineLevel="0" collapsed="false">
      <c r="A186" s="33"/>
      <c r="B186" s="33"/>
      <c r="C186" s="33"/>
      <c r="D186" s="33"/>
      <c r="E186" s="33"/>
      <c r="F186" s="33"/>
      <c r="G186" s="33"/>
      <c r="H186" s="33"/>
      <c r="I186" s="33"/>
      <c r="J186" s="33"/>
      <c r="K186" s="33"/>
      <c r="L186" s="34"/>
      <c r="M186" s="34"/>
      <c r="N186" s="34"/>
      <c r="O186" s="34"/>
      <c r="P186" s="33"/>
      <c r="Q186" s="35"/>
      <c r="R186" s="33"/>
      <c r="S186" s="33"/>
      <c r="T186" s="33"/>
      <c r="U186" s="33"/>
      <c r="V186" s="33"/>
      <c r="W186" s="33"/>
    </row>
    <row r="187" customFormat="false" ht="15" hidden="false" customHeight="false" outlineLevel="0" collapsed="false">
      <c r="A187" s="33"/>
      <c r="B187" s="33"/>
      <c r="C187" s="33"/>
      <c r="D187" s="33"/>
      <c r="E187" s="33"/>
      <c r="F187" s="33"/>
      <c r="G187" s="33"/>
      <c r="H187" s="33"/>
      <c r="I187" s="33"/>
      <c r="J187" s="33"/>
      <c r="K187" s="33"/>
      <c r="L187" s="34"/>
      <c r="M187" s="34"/>
      <c r="N187" s="34"/>
      <c r="O187" s="34"/>
      <c r="P187" s="33"/>
      <c r="Q187" s="35"/>
      <c r="R187" s="33"/>
      <c r="S187" s="33"/>
      <c r="T187" s="33"/>
      <c r="U187" s="33"/>
      <c r="V187" s="33"/>
      <c r="W187" s="33"/>
    </row>
    <row r="188" customFormat="false" ht="15" hidden="false" customHeight="false" outlineLevel="0" collapsed="false">
      <c r="A188" s="33"/>
      <c r="B188" s="33"/>
      <c r="C188" s="33"/>
      <c r="D188" s="33"/>
      <c r="E188" s="33"/>
      <c r="F188" s="33"/>
      <c r="G188" s="33"/>
      <c r="H188" s="33"/>
      <c r="I188" s="33"/>
      <c r="J188" s="33"/>
      <c r="K188" s="33"/>
      <c r="L188" s="34"/>
      <c r="M188" s="34"/>
      <c r="N188" s="34"/>
      <c r="O188" s="34"/>
      <c r="P188" s="33"/>
      <c r="Q188" s="35"/>
      <c r="R188" s="33"/>
      <c r="S188" s="33"/>
      <c r="T188" s="33"/>
      <c r="U188" s="33"/>
      <c r="V188" s="33"/>
      <c r="W188" s="33"/>
    </row>
    <row r="189" customFormat="false" ht="15" hidden="false" customHeight="false" outlineLevel="0" collapsed="false">
      <c r="A189" s="33"/>
      <c r="B189" s="33"/>
      <c r="C189" s="33"/>
      <c r="D189" s="33"/>
      <c r="E189" s="33"/>
      <c r="F189" s="33"/>
      <c r="G189" s="33"/>
      <c r="H189" s="33"/>
      <c r="I189" s="33"/>
      <c r="J189" s="33"/>
      <c r="K189" s="33"/>
      <c r="L189" s="34"/>
      <c r="M189" s="34"/>
      <c r="N189" s="34"/>
      <c r="O189" s="34"/>
      <c r="P189" s="33"/>
      <c r="Q189" s="35"/>
      <c r="R189" s="33"/>
      <c r="S189" s="33"/>
      <c r="T189" s="33"/>
      <c r="U189" s="33"/>
      <c r="V189" s="33"/>
      <c r="W189" s="33"/>
    </row>
    <row r="190" customFormat="false" ht="15" hidden="false" customHeight="false" outlineLevel="0" collapsed="false">
      <c r="A190" s="33"/>
      <c r="B190" s="33"/>
      <c r="C190" s="33"/>
      <c r="D190" s="33"/>
      <c r="E190" s="33"/>
      <c r="F190" s="33"/>
      <c r="G190" s="33"/>
      <c r="H190" s="33"/>
      <c r="I190" s="33"/>
      <c r="J190" s="33"/>
      <c r="K190" s="33"/>
      <c r="L190" s="34"/>
      <c r="M190" s="34"/>
      <c r="N190" s="34"/>
      <c r="O190" s="34"/>
      <c r="P190" s="33"/>
      <c r="Q190" s="35"/>
      <c r="R190" s="33"/>
      <c r="S190" s="33"/>
      <c r="T190" s="33"/>
      <c r="U190" s="33"/>
      <c r="V190" s="33"/>
      <c r="W190" s="33"/>
    </row>
    <row r="191" customFormat="false" ht="15" hidden="false" customHeight="false" outlineLevel="0" collapsed="false">
      <c r="A191" s="33"/>
      <c r="B191" s="33"/>
      <c r="C191" s="33"/>
      <c r="D191" s="33"/>
      <c r="E191" s="33"/>
      <c r="F191" s="33"/>
      <c r="G191" s="33"/>
      <c r="H191" s="33"/>
      <c r="I191" s="33"/>
      <c r="J191" s="33"/>
      <c r="K191" s="33"/>
      <c r="L191" s="34"/>
      <c r="M191" s="34"/>
      <c r="N191" s="34"/>
      <c r="O191" s="34"/>
      <c r="P191" s="33"/>
      <c r="Q191" s="35"/>
      <c r="R191" s="33"/>
      <c r="S191" s="33"/>
      <c r="T191" s="33"/>
      <c r="U191" s="33"/>
      <c r="V191" s="33"/>
      <c r="W191" s="33"/>
    </row>
    <row r="192" customFormat="false" ht="15" hidden="false" customHeight="false" outlineLevel="0" collapsed="false">
      <c r="A192" s="33"/>
      <c r="B192" s="33"/>
      <c r="C192" s="33"/>
      <c r="D192" s="33"/>
      <c r="E192" s="33"/>
      <c r="F192" s="33"/>
      <c r="G192" s="33"/>
      <c r="H192" s="33"/>
      <c r="I192" s="33"/>
      <c r="J192" s="33"/>
      <c r="K192" s="33"/>
      <c r="L192" s="34"/>
      <c r="M192" s="34"/>
      <c r="N192" s="34"/>
      <c r="O192" s="34"/>
      <c r="P192" s="33"/>
      <c r="Q192" s="35"/>
      <c r="R192" s="33"/>
      <c r="S192" s="33"/>
      <c r="T192" s="33"/>
      <c r="U192" s="33"/>
      <c r="V192" s="33"/>
      <c r="W192" s="33"/>
    </row>
    <row r="193" customFormat="false" ht="15" hidden="false" customHeight="false" outlineLevel="0" collapsed="false">
      <c r="A193" s="33"/>
      <c r="B193" s="33"/>
      <c r="C193" s="33"/>
      <c r="D193" s="33"/>
      <c r="E193" s="33"/>
      <c r="F193" s="33"/>
      <c r="G193" s="33"/>
      <c r="H193" s="33"/>
      <c r="I193" s="33"/>
      <c r="J193" s="33"/>
      <c r="K193" s="33"/>
      <c r="L193" s="34"/>
      <c r="M193" s="34"/>
      <c r="N193" s="34"/>
      <c r="O193" s="34"/>
      <c r="P193" s="33"/>
      <c r="Q193" s="35"/>
      <c r="R193" s="33"/>
      <c r="S193" s="33"/>
      <c r="T193" s="33"/>
      <c r="U193" s="33"/>
      <c r="V193" s="33"/>
      <c r="W193" s="33"/>
    </row>
    <row r="194" customFormat="false" ht="15" hidden="false" customHeight="false" outlineLevel="0" collapsed="false">
      <c r="A194" s="33"/>
      <c r="B194" s="33"/>
      <c r="C194" s="33"/>
      <c r="D194" s="33"/>
      <c r="E194" s="33"/>
      <c r="F194" s="33"/>
      <c r="G194" s="33"/>
      <c r="H194" s="33"/>
      <c r="I194" s="33"/>
      <c r="J194" s="33"/>
      <c r="K194" s="33"/>
      <c r="L194" s="34"/>
      <c r="M194" s="34"/>
      <c r="N194" s="34"/>
      <c r="O194" s="34"/>
      <c r="P194" s="33"/>
      <c r="Q194" s="35"/>
      <c r="R194" s="33"/>
      <c r="S194" s="33"/>
      <c r="T194" s="33"/>
      <c r="U194" s="33"/>
      <c r="V194" s="33"/>
      <c r="W194" s="33"/>
    </row>
    <row r="195" customFormat="false" ht="15" hidden="false" customHeight="false" outlineLevel="0" collapsed="false">
      <c r="A195" s="33"/>
      <c r="B195" s="33"/>
      <c r="C195" s="33"/>
      <c r="D195" s="33"/>
      <c r="E195" s="33"/>
      <c r="F195" s="33"/>
      <c r="G195" s="33"/>
      <c r="H195" s="33"/>
      <c r="I195" s="33"/>
      <c r="J195" s="33"/>
      <c r="K195" s="33"/>
      <c r="L195" s="34"/>
      <c r="M195" s="34"/>
      <c r="N195" s="34"/>
      <c r="O195" s="34"/>
      <c r="P195" s="33"/>
      <c r="Q195" s="35"/>
      <c r="R195" s="33"/>
      <c r="S195" s="33"/>
      <c r="T195" s="33"/>
      <c r="U195" s="33"/>
      <c r="V195" s="33"/>
      <c r="W195" s="33"/>
    </row>
    <row r="196" customFormat="false" ht="15" hidden="false" customHeight="false" outlineLevel="0" collapsed="false">
      <c r="A196" s="33"/>
      <c r="B196" s="33"/>
      <c r="C196" s="33"/>
      <c r="D196" s="33"/>
      <c r="E196" s="33"/>
      <c r="F196" s="33"/>
      <c r="G196" s="33"/>
      <c r="H196" s="33"/>
      <c r="I196" s="33"/>
      <c r="J196" s="33"/>
      <c r="K196" s="33"/>
      <c r="L196" s="34"/>
      <c r="M196" s="34"/>
      <c r="N196" s="34"/>
      <c r="O196" s="34"/>
      <c r="P196" s="33"/>
      <c r="Q196" s="35"/>
      <c r="R196" s="33"/>
      <c r="S196" s="33"/>
      <c r="T196" s="33"/>
      <c r="U196" s="33"/>
      <c r="V196" s="33"/>
      <c r="W196" s="33"/>
    </row>
    <row r="197" customFormat="false" ht="15" hidden="false" customHeight="false" outlineLevel="0" collapsed="false">
      <c r="A197" s="33"/>
      <c r="B197" s="33"/>
      <c r="C197" s="33"/>
      <c r="D197" s="33"/>
      <c r="E197" s="33"/>
      <c r="F197" s="33"/>
      <c r="G197" s="33"/>
      <c r="H197" s="33"/>
      <c r="I197" s="33"/>
      <c r="J197" s="33"/>
      <c r="K197" s="33"/>
      <c r="L197" s="34"/>
      <c r="M197" s="34"/>
      <c r="N197" s="34"/>
      <c r="O197" s="34"/>
      <c r="P197" s="33"/>
      <c r="Q197" s="35"/>
      <c r="R197" s="33"/>
      <c r="S197" s="33"/>
      <c r="T197" s="33"/>
      <c r="U197" s="33"/>
      <c r="V197" s="33"/>
      <c r="W197" s="33"/>
    </row>
    <row r="198" customFormat="false" ht="15" hidden="false" customHeight="false" outlineLevel="0" collapsed="false">
      <c r="A198" s="33"/>
      <c r="B198" s="33"/>
      <c r="C198" s="33"/>
      <c r="D198" s="33"/>
      <c r="E198" s="33"/>
      <c r="F198" s="33"/>
      <c r="G198" s="33"/>
      <c r="H198" s="33"/>
      <c r="I198" s="33"/>
      <c r="J198" s="33"/>
      <c r="K198" s="33"/>
      <c r="L198" s="34"/>
      <c r="M198" s="34"/>
      <c r="N198" s="34"/>
      <c r="O198" s="34"/>
      <c r="P198" s="33"/>
      <c r="Q198" s="35"/>
      <c r="R198" s="33"/>
      <c r="S198" s="33"/>
      <c r="T198" s="33"/>
      <c r="U198" s="33"/>
      <c r="V198" s="33"/>
      <c r="W198" s="33"/>
    </row>
    <row r="199" customFormat="false" ht="15" hidden="false" customHeight="false" outlineLevel="0" collapsed="false">
      <c r="A199" s="33"/>
      <c r="B199" s="33"/>
      <c r="C199" s="33"/>
      <c r="D199" s="33"/>
      <c r="E199" s="33"/>
      <c r="F199" s="33"/>
      <c r="G199" s="33"/>
      <c r="H199" s="33"/>
      <c r="I199" s="33"/>
      <c r="J199" s="33"/>
      <c r="K199" s="33"/>
      <c r="L199" s="34"/>
      <c r="M199" s="34"/>
      <c r="N199" s="34"/>
      <c r="O199" s="34"/>
      <c r="P199" s="33"/>
      <c r="Q199" s="35"/>
      <c r="R199" s="33"/>
      <c r="S199" s="33"/>
      <c r="T199" s="33"/>
      <c r="U199" s="33"/>
      <c r="V199" s="33"/>
      <c r="W199" s="33"/>
    </row>
    <row r="200" customFormat="false" ht="15" hidden="false" customHeight="false" outlineLevel="0" collapsed="false">
      <c r="A200" s="33"/>
      <c r="B200" s="33"/>
      <c r="C200" s="33"/>
      <c r="D200" s="33"/>
      <c r="E200" s="33"/>
      <c r="F200" s="33"/>
      <c r="G200" s="33"/>
      <c r="H200" s="33"/>
      <c r="I200" s="33"/>
      <c r="J200" s="33"/>
      <c r="K200" s="33"/>
      <c r="L200" s="34"/>
      <c r="M200" s="34"/>
      <c r="N200" s="34"/>
      <c r="O200" s="34"/>
      <c r="P200" s="33"/>
      <c r="Q200" s="35"/>
      <c r="R200" s="33"/>
      <c r="S200" s="33"/>
      <c r="T200" s="33"/>
      <c r="U200" s="33"/>
      <c r="V200" s="33"/>
      <c r="W200" s="33"/>
    </row>
    <row r="201" customFormat="false" ht="15" hidden="false" customHeight="false" outlineLevel="0" collapsed="false">
      <c r="A201" s="33"/>
      <c r="B201" s="33"/>
      <c r="C201" s="33"/>
      <c r="D201" s="33"/>
      <c r="E201" s="33"/>
      <c r="F201" s="33"/>
      <c r="G201" s="33"/>
      <c r="H201" s="33"/>
      <c r="I201" s="33"/>
      <c r="J201" s="33"/>
      <c r="K201" s="33"/>
      <c r="L201" s="34"/>
      <c r="M201" s="34"/>
      <c r="N201" s="34"/>
      <c r="O201" s="34"/>
      <c r="P201" s="33"/>
      <c r="Q201" s="35"/>
      <c r="R201" s="33"/>
      <c r="S201" s="33"/>
      <c r="T201" s="33"/>
      <c r="U201" s="33"/>
      <c r="V201" s="33"/>
      <c r="W201" s="33"/>
    </row>
    <row r="202" customFormat="false" ht="15" hidden="false" customHeight="false" outlineLevel="0" collapsed="false">
      <c r="A202" s="33"/>
      <c r="B202" s="33"/>
      <c r="C202" s="33"/>
      <c r="D202" s="33"/>
      <c r="E202" s="33"/>
      <c r="F202" s="33"/>
      <c r="G202" s="33"/>
      <c r="H202" s="33"/>
      <c r="I202" s="33"/>
      <c r="J202" s="33"/>
      <c r="K202" s="33"/>
      <c r="L202" s="34"/>
      <c r="M202" s="34"/>
      <c r="N202" s="34"/>
      <c r="O202" s="34"/>
      <c r="P202" s="33"/>
      <c r="Q202" s="35"/>
      <c r="R202" s="33"/>
      <c r="S202" s="33"/>
      <c r="T202" s="33"/>
      <c r="U202" s="33"/>
      <c r="V202" s="33"/>
      <c r="W202" s="33"/>
    </row>
    <row r="203" customFormat="false" ht="15" hidden="false" customHeight="false" outlineLevel="0" collapsed="false">
      <c r="A203" s="33"/>
      <c r="B203" s="33"/>
      <c r="C203" s="33"/>
      <c r="D203" s="33"/>
      <c r="E203" s="33"/>
      <c r="F203" s="33"/>
      <c r="G203" s="33"/>
      <c r="H203" s="33"/>
      <c r="I203" s="33"/>
      <c r="J203" s="33"/>
      <c r="K203" s="33"/>
      <c r="L203" s="34"/>
      <c r="M203" s="34"/>
      <c r="N203" s="34"/>
      <c r="O203" s="34"/>
      <c r="P203" s="33"/>
      <c r="Q203" s="35"/>
      <c r="R203" s="33"/>
      <c r="S203" s="33"/>
      <c r="T203" s="33"/>
      <c r="U203" s="33"/>
      <c r="V203" s="33"/>
      <c r="W203" s="33"/>
    </row>
    <row r="204" customFormat="false" ht="15" hidden="false" customHeight="false" outlineLevel="0" collapsed="false">
      <c r="A204" s="33"/>
      <c r="B204" s="33"/>
      <c r="C204" s="33"/>
      <c r="D204" s="33"/>
      <c r="E204" s="33"/>
      <c r="F204" s="33"/>
      <c r="G204" s="33"/>
      <c r="H204" s="33"/>
      <c r="I204" s="33"/>
      <c r="J204" s="33"/>
      <c r="K204" s="33"/>
      <c r="L204" s="34"/>
      <c r="M204" s="34"/>
      <c r="N204" s="34"/>
      <c r="O204" s="34"/>
      <c r="P204" s="33"/>
      <c r="Q204" s="35"/>
      <c r="R204" s="33"/>
      <c r="S204" s="33"/>
      <c r="T204" s="33"/>
      <c r="U204" s="33"/>
      <c r="V204" s="33"/>
      <c r="W204" s="33"/>
    </row>
    <row r="205" customFormat="false" ht="15" hidden="false" customHeight="false" outlineLevel="0" collapsed="false">
      <c r="A205" s="33"/>
      <c r="B205" s="33"/>
      <c r="C205" s="33"/>
      <c r="D205" s="33"/>
      <c r="E205" s="33"/>
      <c r="F205" s="33"/>
      <c r="G205" s="33"/>
      <c r="H205" s="33"/>
      <c r="I205" s="33"/>
      <c r="J205" s="33"/>
      <c r="K205" s="33"/>
      <c r="L205" s="34"/>
      <c r="M205" s="34"/>
      <c r="N205" s="34"/>
      <c r="O205" s="34"/>
      <c r="P205" s="33"/>
      <c r="Q205" s="35"/>
      <c r="R205" s="33"/>
      <c r="S205" s="33"/>
      <c r="T205" s="33"/>
      <c r="U205" s="33"/>
      <c r="V205" s="33"/>
      <c r="W205" s="33"/>
    </row>
    <row r="206" customFormat="false" ht="15" hidden="false" customHeight="false" outlineLevel="0" collapsed="false">
      <c r="A206" s="33"/>
      <c r="B206" s="33"/>
      <c r="C206" s="33"/>
      <c r="D206" s="33"/>
      <c r="E206" s="33"/>
      <c r="F206" s="33"/>
      <c r="G206" s="33"/>
      <c r="H206" s="33"/>
      <c r="I206" s="33"/>
      <c r="J206" s="33"/>
      <c r="K206" s="33"/>
      <c r="L206" s="34"/>
      <c r="M206" s="34"/>
      <c r="N206" s="34"/>
      <c r="O206" s="34"/>
      <c r="P206" s="33"/>
      <c r="Q206" s="35"/>
      <c r="R206" s="33"/>
      <c r="S206" s="33"/>
      <c r="T206" s="33"/>
      <c r="U206" s="33"/>
      <c r="V206" s="33"/>
      <c r="W206" s="33"/>
    </row>
    <row r="207" customFormat="false" ht="15" hidden="false" customHeight="false" outlineLevel="0" collapsed="false">
      <c r="A207" s="33"/>
      <c r="B207" s="33"/>
      <c r="C207" s="33"/>
      <c r="D207" s="33"/>
      <c r="E207" s="33"/>
      <c r="F207" s="33"/>
      <c r="G207" s="33"/>
      <c r="H207" s="33"/>
      <c r="I207" s="33"/>
      <c r="J207" s="33"/>
      <c r="K207" s="33"/>
      <c r="L207" s="34"/>
      <c r="M207" s="34"/>
      <c r="N207" s="34"/>
      <c r="O207" s="34"/>
      <c r="P207" s="33"/>
      <c r="Q207" s="35"/>
      <c r="R207" s="33"/>
      <c r="S207" s="33"/>
      <c r="T207" s="33"/>
      <c r="U207" s="33"/>
      <c r="V207" s="33"/>
      <c r="W207" s="33"/>
    </row>
    <row r="208" customFormat="false" ht="15" hidden="false" customHeight="false" outlineLevel="0" collapsed="false">
      <c r="A208" s="33"/>
      <c r="B208" s="33"/>
      <c r="C208" s="33"/>
      <c r="D208" s="33"/>
      <c r="E208" s="33"/>
      <c r="F208" s="33"/>
      <c r="G208" s="33"/>
      <c r="H208" s="33"/>
      <c r="I208" s="33"/>
      <c r="J208" s="33"/>
      <c r="K208" s="33"/>
      <c r="L208" s="34"/>
      <c r="M208" s="34"/>
      <c r="N208" s="34"/>
      <c r="O208" s="34"/>
      <c r="P208" s="33"/>
      <c r="Q208" s="35"/>
      <c r="R208" s="33"/>
      <c r="S208" s="33"/>
      <c r="T208" s="33"/>
      <c r="U208" s="33"/>
      <c r="V208" s="33"/>
      <c r="W208" s="33"/>
    </row>
    <row r="209" customFormat="false" ht="15" hidden="false" customHeight="false" outlineLevel="0" collapsed="false">
      <c r="A209" s="33"/>
      <c r="B209" s="33"/>
      <c r="C209" s="33"/>
      <c r="D209" s="33"/>
      <c r="E209" s="33"/>
      <c r="F209" s="33"/>
      <c r="G209" s="33"/>
      <c r="H209" s="33"/>
      <c r="I209" s="33"/>
      <c r="J209" s="33"/>
      <c r="K209" s="33"/>
      <c r="L209" s="34"/>
      <c r="M209" s="34"/>
      <c r="N209" s="34"/>
      <c r="O209" s="34"/>
      <c r="P209" s="33"/>
      <c r="Q209" s="35"/>
      <c r="R209" s="33"/>
      <c r="S209" s="33"/>
      <c r="T209" s="33"/>
      <c r="U209" s="33"/>
      <c r="V209" s="33"/>
      <c r="W209" s="33"/>
    </row>
    <row r="210" customFormat="false" ht="15" hidden="false" customHeight="false" outlineLevel="0" collapsed="false">
      <c r="A210" s="33"/>
      <c r="B210" s="33"/>
      <c r="C210" s="33"/>
      <c r="D210" s="33"/>
      <c r="E210" s="33"/>
      <c r="F210" s="33"/>
      <c r="G210" s="33"/>
      <c r="H210" s="33"/>
      <c r="I210" s="33"/>
      <c r="J210" s="33"/>
      <c r="K210" s="33"/>
      <c r="L210" s="34"/>
      <c r="M210" s="34"/>
      <c r="N210" s="34"/>
      <c r="O210" s="34"/>
      <c r="P210" s="33"/>
      <c r="Q210" s="35"/>
      <c r="R210" s="33"/>
      <c r="S210" s="33"/>
      <c r="T210" s="33"/>
      <c r="U210" s="33"/>
      <c r="V210" s="33"/>
      <c r="W210" s="33"/>
    </row>
    <row r="211" customFormat="false" ht="15" hidden="false" customHeight="false" outlineLevel="0" collapsed="false">
      <c r="A211" s="33"/>
      <c r="B211" s="33"/>
      <c r="C211" s="33"/>
      <c r="D211" s="33"/>
      <c r="E211" s="33"/>
      <c r="F211" s="33"/>
      <c r="G211" s="33"/>
      <c r="H211" s="33"/>
      <c r="I211" s="33"/>
      <c r="J211" s="33"/>
      <c r="K211" s="33"/>
      <c r="L211" s="34"/>
      <c r="M211" s="34"/>
      <c r="N211" s="34"/>
      <c r="O211" s="34"/>
      <c r="P211" s="33"/>
      <c r="Q211" s="35"/>
      <c r="R211" s="33"/>
      <c r="S211" s="33"/>
      <c r="T211" s="33"/>
      <c r="U211" s="33"/>
      <c r="V211" s="33"/>
      <c r="W211" s="33"/>
    </row>
    <row r="212" customFormat="false" ht="15" hidden="false" customHeight="false" outlineLevel="0" collapsed="false">
      <c r="A212" s="33"/>
      <c r="B212" s="33"/>
      <c r="C212" s="33"/>
      <c r="D212" s="33"/>
      <c r="E212" s="33"/>
      <c r="F212" s="33"/>
      <c r="G212" s="33"/>
      <c r="H212" s="33"/>
      <c r="I212" s="33"/>
      <c r="J212" s="33"/>
      <c r="K212" s="33"/>
      <c r="L212" s="34"/>
      <c r="M212" s="34"/>
      <c r="N212" s="34"/>
      <c r="O212" s="34"/>
      <c r="P212" s="33"/>
      <c r="Q212" s="35"/>
      <c r="R212" s="33"/>
      <c r="S212" s="33"/>
      <c r="T212" s="33"/>
      <c r="U212" s="33"/>
      <c r="V212" s="33"/>
      <c r="W212" s="33"/>
    </row>
    <row r="213" customFormat="false" ht="15" hidden="false" customHeight="false" outlineLevel="0" collapsed="false">
      <c r="A213" s="33"/>
      <c r="B213" s="33"/>
      <c r="C213" s="33"/>
      <c r="D213" s="33"/>
      <c r="E213" s="33"/>
      <c r="F213" s="33"/>
      <c r="G213" s="33"/>
      <c r="H213" s="33"/>
      <c r="I213" s="33"/>
      <c r="J213" s="33"/>
      <c r="K213" s="33"/>
      <c r="L213" s="34"/>
      <c r="M213" s="34"/>
      <c r="N213" s="34"/>
      <c r="O213" s="34"/>
      <c r="P213" s="33"/>
      <c r="Q213" s="35"/>
      <c r="R213" s="33"/>
      <c r="S213" s="33"/>
      <c r="T213" s="33"/>
      <c r="U213" s="33"/>
      <c r="V213" s="33"/>
      <c r="W213" s="33"/>
    </row>
    <row r="214" customFormat="false" ht="15" hidden="false" customHeight="false" outlineLevel="0" collapsed="false">
      <c r="A214" s="33"/>
      <c r="B214" s="33"/>
      <c r="C214" s="33"/>
      <c r="D214" s="33"/>
      <c r="E214" s="33"/>
      <c r="F214" s="33"/>
      <c r="G214" s="33"/>
      <c r="H214" s="33"/>
      <c r="I214" s="33"/>
      <c r="J214" s="33"/>
      <c r="K214" s="33"/>
      <c r="L214" s="34"/>
      <c r="M214" s="34"/>
      <c r="N214" s="34"/>
      <c r="O214" s="34"/>
      <c r="P214" s="33"/>
      <c r="Q214" s="35"/>
      <c r="R214" s="33"/>
      <c r="S214" s="33"/>
      <c r="T214" s="33"/>
      <c r="U214" s="33"/>
      <c r="V214" s="33"/>
      <c r="W214" s="33"/>
    </row>
    <row r="215" customFormat="false" ht="15" hidden="false" customHeight="false" outlineLevel="0" collapsed="false">
      <c r="A215" s="33"/>
      <c r="B215" s="33"/>
      <c r="C215" s="33"/>
      <c r="D215" s="33"/>
      <c r="E215" s="33"/>
      <c r="F215" s="33"/>
      <c r="G215" s="33"/>
      <c r="H215" s="33"/>
      <c r="I215" s="33"/>
      <c r="J215" s="33"/>
      <c r="K215" s="33"/>
      <c r="L215" s="34"/>
      <c r="M215" s="34"/>
      <c r="N215" s="34"/>
      <c r="O215" s="34"/>
      <c r="P215" s="33"/>
      <c r="Q215" s="35"/>
      <c r="R215" s="33"/>
      <c r="S215" s="33"/>
      <c r="T215" s="33"/>
      <c r="U215" s="33"/>
      <c r="V215" s="33"/>
      <c r="W215" s="33"/>
    </row>
    <row r="216" customFormat="false" ht="15" hidden="false" customHeight="false" outlineLevel="0" collapsed="false">
      <c r="A216" s="33"/>
      <c r="B216" s="33"/>
      <c r="C216" s="33"/>
      <c r="D216" s="33"/>
      <c r="E216" s="33"/>
      <c r="F216" s="33"/>
      <c r="G216" s="33"/>
      <c r="H216" s="33"/>
      <c r="I216" s="33"/>
      <c r="J216" s="33"/>
      <c r="K216" s="33"/>
      <c r="L216" s="34"/>
      <c r="M216" s="34"/>
      <c r="N216" s="34"/>
      <c r="O216" s="34"/>
      <c r="P216" s="33"/>
      <c r="Q216" s="35"/>
      <c r="R216" s="33"/>
      <c r="S216" s="33"/>
      <c r="T216" s="33"/>
      <c r="U216" s="33"/>
      <c r="V216" s="33"/>
      <c r="W216" s="33"/>
    </row>
    <row r="217" customFormat="false" ht="15" hidden="false" customHeight="false" outlineLevel="0" collapsed="false">
      <c r="A217" s="33"/>
      <c r="B217" s="33"/>
      <c r="C217" s="33"/>
      <c r="D217" s="33"/>
      <c r="E217" s="33"/>
      <c r="F217" s="33"/>
      <c r="G217" s="33"/>
      <c r="H217" s="33"/>
      <c r="I217" s="33"/>
      <c r="J217" s="33"/>
      <c r="K217" s="33"/>
      <c r="L217" s="34"/>
      <c r="M217" s="34"/>
      <c r="N217" s="34"/>
      <c r="O217" s="34"/>
      <c r="P217" s="33"/>
      <c r="Q217" s="35"/>
      <c r="R217" s="33"/>
      <c r="S217" s="33"/>
      <c r="T217" s="33"/>
      <c r="U217" s="33"/>
      <c r="V217" s="33"/>
      <c r="W217" s="33"/>
    </row>
    <row r="218" customFormat="false" ht="15" hidden="false" customHeight="false" outlineLevel="0" collapsed="false">
      <c r="A218" s="33"/>
      <c r="B218" s="33"/>
      <c r="C218" s="33"/>
      <c r="D218" s="33"/>
      <c r="E218" s="33"/>
      <c r="F218" s="33"/>
      <c r="G218" s="33"/>
      <c r="H218" s="33"/>
      <c r="I218" s="33"/>
      <c r="J218" s="33"/>
      <c r="K218" s="33"/>
      <c r="L218" s="34"/>
      <c r="M218" s="34"/>
      <c r="N218" s="34"/>
      <c r="O218" s="34"/>
      <c r="P218" s="33"/>
      <c r="Q218" s="35"/>
      <c r="R218" s="33"/>
      <c r="S218" s="33"/>
      <c r="T218" s="33"/>
      <c r="U218" s="33"/>
      <c r="V218" s="33"/>
      <c r="W218" s="33"/>
    </row>
    <row r="219" customFormat="false" ht="15" hidden="false" customHeight="false" outlineLevel="0" collapsed="false">
      <c r="A219" s="33"/>
      <c r="B219" s="33"/>
      <c r="C219" s="33"/>
      <c r="D219" s="33"/>
      <c r="E219" s="33"/>
      <c r="F219" s="33"/>
      <c r="G219" s="33"/>
      <c r="H219" s="33"/>
      <c r="I219" s="33"/>
      <c r="J219" s="33"/>
      <c r="K219" s="33"/>
      <c r="L219" s="34"/>
      <c r="M219" s="34"/>
      <c r="N219" s="34"/>
      <c r="O219" s="34"/>
      <c r="P219" s="33"/>
      <c r="Q219" s="35"/>
      <c r="R219" s="33"/>
      <c r="S219" s="33"/>
      <c r="T219" s="33"/>
      <c r="U219" s="33"/>
      <c r="V219" s="33"/>
      <c r="W219" s="33"/>
    </row>
    <row r="220" customFormat="false" ht="15" hidden="false" customHeight="false" outlineLevel="0" collapsed="false">
      <c r="A220" s="33"/>
      <c r="B220" s="33"/>
      <c r="C220" s="33"/>
      <c r="D220" s="33"/>
      <c r="E220" s="33"/>
      <c r="F220" s="33"/>
      <c r="G220" s="33"/>
      <c r="H220" s="33"/>
      <c r="I220" s="33"/>
      <c r="J220" s="33"/>
      <c r="K220" s="33"/>
      <c r="L220" s="34"/>
      <c r="M220" s="34"/>
      <c r="N220" s="34"/>
      <c r="O220" s="34"/>
      <c r="P220" s="33"/>
      <c r="Q220" s="35"/>
      <c r="R220" s="33"/>
      <c r="S220" s="33"/>
      <c r="T220" s="33"/>
      <c r="U220" s="33"/>
      <c r="V220" s="33"/>
      <c r="W220" s="33"/>
    </row>
    <row r="221" customFormat="false" ht="15" hidden="false" customHeight="false" outlineLevel="0" collapsed="false">
      <c r="A221" s="33"/>
      <c r="B221" s="33"/>
      <c r="C221" s="33"/>
      <c r="D221" s="33"/>
      <c r="E221" s="33"/>
      <c r="F221" s="33"/>
      <c r="G221" s="33"/>
      <c r="H221" s="33"/>
      <c r="I221" s="33"/>
      <c r="J221" s="33"/>
      <c r="K221" s="33"/>
      <c r="L221" s="34"/>
      <c r="M221" s="34"/>
      <c r="N221" s="34"/>
      <c r="O221" s="34"/>
      <c r="P221" s="33"/>
      <c r="Q221" s="35"/>
      <c r="R221" s="33"/>
      <c r="S221" s="33"/>
      <c r="T221" s="33"/>
      <c r="U221" s="33"/>
      <c r="V221" s="33"/>
      <c r="W221" s="33"/>
    </row>
    <row r="222" customFormat="false" ht="15" hidden="false" customHeight="false" outlineLevel="0" collapsed="false">
      <c r="A222" s="33"/>
      <c r="B222" s="33"/>
      <c r="C222" s="33"/>
      <c r="D222" s="33"/>
      <c r="E222" s="33"/>
      <c r="F222" s="33"/>
      <c r="G222" s="33"/>
      <c r="H222" s="33"/>
      <c r="I222" s="33"/>
      <c r="J222" s="33"/>
      <c r="K222" s="33"/>
      <c r="L222" s="34"/>
      <c r="M222" s="34"/>
      <c r="N222" s="34"/>
      <c r="O222" s="34"/>
      <c r="P222" s="33"/>
      <c r="Q222" s="35"/>
      <c r="R222" s="33"/>
      <c r="S222" s="33"/>
      <c r="T222" s="33"/>
      <c r="U222" s="33"/>
      <c r="V222" s="33"/>
      <c r="W222" s="33"/>
    </row>
    <row r="223" customFormat="false" ht="15" hidden="false" customHeight="false" outlineLevel="0" collapsed="false">
      <c r="A223" s="33"/>
      <c r="B223" s="33"/>
      <c r="C223" s="33"/>
      <c r="D223" s="33"/>
      <c r="E223" s="33"/>
      <c r="F223" s="33"/>
      <c r="G223" s="33"/>
      <c r="H223" s="33"/>
      <c r="I223" s="33"/>
      <c r="J223" s="33"/>
      <c r="K223" s="33"/>
      <c r="L223" s="34"/>
      <c r="M223" s="34"/>
      <c r="N223" s="34"/>
      <c r="O223" s="34"/>
      <c r="P223" s="33"/>
      <c r="Q223" s="35"/>
      <c r="R223" s="33"/>
      <c r="S223" s="33"/>
      <c r="T223" s="33"/>
      <c r="U223" s="33"/>
      <c r="V223" s="33"/>
      <c r="W223" s="33"/>
    </row>
    <row r="224" customFormat="false" ht="15" hidden="false" customHeight="false" outlineLevel="0" collapsed="false">
      <c r="A224" s="33"/>
      <c r="B224" s="33"/>
      <c r="C224" s="33"/>
      <c r="D224" s="33"/>
      <c r="E224" s="33"/>
      <c r="F224" s="33"/>
      <c r="G224" s="33"/>
      <c r="H224" s="33"/>
      <c r="I224" s="33"/>
      <c r="J224" s="33"/>
      <c r="K224" s="33"/>
      <c r="L224" s="34"/>
      <c r="M224" s="34"/>
      <c r="N224" s="34"/>
      <c r="O224" s="34"/>
      <c r="P224" s="33"/>
      <c r="Q224" s="35"/>
      <c r="R224" s="33"/>
      <c r="S224" s="33"/>
      <c r="T224" s="33"/>
      <c r="U224" s="33"/>
      <c r="V224" s="33"/>
      <c r="W224" s="33"/>
    </row>
    <row r="225" customFormat="false" ht="15" hidden="false" customHeight="false" outlineLevel="0" collapsed="false">
      <c r="A225" s="33"/>
      <c r="B225" s="33"/>
      <c r="C225" s="33"/>
      <c r="D225" s="33"/>
      <c r="E225" s="33"/>
      <c r="F225" s="33"/>
      <c r="G225" s="33"/>
      <c r="H225" s="33"/>
      <c r="I225" s="33"/>
      <c r="J225" s="33"/>
      <c r="K225" s="33"/>
      <c r="L225" s="34"/>
      <c r="M225" s="34"/>
      <c r="N225" s="34"/>
      <c r="O225" s="34"/>
      <c r="P225" s="33"/>
      <c r="Q225" s="35"/>
      <c r="R225" s="33"/>
      <c r="S225" s="33"/>
      <c r="T225" s="33"/>
      <c r="U225" s="33"/>
      <c r="V225" s="33"/>
      <c r="W225" s="33"/>
    </row>
    <row r="226" customFormat="false" ht="15" hidden="false" customHeight="false" outlineLevel="0" collapsed="false">
      <c r="A226" s="33"/>
      <c r="B226" s="33"/>
      <c r="C226" s="33"/>
      <c r="D226" s="33"/>
      <c r="E226" s="33"/>
      <c r="F226" s="33"/>
      <c r="G226" s="33"/>
      <c r="H226" s="33"/>
      <c r="I226" s="33"/>
      <c r="J226" s="33"/>
      <c r="K226" s="33"/>
      <c r="L226" s="34"/>
      <c r="M226" s="34"/>
      <c r="N226" s="34"/>
      <c r="O226" s="34"/>
      <c r="P226" s="33"/>
      <c r="Q226" s="35"/>
      <c r="R226" s="33"/>
      <c r="S226" s="33"/>
      <c r="T226" s="33"/>
      <c r="U226" s="33"/>
      <c r="V226" s="33"/>
      <c r="W226" s="33"/>
    </row>
    <row r="227" customFormat="false" ht="15" hidden="false" customHeight="false" outlineLevel="0" collapsed="false">
      <c r="A227" s="33"/>
      <c r="B227" s="33"/>
      <c r="C227" s="33"/>
      <c r="D227" s="33"/>
      <c r="E227" s="33"/>
      <c r="F227" s="33"/>
      <c r="G227" s="33"/>
      <c r="H227" s="33"/>
      <c r="I227" s="33"/>
      <c r="J227" s="33"/>
      <c r="K227" s="33"/>
      <c r="L227" s="34"/>
      <c r="M227" s="34"/>
      <c r="N227" s="34"/>
      <c r="O227" s="34"/>
      <c r="P227" s="33"/>
      <c r="Q227" s="35"/>
      <c r="R227" s="33"/>
      <c r="S227" s="33"/>
      <c r="T227" s="33"/>
      <c r="U227" s="33"/>
      <c r="V227" s="33"/>
      <c r="W227" s="33"/>
    </row>
    <row r="228" customFormat="false" ht="15" hidden="false" customHeight="false" outlineLevel="0" collapsed="false">
      <c r="A228" s="33"/>
      <c r="B228" s="33"/>
      <c r="C228" s="33"/>
      <c r="D228" s="33"/>
      <c r="E228" s="33"/>
      <c r="F228" s="33"/>
      <c r="G228" s="33"/>
      <c r="H228" s="33"/>
      <c r="I228" s="33"/>
      <c r="J228" s="33"/>
      <c r="K228" s="33"/>
      <c r="L228" s="34"/>
      <c r="M228" s="34"/>
      <c r="N228" s="34"/>
      <c r="O228" s="34"/>
      <c r="P228" s="33"/>
      <c r="Q228" s="35"/>
      <c r="R228" s="33"/>
      <c r="S228" s="33"/>
      <c r="T228" s="33"/>
      <c r="U228" s="33"/>
      <c r="V228" s="33"/>
      <c r="W228" s="33"/>
    </row>
    <row r="229" customFormat="false" ht="15" hidden="false" customHeight="false" outlineLevel="0" collapsed="false">
      <c r="A229" s="33"/>
      <c r="B229" s="33"/>
      <c r="C229" s="33"/>
      <c r="D229" s="33"/>
      <c r="E229" s="33"/>
      <c r="F229" s="33"/>
      <c r="G229" s="33"/>
      <c r="H229" s="33"/>
      <c r="I229" s="33"/>
      <c r="J229" s="33"/>
      <c r="K229" s="33"/>
      <c r="L229" s="34"/>
      <c r="M229" s="34"/>
      <c r="N229" s="34"/>
      <c r="O229" s="34"/>
      <c r="P229" s="33"/>
      <c r="Q229" s="35"/>
      <c r="R229" s="33"/>
      <c r="S229" s="33"/>
      <c r="T229" s="33"/>
      <c r="U229" s="33"/>
      <c r="V229" s="33"/>
      <c r="W229" s="33"/>
    </row>
    <row r="230" customFormat="false" ht="15" hidden="false" customHeight="false" outlineLevel="0" collapsed="false">
      <c r="A230" s="33"/>
      <c r="B230" s="33"/>
      <c r="C230" s="33"/>
      <c r="D230" s="33"/>
      <c r="E230" s="33"/>
      <c r="F230" s="33"/>
      <c r="G230" s="33"/>
      <c r="H230" s="33"/>
      <c r="I230" s="33"/>
      <c r="J230" s="33"/>
      <c r="K230" s="33"/>
      <c r="L230" s="34"/>
      <c r="M230" s="34"/>
      <c r="N230" s="34"/>
      <c r="O230" s="34"/>
      <c r="P230" s="33"/>
      <c r="Q230" s="35"/>
      <c r="R230" s="33"/>
      <c r="S230" s="33"/>
      <c r="T230" s="33"/>
      <c r="U230" s="33"/>
      <c r="V230" s="33"/>
      <c r="W230" s="33"/>
    </row>
    <row r="231" customFormat="false" ht="15" hidden="false" customHeight="false" outlineLevel="0" collapsed="false">
      <c r="A231" s="33"/>
      <c r="B231" s="33"/>
      <c r="C231" s="33"/>
      <c r="D231" s="33"/>
      <c r="E231" s="33"/>
      <c r="F231" s="33"/>
      <c r="G231" s="33"/>
      <c r="H231" s="33"/>
      <c r="I231" s="33"/>
      <c r="J231" s="33"/>
      <c r="K231" s="33"/>
      <c r="L231" s="34"/>
      <c r="M231" s="34"/>
      <c r="N231" s="34"/>
      <c r="O231" s="34"/>
      <c r="P231" s="33"/>
      <c r="Q231" s="35"/>
      <c r="R231" s="33"/>
      <c r="S231" s="33"/>
      <c r="T231" s="33"/>
      <c r="U231" s="33"/>
      <c r="V231" s="33"/>
      <c r="W231" s="33"/>
    </row>
    <row r="232" customFormat="false" ht="15" hidden="false" customHeight="false" outlineLevel="0" collapsed="false">
      <c r="A232" s="33"/>
      <c r="B232" s="33"/>
      <c r="C232" s="33"/>
      <c r="D232" s="33"/>
      <c r="E232" s="33"/>
      <c r="F232" s="33"/>
      <c r="G232" s="33"/>
      <c r="H232" s="33"/>
      <c r="I232" s="33"/>
      <c r="J232" s="33"/>
      <c r="K232" s="33"/>
      <c r="L232" s="34"/>
      <c r="M232" s="34"/>
      <c r="N232" s="34"/>
      <c r="O232" s="34"/>
      <c r="P232" s="33"/>
      <c r="Q232" s="35"/>
      <c r="R232" s="33"/>
      <c r="S232" s="33"/>
      <c r="T232" s="33"/>
      <c r="U232" s="33"/>
      <c r="V232" s="33"/>
      <c r="W232" s="33"/>
    </row>
    <row r="233" customFormat="false" ht="15" hidden="false" customHeight="false" outlineLevel="0" collapsed="false">
      <c r="A233" s="33"/>
      <c r="B233" s="33"/>
      <c r="C233" s="33"/>
      <c r="D233" s="33"/>
      <c r="E233" s="33"/>
      <c r="F233" s="33"/>
      <c r="G233" s="33"/>
      <c r="H233" s="33"/>
      <c r="I233" s="33"/>
      <c r="J233" s="33"/>
      <c r="K233" s="33"/>
      <c r="L233" s="34"/>
      <c r="M233" s="34"/>
      <c r="N233" s="34"/>
      <c r="O233" s="34"/>
      <c r="P233" s="33"/>
      <c r="Q233" s="35"/>
      <c r="R233" s="33"/>
      <c r="S233" s="33"/>
      <c r="T233" s="33"/>
      <c r="U233" s="33"/>
      <c r="V233" s="33"/>
      <c r="W233" s="33"/>
    </row>
    <row r="234" customFormat="false" ht="15" hidden="false" customHeight="false" outlineLevel="0" collapsed="false">
      <c r="A234" s="33"/>
      <c r="B234" s="33"/>
      <c r="C234" s="33"/>
      <c r="D234" s="33"/>
      <c r="E234" s="33"/>
      <c r="F234" s="33"/>
      <c r="G234" s="33"/>
      <c r="H234" s="33"/>
      <c r="I234" s="33"/>
      <c r="J234" s="33"/>
      <c r="K234" s="33"/>
      <c r="L234" s="34"/>
      <c r="M234" s="34"/>
      <c r="N234" s="34"/>
      <c r="O234" s="34"/>
      <c r="P234" s="33"/>
      <c r="Q234" s="35"/>
      <c r="R234" s="33"/>
      <c r="S234" s="33"/>
      <c r="T234" s="33"/>
      <c r="U234" s="33"/>
      <c r="V234" s="33"/>
      <c r="W234" s="33"/>
    </row>
    <row r="235" customFormat="false" ht="15" hidden="false" customHeight="false" outlineLevel="0" collapsed="false">
      <c r="A235" s="33"/>
      <c r="B235" s="33"/>
      <c r="C235" s="33"/>
      <c r="D235" s="33"/>
      <c r="E235" s="33"/>
      <c r="F235" s="33"/>
      <c r="G235" s="33"/>
      <c r="H235" s="33"/>
      <c r="I235" s="33"/>
      <c r="J235" s="33"/>
      <c r="K235" s="33"/>
      <c r="L235" s="34"/>
      <c r="M235" s="34"/>
      <c r="N235" s="34"/>
      <c r="O235" s="34"/>
      <c r="P235" s="33"/>
      <c r="Q235" s="35"/>
      <c r="R235" s="33"/>
      <c r="S235" s="33"/>
      <c r="T235" s="33"/>
      <c r="U235" s="33"/>
      <c r="V235" s="33"/>
      <c r="W235" s="33"/>
    </row>
    <row r="236" customFormat="false" ht="15" hidden="false" customHeight="false" outlineLevel="0" collapsed="false">
      <c r="A236" s="33"/>
      <c r="B236" s="33"/>
      <c r="C236" s="33"/>
      <c r="D236" s="33"/>
      <c r="E236" s="33"/>
      <c r="F236" s="33"/>
      <c r="G236" s="33"/>
      <c r="H236" s="33"/>
      <c r="I236" s="33"/>
      <c r="J236" s="33"/>
      <c r="K236" s="33"/>
      <c r="L236" s="34"/>
      <c r="M236" s="34"/>
      <c r="N236" s="34"/>
      <c r="O236" s="34"/>
      <c r="P236" s="33"/>
      <c r="Q236" s="35"/>
      <c r="R236" s="33"/>
      <c r="S236" s="33"/>
      <c r="T236" s="33"/>
      <c r="U236" s="33"/>
      <c r="V236" s="33"/>
      <c r="W236" s="33"/>
    </row>
    <row r="237" customFormat="false" ht="15" hidden="false" customHeight="false" outlineLevel="0" collapsed="false">
      <c r="A237" s="33"/>
      <c r="B237" s="33"/>
      <c r="C237" s="33"/>
      <c r="D237" s="33"/>
      <c r="E237" s="33"/>
      <c r="F237" s="33"/>
      <c r="G237" s="33"/>
      <c r="H237" s="33"/>
      <c r="I237" s="33"/>
      <c r="J237" s="33"/>
      <c r="K237" s="33"/>
      <c r="L237" s="34"/>
      <c r="M237" s="34"/>
      <c r="N237" s="34"/>
      <c r="O237" s="34"/>
      <c r="P237" s="33"/>
      <c r="Q237" s="35"/>
      <c r="R237" s="33"/>
      <c r="S237" s="33"/>
      <c r="T237" s="33"/>
      <c r="U237" s="33"/>
      <c r="V237" s="33"/>
      <c r="W237" s="33"/>
    </row>
    <row r="238" customFormat="false" ht="15" hidden="false" customHeight="false" outlineLevel="0" collapsed="false">
      <c r="A238" s="33"/>
      <c r="B238" s="33"/>
      <c r="C238" s="33"/>
      <c r="D238" s="33"/>
      <c r="E238" s="33"/>
      <c r="F238" s="33"/>
      <c r="G238" s="33"/>
      <c r="H238" s="33"/>
      <c r="I238" s="33"/>
      <c r="J238" s="33"/>
      <c r="K238" s="33"/>
      <c r="L238" s="34"/>
      <c r="M238" s="34"/>
      <c r="N238" s="34"/>
      <c r="O238" s="34"/>
      <c r="P238" s="33"/>
      <c r="Q238" s="35"/>
      <c r="R238" s="33"/>
      <c r="S238" s="33"/>
      <c r="T238" s="33"/>
      <c r="U238" s="33"/>
      <c r="V238" s="33"/>
      <c r="W238" s="33"/>
    </row>
    <row r="239" customFormat="false" ht="15" hidden="false" customHeight="false" outlineLevel="0" collapsed="false">
      <c r="A239" s="33"/>
      <c r="B239" s="33"/>
      <c r="C239" s="33"/>
      <c r="D239" s="33"/>
      <c r="E239" s="33"/>
      <c r="F239" s="33"/>
      <c r="G239" s="33"/>
      <c r="H239" s="33"/>
      <c r="I239" s="33"/>
      <c r="J239" s="33"/>
      <c r="K239" s="33"/>
      <c r="L239" s="34"/>
      <c r="M239" s="34"/>
      <c r="N239" s="34"/>
      <c r="O239" s="34"/>
      <c r="P239" s="33"/>
      <c r="Q239" s="35"/>
      <c r="R239" s="33"/>
      <c r="S239" s="33"/>
      <c r="T239" s="33"/>
      <c r="U239" s="33"/>
      <c r="V239" s="33"/>
      <c r="W239" s="33"/>
    </row>
    <row r="240" customFormat="false" ht="15" hidden="false" customHeight="false" outlineLevel="0" collapsed="false">
      <c r="A240" s="33"/>
      <c r="B240" s="33"/>
      <c r="C240" s="33"/>
      <c r="D240" s="33"/>
      <c r="E240" s="33"/>
      <c r="F240" s="33"/>
      <c r="G240" s="33"/>
      <c r="H240" s="33"/>
      <c r="I240" s="33"/>
      <c r="J240" s="33"/>
      <c r="K240" s="33"/>
      <c r="L240" s="34"/>
      <c r="M240" s="34"/>
      <c r="N240" s="34"/>
      <c r="O240" s="34"/>
      <c r="P240" s="33"/>
      <c r="Q240" s="35"/>
      <c r="R240" s="33"/>
      <c r="S240" s="33"/>
      <c r="T240" s="33"/>
      <c r="U240" s="33"/>
      <c r="V240" s="33"/>
      <c r="W240" s="33"/>
    </row>
    <row r="241" customFormat="false" ht="15" hidden="false" customHeight="false" outlineLevel="0" collapsed="false">
      <c r="A241" s="33"/>
      <c r="B241" s="33"/>
      <c r="C241" s="33"/>
      <c r="D241" s="33"/>
      <c r="E241" s="33"/>
      <c r="F241" s="33"/>
      <c r="G241" s="33"/>
      <c r="H241" s="33"/>
      <c r="I241" s="33"/>
      <c r="J241" s="33"/>
      <c r="K241" s="33"/>
      <c r="L241" s="34"/>
      <c r="M241" s="34"/>
      <c r="N241" s="34"/>
      <c r="O241" s="34"/>
      <c r="P241" s="33"/>
      <c r="Q241" s="35"/>
      <c r="R241" s="33"/>
      <c r="S241" s="33"/>
      <c r="T241" s="33"/>
      <c r="U241" s="33"/>
      <c r="V241" s="33"/>
      <c r="W241" s="33"/>
    </row>
    <row r="242" customFormat="false" ht="15" hidden="false" customHeight="false" outlineLevel="0" collapsed="false">
      <c r="A242" s="33"/>
      <c r="B242" s="33"/>
      <c r="C242" s="33"/>
      <c r="D242" s="33"/>
      <c r="E242" s="33"/>
      <c r="F242" s="33"/>
      <c r="G242" s="33"/>
      <c r="H242" s="33"/>
      <c r="I242" s="33"/>
      <c r="J242" s="33"/>
      <c r="K242" s="33"/>
      <c r="L242" s="34"/>
      <c r="M242" s="34"/>
      <c r="N242" s="34"/>
      <c r="O242" s="34"/>
      <c r="P242" s="33"/>
      <c r="Q242" s="35"/>
      <c r="R242" s="33"/>
      <c r="S242" s="33"/>
      <c r="T242" s="33"/>
      <c r="U242" s="33"/>
      <c r="V242" s="33"/>
      <c r="W242" s="33"/>
    </row>
    <row r="243" customFormat="false" ht="15" hidden="false" customHeight="false" outlineLevel="0" collapsed="false">
      <c r="A243" s="33"/>
      <c r="B243" s="33"/>
      <c r="C243" s="33"/>
      <c r="D243" s="33"/>
      <c r="E243" s="33"/>
      <c r="F243" s="33"/>
      <c r="G243" s="33"/>
      <c r="H243" s="33"/>
      <c r="I243" s="33"/>
      <c r="J243" s="33"/>
      <c r="K243" s="33"/>
      <c r="L243" s="34"/>
      <c r="M243" s="34"/>
      <c r="N243" s="34"/>
      <c r="O243" s="34"/>
      <c r="P243" s="33"/>
      <c r="Q243" s="35"/>
      <c r="R243" s="33"/>
      <c r="S243" s="33"/>
      <c r="T243" s="33"/>
      <c r="U243" s="33"/>
      <c r="V243" s="33"/>
      <c r="W243" s="33"/>
    </row>
    <row r="244" customFormat="false" ht="15" hidden="false" customHeight="false" outlineLevel="0" collapsed="false">
      <c r="A244" s="33"/>
      <c r="B244" s="33"/>
      <c r="C244" s="33"/>
      <c r="D244" s="33"/>
      <c r="E244" s="33"/>
      <c r="F244" s="33"/>
      <c r="G244" s="33"/>
      <c r="H244" s="33"/>
      <c r="I244" s="33"/>
      <c r="J244" s="33"/>
      <c r="K244" s="33"/>
      <c r="L244" s="34"/>
      <c r="M244" s="34"/>
      <c r="N244" s="34"/>
      <c r="O244" s="34"/>
      <c r="P244" s="33"/>
      <c r="Q244" s="35"/>
      <c r="R244" s="33"/>
      <c r="S244" s="33"/>
      <c r="T244" s="33"/>
      <c r="U244" s="33"/>
      <c r="V244" s="33"/>
      <c r="W244" s="33"/>
    </row>
    <row r="245" customFormat="false" ht="15" hidden="false" customHeight="false" outlineLevel="0" collapsed="false">
      <c r="A245" s="33"/>
      <c r="B245" s="33"/>
      <c r="C245" s="33"/>
      <c r="D245" s="33"/>
      <c r="E245" s="33"/>
      <c r="F245" s="33"/>
      <c r="G245" s="33"/>
      <c r="H245" s="33"/>
      <c r="I245" s="33"/>
      <c r="J245" s="33"/>
      <c r="K245" s="33"/>
      <c r="L245" s="34"/>
      <c r="M245" s="34"/>
      <c r="N245" s="34"/>
      <c r="O245" s="34"/>
      <c r="P245" s="33"/>
      <c r="Q245" s="35"/>
      <c r="R245" s="33"/>
      <c r="S245" s="33"/>
      <c r="T245" s="33"/>
      <c r="U245" s="33"/>
      <c r="V245" s="33"/>
      <c r="W245" s="33"/>
    </row>
    <row r="246" customFormat="false" ht="15" hidden="false" customHeight="false" outlineLevel="0" collapsed="false">
      <c r="A246" s="33"/>
      <c r="B246" s="33"/>
      <c r="C246" s="33"/>
      <c r="D246" s="33"/>
      <c r="E246" s="33"/>
      <c r="F246" s="33"/>
      <c r="G246" s="33"/>
      <c r="H246" s="33"/>
      <c r="I246" s="33"/>
      <c r="J246" s="33"/>
      <c r="K246" s="33"/>
      <c r="L246" s="34"/>
      <c r="M246" s="34"/>
      <c r="N246" s="34"/>
      <c r="O246" s="34"/>
      <c r="P246" s="33"/>
      <c r="Q246" s="35"/>
      <c r="R246" s="33"/>
      <c r="S246" s="33"/>
      <c r="T246" s="33"/>
      <c r="U246" s="33"/>
      <c r="V246" s="33"/>
      <c r="W246" s="33"/>
    </row>
    <row r="247" customFormat="false" ht="15" hidden="false" customHeight="false" outlineLevel="0" collapsed="false">
      <c r="A247" s="33"/>
      <c r="B247" s="33"/>
      <c r="C247" s="33"/>
      <c r="D247" s="33"/>
      <c r="E247" s="33"/>
      <c r="F247" s="33"/>
      <c r="G247" s="33"/>
      <c r="H247" s="33"/>
      <c r="I247" s="33"/>
      <c r="J247" s="33"/>
      <c r="K247" s="33"/>
      <c r="L247" s="34"/>
      <c r="M247" s="34"/>
      <c r="N247" s="34"/>
      <c r="O247" s="34"/>
      <c r="P247" s="33"/>
      <c r="Q247" s="35"/>
      <c r="R247" s="33"/>
      <c r="S247" s="33"/>
      <c r="T247" s="33"/>
      <c r="U247" s="33"/>
      <c r="V247" s="33"/>
      <c r="W247" s="33"/>
    </row>
    <row r="248" customFormat="false" ht="15" hidden="false" customHeight="false" outlineLevel="0" collapsed="false">
      <c r="A248" s="33"/>
      <c r="B248" s="33"/>
      <c r="C248" s="33"/>
      <c r="D248" s="33"/>
      <c r="E248" s="33"/>
      <c r="F248" s="33"/>
      <c r="G248" s="33"/>
      <c r="H248" s="33"/>
      <c r="I248" s="33"/>
      <c r="J248" s="33"/>
      <c r="K248" s="33"/>
      <c r="L248" s="34"/>
      <c r="M248" s="34"/>
      <c r="N248" s="34"/>
      <c r="O248" s="34"/>
      <c r="P248" s="33"/>
      <c r="Q248" s="35"/>
      <c r="R248" s="33"/>
      <c r="S248" s="33"/>
      <c r="T248" s="33"/>
      <c r="U248" s="33"/>
      <c r="V248" s="33"/>
      <c r="W248" s="33"/>
    </row>
    <row r="249" customFormat="false" ht="15" hidden="false" customHeight="false" outlineLevel="0" collapsed="false">
      <c r="A249" s="33"/>
      <c r="B249" s="33"/>
      <c r="C249" s="33"/>
      <c r="D249" s="33"/>
      <c r="E249" s="33"/>
      <c r="F249" s="33"/>
      <c r="G249" s="33"/>
      <c r="H249" s="33"/>
      <c r="I249" s="33"/>
      <c r="J249" s="33"/>
      <c r="K249" s="33"/>
      <c r="L249" s="34"/>
      <c r="M249" s="34"/>
      <c r="N249" s="34"/>
      <c r="O249" s="34"/>
      <c r="P249" s="33"/>
      <c r="Q249" s="35"/>
      <c r="R249" s="33"/>
      <c r="S249" s="33"/>
      <c r="T249" s="33"/>
      <c r="U249" s="33"/>
      <c r="V249" s="33"/>
      <c r="W249" s="33"/>
    </row>
    <row r="250" customFormat="false" ht="15" hidden="false" customHeight="false" outlineLevel="0" collapsed="false">
      <c r="A250" s="33"/>
      <c r="B250" s="33"/>
      <c r="C250" s="33"/>
      <c r="D250" s="33"/>
      <c r="E250" s="33"/>
      <c r="F250" s="33"/>
      <c r="G250" s="33"/>
      <c r="H250" s="33"/>
      <c r="I250" s="33"/>
      <c r="J250" s="33"/>
      <c r="K250" s="33"/>
      <c r="L250" s="34"/>
      <c r="M250" s="34"/>
      <c r="N250" s="34"/>
      <c r="O250" s="34"/>
      <c r="P250" s="33"/>
      <c r="Q250" s="35"/>
      <c r="R250" s="33"/>
      <c r="S250" s="33"/>
      <c r="T250" s="33"/>
      <c r="U250" s="33"/>
      <c r="V250" s="33"/>
      <c r="W250" s="33"/>
    </row>
    <row r="251" customFormat="false" ht="15" hidden="false" customHeight="false" outlineLevel="0" collapsed="false">
      <c r="A251" s="33"/>
      <c r="B251" s="33"/>
      <c r="C251" s="33"/>
      <c r="D251" s="33"/>
      <c r="E251" s="33"/>
      <c r="F251" s="33"/>
      <c r="G251" s="33"/>
      <c r="H251" s="33"/>
      <c r="I251" s="33"/>
      <c r="J251" s="33"/>
      <c r="K251" s="33"/>
      <c r="L251" s="34"/>
      <c r="M251" s="34"/>
      <c r="N251" s="34"/>
      <c r="O251" s="34"/>
      <c r="P251" s="33"/>
      <c r="Q251" s="35"/>
      <c r="R251" s="33"/>
      <c r="S251" s="33"/>
      <c r="T251" s="33"/>
      <c r="U251" s="33"/>
      <c r="V251" s="33"/>
      <c r="W251" s="33"/>
    </row>
    <row r="252" customFormat="false" ht="15" hidden="false" customHeight="false" outlineLevel="0" collapsed="false">
      <c r="A252" s="33"/>
      <c r="B252" s="33"/>
      <c r="C252" s="33"/>
      <c r="D252" s="33"/>
      <c r="E252" s="33"/>
      <c r="F252" s="33"/>
      <c r="G252" s="33"/>
      <c r="H252" s="33"/>
      <c r="I252" s="33"/>
      <c r="J252" s="33"/>
      <c r="K252" s="33"/>
      <c r="L252" s="34"/>
      <c r="M252" s="34"/>
      <c r="N252" s="34"/>
      <c r="O252" s="34"/>
      <c r="P252" s="33"/>
      <c r="Q252" s="35"/>
      <c r="R252" s="33"/>
      <c r="S252" s="33"/>
      <c r="T252" s="33"/>
      <c r="U252" s="33"/>
      <c r="V252" s="33"/>
      <c r="W252" s="33"/>
    </row>
    <row r="253" customFormat="false" ht="15" hidden="false" customHeight="false" outlineLevel="0" collapsed="false">
      <c r="A253" s="33"/>
      <c r="B253" s="33"/>
      <c r="C253" s="33"/>
      <c r="D253" s="33"/>
      <c r="E253" s="33"/>
      <c r="F253" s="33"/>
      <c r="G253" s="33"/>
      <c r="H253" s="33"/>
      <c r="I253" s="33"/>
      <c r="J253" s="33"/>
      <c r="K253" s="33"/>
      <c r="L253" s="34"/>
      <c r="M253" s="34"/>
      <c r="N253" s="34"/>
      <c r="O253" s="34"/>
      <c r="P253" s="33"/>
      <c r="Q253" s="35"/>
      <c r="R253" s="33"/>
      <c r="S253" s="33"/>
      <c r="T253" s="33"/>
      <c r="U253" s="33"/>
      <c r="V253" s="33"/>
      <c r="W253" s="33"/>
    </row>
    <row r="254" customFormat="false" ht="15" hidden="false" customHeight="false" outlineLevel="0" collapsed="false">
      <c r="A254" s="33"/>
      <c r="B254" s="33"/>
      <c r="C254" s="33"/>
      <c r="D254" s="33"/>
      <c r="E254" s="33"/>
      <c r="F254" s="33"/>
      <c r="G254" s="33"/>
      <c r="H254" s="33"/>
      <c r="I254" s="33"/>
      <c r="J254" s="33"/>
      <c r="K254" s="33"/>
      <c r="L254" s="34"/>
      <c r="M254" s="34"/>
      <c r="N254" s="34"/>
      <c r="O254" s="34"/>
      <c r="P254" s="33"/>
      <c r="Q254" s="35"/>
      <c r="R254" s="33"/>
      <c r="S254" s="33"/>
      <c r="T254" s="33"/>
      <c r="U254" s="33"/>
      <c r="V254" s="33"/>
      <c r="W254" s="33"/>
    </row>
    <row r="255" customFormat="false" ht="15" hidden="false" customHeight="false" outlineLevel="0" collapsed="false">
      <c r="A255" s="33"/>
      <c r="B255" s="33"/>
      <c r="C255" s="33"/>
      <c r="D255" s="33"/>
      <c r="E255" s="33"/>
      <c r="F255" s="33"/>
      <c r="G255" s="33"/>
      <c r="H255" s="33"/>
      <c r="I255" s="33"/>
      <c r="J255" s="33"/>
      <c r="K255" s="33"/>
      <c r="L255" s="34"/>
      <c r="M255" s="34"/>
      <c r="N255" s="34"/>
      <c r="O255" s="34"/>
      <c r="P255" s="33"/>
      <c r="Q255" s="35"/>
      <c r="R255" s="33"/>
      <c r="S255" s="33"/>
      <c r="T255" s="33"/>
      <c r="U255" s="33"/>
      <c r="V255" s="33"/>
      <c r="W255" s="33"/>
    </row>
    <row r="256" customFormat="false" ht="15" hidden="false" customHeight="false" outlineLevel="0" collapsed="false">
      <c r="A256" s="33"/>
      <c r="B256" s="33"/>
      <c r="C256" s="33"/>
      <c r="D256" s="33"/>
      <c r="E256" s="33"/>
      <c r="F256" s="33"/>
      <c r="G256" s="33"/>
      <c r="H256" s="33"/>
      <c r="I256" s="33"/>
      <c r="J256" s="33"/>
      <c r="K256" s="33"/>
      <c r="L256" s="34"/>
      <c r="M256" s="34"/>
      <c r="N256" s="34"/>
      <c r="O256" s="34"/>
      <c r="P256" s="33"/>
      <c r="Q256" s="35"/>
      <c r="R256" s="33"/>
      <c r="S256" s="33"/>
      <c r="T256" s="33"/>
      <c r="U256" s="33"/>
      <c r="V256" s="33"/>
      <c r="W256" s="33"/>
    </row>
    <row r="257" customFormat="false" ht="15" hidden="false" customHeight="false" outlineLevel="0" collapsed="false">
      <c r="A257" s="33"/>
      <c r="B257" s="33"/>
      <c r="C257" s="33"/>
      <c r="D257" s="33"/>
      <c r="E257" s="33"/>
      <c r="F257" s="33"/>
      <c r="G257" s="33"/>
      <c r="H257" s="33"/>
      <c r="I257" s="33"/>
      <c r="J257" s="33"/>
      <c r="K257" s="33"/>
      <c r="L257" s="34"/>
      <c r="M257" s="34"/>
      <c r="N257" s="34"/>
      <c r="O257" s="34"/>
      <c r="P257" s="33"/>
      <c r="Q257" s="35"/>
      <c r="R257" s="33"/>
      <c r="S257" s="33"/>
      <c r="T257" s="33"/>
      <c r="U257" s="33"/>
      <c r="V257" s="33"/>
      <c r="W257" s="33"/>
    </row>
    <row r="258" customFormat="false" ht="15" hidden="false" customHeight="false" outlineLevel="0" collapsed="false">
      <c r="A258" s="33"/>
      <c r="B258" s="33"/>
      <c r="C258" s="33"/>
      <c r="D258" s="33"/>
      <c r="E258" s="33"/>
      <c r="F258" s="33"/>
      <c r="G258" s="33"/>
      <c r="H258" s="33"/>
      <c r="I258" s="33"/>
      <c r="J258" s="33"/>
      <c r="K258" s="33"/>
      <c r="L258" s="34"/>
      <c r="M258" s="34"/>
      <c r="N258" s="34"/>
      <c r="O258" s="34"/>
      <c r="P258" s="33"/>
      <c r="Q258" s="35"/>
      <c r="R258" s="33"/>
      <c r="S258" s="33"/>
      <c r="T258" s="33"/>
      <c r="U258" s="33"/>
      <c r="V258" s="33"/>
      <c r="W258" s="33"/>
    </row>
    <row r="259" customFormat="false" ht="15" hidden="false" customHeight="false" outlineLevel="0" collapsed="false">
      <c r="A259" s="33"/>
      <c r="B259" s="33"/>
      <c r="C259" s="33"/>
      <c r="D259" s="33"/>
      <c r="E259" s="33"/>
      <c r="F259" s="33"/>
      <c r="G259" s="33"/>
      <c r="H259" s="33"/>
      <c r="I259" s="33"/>
      <c r="J259" s="33"/>
      <c r="K259" s="33"/>
      <c r="L259" s="34"/>
      <c r="M259" s="34"/>
      <c r="N259" s="34"/>
      <c r="O259" s="34"/>
      <c r="P259" s="33"/>
      <c r="Q259" s="35"/>
      <c r="R259" s="33"/>
      <c r="S259" s="33"/>
      <c r="T259" s="33"/>
      <c r="U259" s="33"/>
      <c r="V259" s="33"/>
      <c r="W259" s="33"/>
    </row>
    <row r="260" customFormat="false" ht="15" hidden="false" customHeight="false" outlineLevel="0" collapsed="false">
      <c r="A260" s="33"/>
      <c r="B260" s="33"/>
      <c r="C260" s="33"/>
      <c r="D260" s="33"/>
      <c r="E260" s="33"/>
      <c r="F260" s="33"/>
      <c r="G260" s="33"/>
      <c r="H260" s="33"/>
      <c r="I260" s="33"/>
      <c r="J260" s="33"/>
      <c r="K260" s="33"/>
      <c r="L260" s="34"/>
      <c r="M260" s="34"/>
      <c r="N260" s="34"/>
      <c r="O260" s="34"/>
      <c r="P260" s="33"/>
      <c r="Q260" s="35"/>
      <c r="R260" s="33"/>
      <c r="S260" s="33"/>
      <c r="T260" s="33"/>
      <c r="U260" s="33"/>
      <c r="V260" s="33"/>
      <c r="W260" s="33"/>
    </row>
    <row r="261" customFormat="false" ht="15" hidden="false" customHeight="false" outlineLevel="0" collapsed="false">
      <c r="A261" s="33"/>
      <c r="B261" s="33"/>
      <c r="C261" s="33"/>
      <c r="D261" s="33"/>
      <c r="E261" s="33"/>
      <c r="F261" s="33"/>
      <c r="G261" s="33"/>
      <c r="H261" s="33"/>
      <c r="I261" s="33"/>
      <c r="J261" s="33"/>
      <c r="K261" s="33"/>
      <c r="L261" s="34"/>
      <c r="M261" s="34"/>
      <c r="N261" s="34"/>
      <c r="O261" s="34"/>
      <c r="P261" s="33"/>
      <c r="Q261" s="35"/>
      <c r="R261" s="33"/>
      <c r="S261" s="33"/>
      <c r="T261" s="33"/>
      <c r="U261" s="33"/>
      <c r="V261" s="33"/>
      <c r="W261" s="33"/>
    </row>
    <row r="262" customFormat="false" ht="15" hidden="false" customHeight="false" outlineLevel="0" collapsed="false">
      <c r="A262" s="33"/>
      <c r="B262" s="33"/>
      <c r="C262" s="33"/>
      <c r="D262" s="33"/>
      <c r="E262" s="33"/>
      <c r="F262" s="33"/>
      <c r="G262" s="33"/>
      <c r="H262" s="33"/>
      <c r="I262" s="33"/>
      <c r="J262" s="33"/>
      <c r="K262" s="33"/>
      <c r="L262" s="34"/>
      <c r="M262" s="34"/>
      <c r="N262" s="34"/>
      <c r="O262" s="34"/>
      <c r="P262" s="33"/>
      <c r="Q262" s="35"/>
      <c r="R262" s="33"/>
      <c r="S262" s="33"/>
      <c r="T262" s="33"/>
      <c r="U262" s="33"/>
      <c r="V262" s="33"/>
      <c r="W262" s="33"/>
    </row>
    <row r="263" customFormat="false" ht="15" hidden="false" customHeight="false" outlineLevel="0" collapsed="false">
      <c r="A263" s="33"/>
      <c r="B263" s="33"/>
      <c r="C263" s="33"/>
      <c r="D263" s="33"/>
      <c r="E263" s="33"/>
      <c r="F263" s="33"/>
      <c r="G263" s="33"/>
      <c r="H263" s="33"/>
      <c r="I263" s="33"/>
      <c r="J263" s="33"/>
      <c r="K263" s="33"/>
      <c r="L263" s="34"/>
      <c r="M263" s="34"/>
      <c r="N263" s="34"/>
      <c r="O263" s="34"/>
      <c r="P263" s="33"/>
      <c r="Q263" s="35"/>
      <c r="R263" s="33"/>
      <c r="S263" s="33"/>
      <c r="T263" s="33"/>
      <c r="U263" s="33"/>
      <c r="V263" s="33"/>
      <c r="W263" s="33"/>
    </row>
    <row r="264" customFormat="false" ht="15" hidden="false" customHeight="false" outlineLevel="0" collapsed="false">
      <c r="A264" s="33"/>
      <c r="B264" s="33"/>
      <c r="C264" s="33"/>
      <c r="D264" s="33"/>
      <c r="E264" s="33"/>
      <c r="F264" s="33"/>
      <c r="G264" s="33"/>
      <c r="H264" s="33"/>
      <c r="I264" s="33"/>
      <c r="J264" s="33"/>
      <c r="K264" s="33"/>
      <c r="L264" s="34"/>
      <c r="M264" s="34"/>
      <c r="N264" s="34"/>
      <c r="O264" s="34"/>
      <c r="P264" s="33"/>
      <c r="Q264" s="35"/>
      <c r="R264" s="33"/>
      <c r="S264" s="33"/>
      <c r="T264" s="33"/>
      <c r="U264" s="33"/>
      <c r="V264" s="33"/>
      <c r="W264" s="33"/>
    </row>
    <row r="265" customFormat="false" ht="15" hidden="false" customHeight="false" outlineLevel="0" collapsed="false">
      <c r="A265" s="33"/>
      <c r="B265" s="33"/>
      <c r="C265" s="33"/>
      <c r="D265" s="33"/>
      <c r="E265" s="33"/>
      <c r="F265" s="33"/>
      <c r="G265" s="33"/>
      <c r="H265" s="33"/>
      <c r="I265" s="33"/>
      <c r="J265" s="33"/>
      <c r="K265" s="33"/>
      <c r="L265" s="34"/>
      <c r="M265" s="34"/>
      <c r="N265" s="34"/>
      <c r="O265" s="34"/>
      <c r="P265" s="33"/>
      <c r="Q265" s="35"/>
      <c r="R265" s="33"/>
      <c r="S265" s="33"/>
      <c r="T265" s="33"/>
      <c r="U265" s="33"/>
      <c r="V265" s="33"/>
      <c r="W265" s="33"/>
    </row>
    <row r="266" customFormat="false" ht="15" hidden="false" customHeight="false" outlineLevel="0" collapsed="false">
      <c r="A266" s="33"/>
      <c r="B266" s="33"/>
      <c r="C266" s="33"/>
      <c r="D266" s="33"/>
      <c r="E266" s="33"/>
      <c r="F266" s="33"/>
      <c r="G266" s="33"/>
      <c r="H266" s="33"/>
      <c r="I266" s="33"/>
      <c r="J266" s="33"/>
      <c r="K266" s="33"/>
      <c r="L266" s="34"/>
      <c r="M266" s="34"/>
      <c r="N266" s="34"/>
      <c r="O266" s="34"/>
      <c r="P266" s="33"/>
      <c r="Q266" s="35"/>
      <c r="R266" s="33"/>
      <c r="S266" s="33"/>
      <c r="T266" s="33"/>
      <c r="U266" s="33"/>
      <c r="V266" s="33"/>
      <c r="W266" s="33"/>
    </row>
    <row r="267" customFormat="false" ht="15" hidden="false" customHeight="false" outlineLevel="0" collapsed="false">
      <c r="A267" s="33"/>
      <c r="B267" s="33"/>
      <c r="C267" s="33"/>
      <c r="D267" s="33"/>
      <c r="E267" s="33"/>
      <c r="F267" s="33"/>
      <c r="G267" s="33"/>
      <c r="H267" s="33"/>
      <c r="I267" s="33"/>
      <c r="J267" s="33"/>
      <c r="K267" s="33"/>
      <c r="L267" s="34"/>
      <c r="M267" s="34"/>
      <c r="N267" s="34"/>
      <c r="O267" s="34"/>
      <c r="P267" s="33"/>
      <c r="Q267" s="35"/>
      <c r="R267" s="33"/>
      <c r="S267" s="33"/>
      <c r="T267" s="33"/>
      <c r="U267" s="33"/>
      <c r="V267" s="33"/>
      <c r="W267" s="33"/>
    </row>
    <row r="268" customFormat="false" ht="15" hidden="false" customHeight="false" outlineLevel="0" collapsed="false">
      <c r="A268" s="33"/>
      <c r="B268" s="33"/>
      <c r="C268" s="33"/>
      <c r="D268" s="33"/>
      <c r="E268" s="33"/>
      <c r="F268" s="33"/>
      <c r="G268" s="33"/>
      <c r="H268" s="33"/>
      <c r="I268" s="33"/>
      <c r="J268" s="33"/>
      <c r="K268" s="33"/>
      <c r="L268" s="34"/>
      <c r="M268" s="34"/>
      <c r="N268" s="34"/>
      <c r="O268" s="34"/>
      <c r="P268" s="33"/>
      <c r="Q268" s="35"/>
      <c r="R268" s="33"/>
      <c r="S268" s="33"/>
      <c r="T268" s="33"/>
      <c r="U268" s="33"/>
      <c r="V268" s="33"/>
      <c r="W268" s="33"/>
    </row>
    <row r="269" customFormat="false" ht="15" hidden="false" customHeight="false" outlineLevel="0" collapsed="false">
      <c r="A269" s="33"/>
      <c r="B269" s="33"/>
      <c r="C269" s="33"/>
      <c r="D269" s="33"/>
      <c r="E269" s="33"/>
      <c r="F269" s="33"/>
      <c r="G269" s="33"/>
      <c r="H269" s="33"/>
      <c r="I269" s="33"/>
      <c r="J269" s="33"/>
      <c r="K269" s="33"/>
      <c r="L269" s="34"/>
      <c r="M269" s="34"/>
      <c r="N269" s="34"/>
      <c r="O269" s="34"/>
      <c r="P269" s="33"/>
      <c r="Q269" s="35"/>
      <c r="R269" s="33"/>
      <c r="S269" s="33"/>
      <c r="T269" s="33"/>
      <c r="U269" s="33"/>
      <c r="V269" s="33"/>
      <c r="W269" s="33"/>
    </row>
    <row r="270" customFormat="false" ht="15" hidden="false" customHeight="false" outlineLevel="0" collapsed="false">
      <c r="A270" s="33"/>
      <c r="B270" s="33"/>
      <c r="C270" s="33"/>
      <c r="D270" s="33"/>
      <c r="E270" s="33"/>
      <c r="F270" s="33"/>
      <c r="G270" s="33"/>
      <c r="H270" s="33"/>
      <c r="I270" s="33"/>
      <c r="J270" s="33"/>
      <c r="K270" s="33"/>
      <c r="L270" s="34"/>
      <c r="M270" s="34"/>
      <c r="N270" s="34"/>
      <c r="O270" s="34"/>
      <c r="P270" s="33"/>
      <c r="Q270" s="35"/>
      <c r="R270" s="33"/>
      <c r="S270" s="33"/>
      <c r="T270" s="33"/>
      <c r="U270" s="33"/>
      <c r="V270" s="33"/>
      <c r="W270" s="33"/>
    </row>
    <row r="271" customFormat="false" ht="15" hidden="false" customHeight="false" outlineLevel="0" collapsed="false">
      <c r="A271" s="33"/>
      <c r="B271" s="33"/>
      <c r="C271" s="33"/>
      <c r="D271" s="33"/>
      <c r="E271" s="33"/>
      <c r="F271" s="33"/>
      <c r="G271" s="33"/>
      <c r="H271" s="33"/>
      <c r="I271" s="33"/>
      <c r="J271" s="33"/>
      <c r="K271" s="33"/>
      <c r="L271" s="34"/>
      <c r="M271" s="34"/>
      <c r="N271" s="34"/>
      <c r="O271" s="34"/>
      <c r="P271" s="33"/>
      <c r="Q271" s="35"/>
      <c r="R271" s="33"/>
      <c r="S271" s="33"/>
      <c r="T271" s="33"/>
      <c r="U271" s="33"/>
      <c r="V271" s="33"/>
      <c r="W271" s="33"/>
    </row>
    <row r="272" customFormat="false" ht="15" hidden="false" customHeight="false" outlineLevel="0" collapsed="false">
      <c r="A272" s="33"/>
      <c r="B272" s="33"/>
      <c r="C272" s="33"/>
      <c r="D272" s="33"/>
      <c r="E272" s="33"/>
      <c r="F272" s="33"/>
      <c r="G272" s="33"/>
      <c r="H272" s="33"/>
      <c r="I272" s="33"/>
      <c r="J272" s="33"/>
      <c r="K272" s="33"/>
      <c r="L272" s="34"/>
      <c r="M272" s="34"/>
      <c r="N272" s="34"/>
      <c r="O272" s="34"/>
      <c r="P272" s="33"/>
      <c r="Q272" s="35"/>
      <c r="R272" s="33"/>
      <c r="S272" s="33"/>
      <c r="T272" s="33"/>
      <c r="U272" s="33"/>
      <c r="V272" s="33"/>
      <c r="W272" s="33"/>
    </row>
    <row r="273" customFormat="false" ht="15" hidden="false" customHeight="false" outlineLevel="0" collapsed="false">
      <c r="A273" s="33"/>
      <c r="B273" s="33"/>
      <c r="C273" s="33"/>
      <c r="D273" s="33"/>
      <c r="E273" s="33"/>
      <c r="F273" s="33"/>
      <c r="G273" s="33"/>
      <c r="H273" s="33"/>
      <c r="I273" s="33"/>
      <c r="J273" s="33"/>
      <c r="K273" s="33"/>
      <c r="L273" s="34"/>
      <c r="M273" s="34"/>
      <c r="N273" s="34"/>
      <c r="O273" s="34"/>
      <c r="P273" s="33"/>
      <c r="Q273" s="35"/>
      <c r="R273" s="33"/>
      <c r="S273" s="33"/>
      <c r="T273" s="33"/>
      <c r="U273" s="33"/>
      <c r="V273" s="33"/>
      <c r="W273" s="33"/>
    </row>
    <row r="274" customFormat="false" ht="15" hidden="false" customHeight="false" outlineLevel="0" collapsed="false">
      <c r="A274" s="33"/>
      <c r="B274" s="33"/>
      <c r="C274" s="33"/>
      <c r="D274" s="33"/>
      <c r="E274" s="33"/>
      <c r="F274" s="33"/>
      <c r="G274" s="33"/>
      <c r="H274" s="33"/>
      <c r="I274" s="33"/>
      <c r="J274" s="33"/>
      <c r="K274" s="33"/>
      <c r="L274" s="34"/>
      <c r="M274" s="34"/>
      <c r="N274" s="34"/>
      <c r="O274" s="34"/>
      <c r="P274" s="33"/>
      <c r="Q274" s="35"/>
      <c r="R274" s="33"/>
      <c r="S274" s="33"/>
      <c r="T274" s="33"/>
      <c r="U274" s="33"/>
      <c r="V274" s="33"/>
      <c r="W274" s="33"/>
    </row>
    <row r="275" customFormat="false" ht="15" hidden="false" customHeight="false" outlineLevel="0" collapsed="false">
      <c r="A275" s="33"/>
      <c r="B275" s="33"/>
      <c r="C275" s="33"/>
      <c r="D275" s="33"/>
      <c r="E275" s="33"/>
      <c r="F275" s="33"/>
      <c r="G275" s="33"/>
      <c r="H275" s="33"/>
      <c r="I275" s="33"/>
      <c r="J275" s="33"/>
      <c r="K275" s="33"/>
      <c r="L275" s="34"/>
      <c r="M275" s="34"/>
      <c r="N275" s="34"/>
      <c r="O275" s="34"/>
      <c r="P275" s="33"/>
      <c r="Q275" s="35"/>
      <c r="R275" s="33"/>
      <c r="S275" s="33"/>
      <c r="T275" s="33"/>
      <c r="U275" s="33"/>
      <c r="V275" s="33"/>
      <c r="W275" s="33"/>
    </row>
    <row r="276" customFormat="false" ht="15" hidden="false" customHeight="false" outlineLevel="0" collapsed="false">
      <c r="A276" s="33"/>
      <c r="B276" s="33"/>
      <c r="C276" s="33"/>
      <c r="D276" s="33"/>
      <c r="E276" s="33"/>
      <c r="F276" s="33"/>
      <c r="G276" s="33"/>
      <c r="H276" s="33"/>
      <c r="I276" s="33"/>
      <c r="J276" s="33"/>
      <c r="K276" s="33"/>
      <c r="L276" s="34"/>
      <c r="M276" s="34"/>
      <c r="N276" s="34"/>
      <c r="O276" s="34"/>
      <c r="P276" s="33"/>
      <c r="Q276" s="35"/>
      <c r="R276" s="33"/>
      <c r="S276" s="33"/>
      <c r="T276" s="33"/>
      <c r="U276" s="33"/>
      <c r="V276" s="33"/>
      <c r="W276" s="33"/>
    </row>
    <row r="277" customFormat="false" ht="15" hidden="false" customHeight="false" outlineLevel="0" collapsed="false">
      <c r="A277" s="33"/>
      <c r="B277" s="33"/>
      <c r="C277" s="33"/>
      <c r="D277" s="33"/>
      <c r="E277" s="33"/>
      <c r="F277" s="33"/>
      <c r="G277" s="33"/>
      <c r="H277" s="33"/>
      <c r="I277" s="33"/>
      <c r="J277" s="33"/>
      <c r="K277" s="33"/>
      <c r="L277" s="34"/>
      <c r="M277" s="34"/>
      <c r="N277" s="34"/>
      <c r="O277" s="34"/>
      <c r="P277" s="33"/>
      <c r="Q277" s="35"/>
      <c r="R277" s="33"/>
      <c r="S277" s="33"/>
      <c r="T277" s="33"/>
      <c r="U277" s="33"/>
      <c r="V277" s="33"/>
      <c r="W277" s="33"/>
    </row>
    <row r="278" customFormat="false" ht="15" hidden="false" customHeight="false" outlineLevel="0" collapsed="false">
      <c r="A278" s="33"/>
      <c r="B278" s="33"/>
      <c r="C278" s="33"/>
      <c r="D278" s="33"/>
      <c r="E278" s="33"/>
      <c r="F278" s="33"/>
      <c r="G278" s="33"/>
      <c r="H278" s="33"/>
      <c r="I278" s="33"/>
      <c r="J278" s="33"/>
      <c r="K278" s="33"/>
      <c r="L278" s="34"/>
      <c r="M278" s="34"/>
      <c r="N278" s="34"/>
      <c r="O278" s="34"/>
      <c r="P278" s="33"/>
      <c r="Q278" s="35"/>
      <c r="R278" s="33"/>
      <c r="S278" s="33"/>
      <c r="T278" s="33"/>
      <c r="U278" s="33"/>
      <c r="V278" s="33"/>
      <c r="W278" s="33"/>
    </row>
    <row r="279" customFormat="false" ht="15" hidden="false" customHeight="false" outlineLevel="0" collapsed="false">
      <c r="A279" s="33"/>
      <c r="B279" s="33"/>
      <c r="C279" s="33"/>
      <c r="D279" s="33"/>
      <c r="E279" s="33"/>
      <c r="F279" s="33"/>
      <c r="G279" s="33"/>
      <c r="H279" s="33"/>
      <c r="I279" s="33"/>
      <c r="J279" s="33"/>
      <c r="K279" s="33"/>
      <c r="L279" s="34"/>
      <c r="M279" s="34"/>
      <c r="N279" s="34"/>
      <c r="O279" s="34"/>
      <c r="P279" s="33"/>
      <c r="Q279" s="35"/>
      <c r="R279" s="33"/>
      <c r="S279" s="33"/>
      <c r="T279" s="33"/>
      <c r="U279" s="33"/>
      <c r="V279" s="33"/>
      <c r="W279" s="33"/>
    </row>
    <row r="280" customFormat="false" ht="15" hidden="false" customHeight="false" outlineLevel="0" collapsed="false">
      <c r="A280" s="33"/>
      <c r="B280" s="33"/>
      <c r="C280" s="33"/>
      <c r="D280" s="33"/>
      <c r="E280" s="33"/>
      <c r="F280" s="33"/>
      <c r="G280" s="33"/>
      <c r="H280" s="33"/>
      <c r="I280" s="33"/>
      <c r="J280" s="33"/>
      <c r="K280" s="33"/>
      <c r="L280" s="34"/>
      <c r="M280" s="34"/>
      <c r="N280" s="34"/>
      <c r="O280" s="34"/>
      <c r="P280" s="33"/>
      <c r="Q280" s="35"/>
      <c r="R280" s="33"/>
      <c r="S280" s="33"/>
      <c r="T280" s="33"/>
      <c r="U280" s="33"/>
      <c r="V280" s="33"/>
      <c r="W280" s="33"/>
    </row>
    <row r="281" customFormat="false" ht="15" hidden="false" customHeight="false" outlineLevel="0" collapsed="false">
      <c r="A281" s="33"/>
      <c r="B281" s="33"/>
      <c r="C281" s="33"/>
      <c r="D281" s="33"/>
      <c r="E281" s="33"/>
      <c r="F281" s="33"/>
      <c r="G281" s="33"/>
      <c r="H281" s="33"/>
      <c r="I281" s="33"/>
      <c r="J281" s="33"/>
      <c r="K281" s="33"/>
      <c r="L281" s="34"/>
      <c r="M281" s="34"/>
      <c r="N281" s="34"/>
      <c r="O281" s="34"/>
      <c r="P281" s="33"/>
      <c r="Q281" s="35"/>
      <c r="R281" s="33"/>
      <c r="S281" s="33"/>
      <c r="T281" s="33"/>
      <c r="U281" s="33"/>
      <c r="V281" s="33"/>
      <c r="W281" s="33"/>
    </row>
    <row r="282" customFormat="false" ht="15" hidden="false" customHeight="false" outlineLevel="0" collapsed="false">
      <c r="A282" s="33"/>
      <c r="B282" s="33"/>
      <c r="C282" s="33"/>
      <c r="D282" s="33"/>
      <c r="E282" s="33"/>
      <c r="F282" s="33"/>
      <c r="G282" s="33"/>
      <c r="H282" s="33"/>
      <c r="I282" s="33"/>
      <c r="J282" s="33"/>
      <c r="K282" s="33"/>
      <c r="L282" s="34"/>
      <c r="M282" s="34"/>
      <c r="N282" s="34"/>
      <c r="O282" s="34"/>
      <c r="P282" s="33"/>
      <c r="Q282" s="35"/>
      <c r="R282" s="33"/>
      <c r="S282" s="33"/>
      <c r="T282" s="33"/>
      <c r="U282" s="33"/>
      <c r="V282" s="33"/>
      <c r="W282" s="33"/>
    </row>
    <row r="283" customFormat="false" ht="15" hidden="false" customHeight="false" outlineLevel="0" collapsed="false">
      <c r="A283" s="33"/>
      <c r="B283" s="33"/>
      <c r="C283" s="33"/>
      <c r="D283" s="33"/>
      <c r="E283" s="33"/>
      <c r="F283" s="33"/>
      <c r="G283" s="33"/>
      <c r="H283" s="33"/>
      <c r="I283" s="33"/>
      <c r="J283" s="33"/>
      <c r="K283" s="33"/>
      <c r="L283" s="34"/>
      <c r="M283" s="34"/>
      <c r="N283" s="34"/>
      <c r="O283" s="34"/>
      <c r="P283" s="33"/>
      <c r="Q283" s="35"/>
      <c r="R283" s="33"/>
      <c r="S283" s="33"/>
      <c r="T283" s="33"/>
      <c r="U283" s="33"/>
      <c r="V283" s="33"/>
      <c r="W283" s="33"/>
    </row>
    <row r="284" customFormat="false" ht="15" hidden="false" customHeight="false" outlineLevel="0" collapsed="false">
      <c r="A284" s="33"/>
      <c r="B284" s="33"/>
      <c r="C284" s="33"/>
      <c r="D284" s="33"/>
      <c r="E284" s="33"/>
      <c r="F284" s="33"/>
      <c r="G284" s="33"/>
      <c r="H284" s="33"/>
      <c r="I284" s="33"/>
      <c r="J284" s="33"/>
      <c r="K284" s="33"/>
      <c r="L284" s="34"/>
      <c r="M284" s="34"/>
      <c r="N284" s="34"/>
      <c r="O284" s="34"/>
      <c r="P284" s="33"/>
      <c r="Q284" s="35"/>
      <c r="R284" s="33"/>
      <c r="S284" s="33"/>
      <c r="T284" s="33"/>
      <c r="U284" s="33"/>
      <c r="V284" s="33"/>
      <c r="W284" s="33"/>
    </row>
    <row r="285" customFormat="false" ht="15" hidden="false" customHeight="false" outlineLevel="0" collapsed="false">
      <c r="A285" s="33"/>
      <c r="B285" s="33"/>
      <c r="C285" s="33"/>
      <c r="D285" s="33"/>
      <c r="E285" s="33"/>
      <c r="F285" s="33"/>
      <c r="G285" s="33"/>
      <c r="H285" s="33"/>
      <c r="I285" s="33"/>
      <c r="J285" s="33"/>
      <c r="K285" s="33"/>
      <c r="L285" s="34"/>
      <c r="M285" s="34"/>
      <c r="N285" s="34"/>
      <c r="O285" s="34"/>
      <c r="P285" s="33"/>
      <c r="Q285" s="35"/>
      <c r="R285" s="33"/>
      <c r="S285" s="33"/>
      <c r="T285" s="33"/>
      <c r="U285" s="33"/>
      <c r="V285" s="33"/>
      <c r="W285" s="33"/>
    </row>
    <row r="286" customFormat="false" ht="15" hidden="false" customHeight="false" outlineLevel="0" collapsed="false">
      <c r="A286" s="33"/>
      <c r="B286" s="33"/>
      <c r="C286" s="33"/>
      <c r="D286" s="33"/>
      <c r="E286" s="33"/>
      <c r="F286" s="33"/>
      <c r="G286" s="33"/>
      <c r="H286" s="33"/>
      <c r="I286" s="33"/>
      <c r="J286" s="33"/>
      <c r="K286" s="33"/>
      <c r="L286" s="34"/>
      <c r="M286" s="34"/>
      <c r="N286" s="34"/>
      <c r="O286" s="34"/>
      <c r="P286" s="33"/>
      <c r="Q286" s="35"/>
      <c r="R286" s="33"/>
      <c r="S286" s="33"/>
      <c r="T286" s="33"/>
      <c r="U286" s="33"/>
      <c r="V286" s="33"/>
      <c r="W286" s="33"/>
    </row>
    <row r="287" customFormat="false" ht="15" hidden="false" customHeight="false" outlineLevel="0" collapsed="false">
      <c r="A287" s="33"/>
      <c r="B287" s="33"/>
      <c r="C287" s="33"/>
      <c r="D287" s="33"/>
      <c r="E287" s="33"/>
      <c r="F287" s="33"/>
      <c r="G287" s="33"/>
      <c r="H287" s="33"/>
      <c r="I287" s="33"/>
      <c r="J287" s="33"/>
      <c r="K287" s="33"/>
      <c r="L287" s="34"/>
      <c r="M287" s="34"/>
      <c r="N287" s="34"/>
      <c r="O287" s="34"/>
      <c r="P287" s="33"/>
      <c r="Q287" s="35"/>
      <c r="R287" s="33"/>
      <c r="S287" s="33"/>
      <c r="T287" s="33"/>
      <c r="U287" s="33"/>
      <c r="V287" s="33"/>
      <c r="W287" s="33"/>
    </row>
    <row r="288" customFormat="false" ht="15" hidden="false" customHeight="false" outlineLevel="0" collapsed="false">
      <c r="A288" s="33"/>
      <c r="B288" s="33"/>
      <c r="C288" s="33"/>
      <c r="D288" s="33"/>
      <c r="E288" s="33"/>
      <c r="F288" s="33"/>
      <c r="G288" s="33"/>
      <c r="H288" s="33"/>
      <c r="I288" s="33"/>
      <c r="J288" s="33"/>
      <c r="K288" s="33"/>
      <c r="L288" s="34"/>
      <c r="M288" s="34"/>
      <c r="N288" s="34"/>
      <c r="O288" s="34"/>
      <c r="P288" s="33"/>
      <c r="Q288" s="35"/>
      <c r="R288" s="33"/>
      <c r="S288" s="33"/>
      <c r="T288" s="33"/>
      <c r="U288" s="33"/>
      <c r="V288" s="33"/>
      <c r="W288" s="33"/>
    </row>
    <row r="289" customFormat="false" ht="15" hidden="false" customHeight="false" outlineLevel="0" collapsed="false">
      <c r="A289" s="33"/>
      <c r="B289" s="33"/>
      <c r="C289" s="33"/>
      <c r="D289" s="33"/>
      <c r="E289" s="33"/>
      <c r="F289" s="33"/>
      <c r="G289" s="33"/>
      <c r="H289" s="33"/>
      <c r="I289" s="33"/>
      <c r="J289" s="33"/>
      <c r="K289" s="33"/>
      <c r="L289" s="34"/>
      <c r="M289" s="34"/>
      <c r="N289" s="34"/>
      <c r="O289" s="34"/>
      <c r="P289" s="33"/>
      <c r="Q289" s="35"/>
      <c r="R289" s="33"/>
      <c r="S289" s="33"/>
      <c r="T289" s="33"/>
      <c r="U289" s="33"/>
      <c r="V289" s="33"/>
      <c r="W289" s="33"/>
    </row>
    <row r="290" customFormat="false" ht="15" hidden="false" customHeight="false" outlineLevel="0" collapsed="false">
      <c r="A290" s="33"/>
      <c r="B290" s="33"/>
      <c r="C290" s="33"/>
      <c r="D290" s="33"/>
      <c r="E290" s="33"/>
      <c r="F290" s="33"/>
      <c r="G290" s="33"/>
      <c r="H290" s="33"/>
      <c r="I290" s="33"/>
      <c r="J290" s="33"/>
      <c r="K290" s="33"/>
      <c r="L290" s="34"/>
      <c r="M290" s="34"/>
      <c r="N290" s="34"/>
      <c r="O290" s="34"/>
      <c r="P290" s="33"/>
      <c r="Q290" s="35"/>
      <c r="R290" s="33"/>
      <c r="S290" s="33"/>
      <c r="T290" s="33"/>
      <c r="U290" s="33"/>
      <c r="V290" s="33"/>
      <c r="W290" s="33"/>
    </row>
    <row r="291" customFormat="false" ht="15" hidden="false" customHeight="false" outlineLevel="0" collapsed="false">
      <c r="A291" s="33"/>
      <c r="B291" s="33"/>
      <c r="C291" s="33"/>
      <c r="D291" s="33"/>
      <c r="E291" s="33"/>
      <c r="F291" s="33"/>
      <c r="G291" s="33"/>
      <c r="H291" s="33"/>
      <c r="I291" s="33"/>
      <c r="J291" s="33"/>
      <c r="K291" s="33"/>
      <c r="L291" s="34"/>
      <c r="M291" s="34"/>
      <c r="N291" s="34"/>
      <c r="O291" s="34"/>
      <c r="P291" s="33"/>
      <c r="Q291" s="35"/>
      <c r="R291" s="33"/>
      <c r="S291" s="33"/>
      <c r="T291" s="33"/>
      <c r="U291" s="33"/>
      <c r="V291" s="33"/>
      <c r="W291" s="33"/>
    </row>
    <row r="292" customFormat="false" ht="15" hidden="false" customHeight="false" outlineLevel="0" collapsed="false">
      <c r="A292" s="33"/>
      <c r="B292" s="33"/>
      <c r="C292" s="33"/>
      <c r="D292" s="33"/>
      <c r="E292" s="33"/>
      <c r="F292" s="33"/>
      <c r="G292" s="33"/>
      <c r="H292" s="33"/>
      <c r="I292" s="33"/>
      <c r="J292" s="33"/>
      <c r="K292" s="33"/>
      <c r="L292" s="34"/>
      <c r="M292" s="34"/>
      <c r="N292" s="34"/>
      <c r="O292" s="34"/>
      <c r="P292" s="33"/>
      <c r="Q292" s="35"/>
      <c r="R292" s="33"/>
      <c r="S292" s="33"/>
      <c r="T292" s="33"/>
      <c r="U292" s="33"/>
      <c r="V292" s="33"/>
      <c r="W292" s="33"/>
    </row>
    <row r="293" customFormat="false" ht="15" hidden="false" customHeight="false" outlineLevel="0" collapsed="false">
      <c r="A293" s="33"/>
      <c r="B293" s="33"/>
      <c r="C293" s="33"/>
      <c r="D293" s="33"/>
      <c r="E293" s="33"/>
      <c r="F293" s="33"/>
      <c r="G293" s="33"/>
      <c r="H293" s="33"/>
      <c r="I293" s="33"/>
      <c r="J293" s="33"/>
      <c r="K293" s="33"/>
      <c r="L293" s="34"/>
      <c r="M293" s="34"/>
      <c r="N293" s="34"/>
      <c r="O293" s="34"/>
      <c r="P293" s="33"/>
      <c r="Q293" s="35"/>
      <c r="R293" s="33"/>
      <c r="S293" s="33"/>
      <c r="T293" s="33"/>
      <c r="U293" s="33"/>
      <c r="V293" s="33"/>
      <c r="W293" s="33"/>
    </row>
    <row r="294" customFormat="false" ht="15" hidden="false" customHeight="false" outlineLevel="0" collapsed="false">
      <c r="A294" s="33"/>
      <c r="B294" s="33"/>
      <c r="C294" s="33"/>
      <c r="D294" s="33"/>
      <c r="E294" s="33"/>
      <c r="F294" s="33"/>
      <c r="G294" s="33"/>
      <c r="H294" s="33"/>
      <c r="I294" s="33"/>
      <c r="J294" s="33"/>
      <c r="K294" s="33"/>
      <c r="L294" s="34"/>
      <c r="M294" s="34"/>
      <c r="N294" s="34"/>
      <c r="O294" s="34"/>
      <c r="P294" s="33"/>
      <c r="Q294" s="35"/>
      <c r="R294" s="33"/>
      <c r="S294" s="33"/>
      <c r="T294" s="33"/>
      <c r="U294" s="33"/>
      <c r="V294" s="33"/>
      <c r="W294" s="33"/>
    </row>
    <row r="295" customFormat="false" ht="15" hidden="false" customHeight="false" outlineLevel="0" collapsed="false">
      <c r="A295" s="33"/>
      <c r="B295" s="33"/>
      <c r="C295" s="33"/>
      <c r="D295" s="33"/>
      <c r="E295" s="33"/>
      <c r="F295" s="33"/>
      <c r="G295" s="33"/>
      <c r="H295" s="33"/>
      <c r="I295" s="33"/>
      <c r="J295" s="33"/>
      <c r="K295" s="33"/>
      <c r="L295" s="34"/>
      <c r="M295" s="34"/>
      <c r="N295" s="34"/>
      <c r="O295" s="34"/>
      <c r="P295" s="33"/>
      <c r="Q295" s="35"/>
      <c r="R295" s="33"/>
      <c r="S295" s="33"/>
      <c r="T295" s="33"/>
      <c r="U295" s="33"/>
      <c r="V295" s="33"/>
      <c r="W295" s="33"/>
    </row>
    <row r="296" customFormat="false" ht="15" hidden="false" customHeight="false" outlineLevel="0" collapsed="false">
      <c r="A296" s="33"/>
      <c r="B296" s="33"/>
      <c r="C296" s="33"/>
      <c r="D296" s="33"/>
      <c r="E296" s="33"/>
      <c r="F296" s="33"/>
      <c r="G296" s="33"/>
      <c r="H296" s="33"/>
      <c r="I296" s="33"/>
      <c r="J296" s="33"/>
      <c r="K296" s="33"/>
      <c r="L296" s="34"/>
      <c r="M296" s="34"/>
      <c r="N296" s="34"/>
      <c r="O296" s="34"/>
      <c r="P296" s="33"/>
      <c r="Q296" s="35"/>
      <c r="R296" s="33"/>
      <c r="S296" s="33"/>
      <c r="T296" s="33"/>
      <c r="U296" s="33"/>
      <c r="V296" s="33"/>
      <c r="W296" s="33"/>
    </row>
    <row r="297" customFormat="false" ht="15" hidden="false" customHeight="false" outlineLevel="0" collapsed="false">
      <c r="A297" s="33"/>
      <c r="B297" s="33"/>
      <c r="C297" s="33"/>
      <c r="D297" s="33"/>
      <c r="E297" s="33"/>
      <c r="F297" s="33"/>
      <c r="G297" s="33"/>
      <c r="H297" s="33"/>
      <c r="I297" s="33"/>
      <c r="J297" s="33"/>
      <c r="K297" s="33"/>
      <c r="L297" s="34"/>
      <c r="M297" s="34"/>
      <c r="N297" s="34"/>
      <c r="O297" s="34"/>
      <c r="P297" s="33"/>
      <c r="Q297" s="35"/>
      <c r="R297" s="33"/>
      <c r="S297" s="33"/>
      <c r="T297" s="33"/>
      <c r="U297" s="33"/>
      <c r="V297" s="33"/>
      <c r="W297" s="33"/>
    </row>
    <row r="298" customFormat="false" ht="15" hidden="false" customHeight="false" outlineLevel="0" collapsed="false">
      <c r="A298" s="33"/>
      <c r="B298" s="33"/>
      <c r="C298" s="33"/>
      <c r="D298" s="33"/>
      <c r="E298" s="33"/>
      <c r="F298" s="33"/>
      <c r="G298" s="33"/>
      <c r="H298" s="33"/>
      <c r="I298" s="33"/>
      <c r="J298" s="33"/>
      <c r="K298" s="33"/>
      <c r="L298" s="34"/>
      <c r="M298" s="34"/>
      <c r="N298" s="34"/>
      <c r="O298" s="34"/>
      <c r="P298" s="33"/>
      <c r="Q298" s="35"/>
      <c r="R298" s="33"/>
      <c r="S298" s="33"/>
      <c r="T298" s="33"/>
      <c r="U298" s="33"/>
      <c r="V298" s="33"/>
      <c r="W298" s="33"/>
    </row>
    <row r="299" customFormat="false" ht="15" hidden="false" customHeight="false" outlineLevel="0" collapsed="false">
      <c r="A299" s="33"/>
      <c r="B299" s="33"/>
      <c r="C299" s="33"/>
      <c r="D299" s="33"/>
      <c r="E299" s="33"/>
      <c r="F299" s="33"/>
      <c r="G299" s="33"/>
      <c r="H299" s="33"/>
      <c r="I299" s="33"/>
      <c r="J299" s="33"/>
      <c r="K299" s="33"/>
      <c r="L299" s="34"/>
      <c r="M299" s="34"/>
      <c r="N299" s="34"/>
      <c r="O299" s="34"/>
      <c r="P299" s="33"/>
      <c r="Q299" s="35"/>
      <c r="R299" s="33"/>
      <c r="S299" s="33"/>
      <c r="T299" s="33"/>
      <c r="U299" s="33"/>
      <c r="V299" s="33"/>
      <c r="W299" s="33"/>
    </row>
    <row r="300" customFormat="false" ht="15" hidden="false" customHeight="false" outlineLevel="0" collapsed="false">
      <c r="A300" s="33"/>
      <c r="B300" s="33"/>
      <c r="C300" s="33"/>
      <c r="D300" s="33"/>
      <c r="E300" s="33"/>
      <c r="F300" s="33"/>
      <c r="G300" s="33"/>
      <c r="H300" s="33"/>
      <c r="I300" s="33"/>
      <c r="J300" s="33"/>
      <c r="K300" s="33"/>
      <c r="L300" s="34"/>
      <c r="M300" s="34"/>
      <c r="N300" s="34"/>
      <c r="O300" s="34"/>
      <c r="P300" s="33"/>
      <c r="Q300" s="35"/>
      <c r="R300" s="33"/>
      <c r="S300" s="33"/>
      <c r="T300" s="33"/>
      <c r="U300" s="33"/>
      <c r="V300" s="33"/>
      <c r="W300" s="33"/>
    </row>
  </sheetData>
  <autoFilter ref="A4:W12"/>
  <mergeCells count="6">
    <mergeCell ref="A3:C3"/>
    <mergeCell ref="D3:H3"/>
    <mergeCell ref="I3:O3"/>
    <mergeCell ref="P3:R3"/>
    <mergeCell ref="S3:U3"/>
    <mergeCell ref="V3:W3"/>
  </mergeCells>
  <conditionalFormatting sqref="P5:P300">
    <cfRule type="expression" priority="2" aboveAverage="0" equalAverage="0" bottom="0" percent="0" rank="0" text="" dxfId="5">
      <formula>$P5="AVL"</formula>
    </cfRule>
    <cfRule type="expression" priority="3" aboveAverage="0" equalAverage="0" bottom="0" percent="0" rank="0" text="" dxfId="6">
      <formula>$P5="Qualified"</formula>
    </cfRule>
    <cfRule type="expression" priority="4" aboveAverage="0" equalAverage="0" bottom="0" percent="0" rank="0" text="" dxfId="7">
      <formula>$P5="Prequalified"</formula>
    </cfRule>
    <cfRule type="expression" priority="5" aboveAverage="0" equalAverage="0" bottom="0" percent="0" rank="0" text="" dxfId="8">
      <formula>$P5="On Hold"</formula>
    </cfRule>
    <cfRule type="expression" priority="6" aboveAverage="0" equalAverage="0" bottom="0" percent="0" rank="0" text="" dxfId="9">
      <formula>$P5="Disqualified"</formula>
    </cfRule>
  </conditionalFormatting>
  <conditionalFormatting sqref="W5:W300">
    <cfRule type="expression" priority="7" aboveAverage="0" equalAverage="0" bottom="0" percent="0" rank="0" text="" dxfId="9">
      <formula>$W5="High"</formula>
    </cfRule>
    <cfRule type="expression" priority="8" aboveAverage="0" equalAverage="0" bottom="0" percent="0" rank="0" text="" dxfId="10">
      <formula>$W5="FEOC Review"</formula>
    </cfRule>
    <cfRule type="expression" priority="9" aboveAverage="0" equalAverage="0" bottom="0" percent="0" rank="0" text="" dxfId="8">
      <formula>$W5="Medium"</formula>
    </cfRule>
    <cfRule type="expression" priority="10" aboveAverage="0" equalAverage="0" bottom="0" percent="0" rank="0" text="" dxfId="5">
      <formula>$W5="Low"</formula>
    </cfRule>
  </conditionalFormatting>
  <dataValidations count="5">
    <dataValidation allowBlank="true" error="Pick a value from the list (edit the Lists tab to change options)." errorStyle="stop" errorTitle="Invalid entry" operator="between" showDropDown="false" showErrorMessage="true" showInputMessage="false" sqref="P5:P300" type="list">
      <formula1>lst_status</formula1>
      <formula2>0</formula2>
    </dataValidation>
    <dataValidation allowBlank="true" error="Pick a value from the list (edit the Lists tab to change options)." errorStyle="stop" errorTitle="Invalid entry" operator="between" showDropDown="false" showErrorMessage="true" showInputMessage="false" sqref="R5:R300" type="list">
      <formula1>lst_rfx</formula1>
      <formula2>0</formula2>
    </dataValidation>
    <dataValidation allowBlank="true" error="Pick a value from the list (edit the Lists tab to change options)." errorStyle="stop" errorTitle="Invalid entry" operator="between" showDropDown="false" showErrorMessage="true" showInputMessage="false" sqref="T5:T300" type="list">
      <formula1>lst_fin</formula1>
      <formula2>0</formula2>
    </dataValidation>
    <dataValidation allowBlank="true" error="Pick a value from the list (edit the Lists tab to change options)." errorStyle="stop" errorTitle="Invalid entry" operator="between" showDropDown="false" showErrorMessage="true" showInputMessage="false" sqref="W5:W300" type="list">
      <formula1>lst_scr</formula1>
      <formula2>0</formula2>
    </dataValidation>
    <dataValidation allowBlank="true" error="Enter a date (yyyy-mm-dd)." errorStyle="stop" operator="greaterThan" showDropDown="false" showErrorMessage="true" showInputMessage="false" sqref="Q5:Q300" type="date">
      <formula1>DATE(2020,1,1)</formula1>
      <formula2>0</formula2>
    </dataValidation>
  </dataValidations>
  <hyperlinks>
    <hyperlink ref="I5" r:id="rId2" display="https://www.erm.com/"/>
    <hyperlink ref="K5" r:id="rId3" display="https://www.erm.com/contact-us/"/>
    <hyperlink ref="I6" r:id="rId4" display="https://www.tetratech.com/"/>
    <hyperlink ref="K6" r:id="rId5" display="https://www.tetratech.com/contact/"/>
    <hyperlink ref="I7" r:id="rId6" display="https://www.stantec.com/en"/>
    <hyperlink ref="I8" r:id="rId7" display="https://www.wsp.com/en-us"/>
    <hyperlink ref="K8" r:id="rId8" display="https://www.wsp.com/en-us/contact-us"/>
    <hyperlink ref="I9" r:id="rId9" display="https://www.terracon.com/"/>
    <hyperlink ref="K9" r:id="rId10" display="https://www.terracon.com/contact/"/>
    <hyperlink ref="I10" r:id="rId11" display="https://www.swca.com/"/>
    <hyperlink ref="K10" r:id="rId12" display="https://www.swca.com/contact/"/>
    <hyperlink ref="I11" r:id="rId13" display="https://westwoodps.com/"/>
    <hyperlink ref="K11" r:id="rId14" display="https://westwoodps.com/contact-us"/>
    <hyperlink ref="I12" r:id="rId15" display="https://www.hdrinc.com/"/>
    <hyperlink ref="K12" r:id="rId16" display="https://www.hdrinc.com/contact-u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7"/>
  <legacyDrawing r:id="rId18"/>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C8A"/>
    <pageSetUpPr fitToPage="false"/>
  </sheetPr>
  <dimension ref="A1:W30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40"/>
    <col collapsed="false" customWidth="true" hidden="false" outlineLevel="0" max="4" min="4" style="0" width="15"/>
    <col collapsed="false" customWidth="true" hidden="false" outlineLevel="0" max="5" min="5" style="0" width="11"/>
    <col collapsed="false" customWidth="true" hidden="false" outlineLevel="0" max="6" min="6" style="0" width="13"/>
    <col collapsed="false" customWidth="true" hidden="false" outlineLevel="0" max="7" min="7" style="0" width="18"/>
    <col collapsed="false" customWidth="true" hidden="false" outlineLevel="0" max="9" min="8" style="0" width="28"/>
    <col collapsed="false" customWidth="true" hidden="false" outlineLevel="0" max="10" min="10" style="0" width="18"/>
    <col collapsed="false" customWidth="true" hidden="false" outlineLevel="0" max="11" min="11" style="0" width="28"/>
    <col collapsed="false" customWidth="true" hidden="false" outlineLevel="0" max="12" min="12" style="0" width="20"/>
    <col collapsed="false" customWidth="true" hidden="false" outlineLevel="0" max="13" min="13" style="0" width="18"/>
    <col collapsed="false" customWidth="true" hidden="false" outlineLevel="0" max="14" min="14" style="0" width="24"/>
    <col collapsed="false" customWidth="true" hidden="false" outlineLevel="0" max="16" min="15" style="0" width="15"/>
    <col collapsed="false" customWidth="true" hidden="false" outlineLevel="0" max="17" min="17" style="0" width="12"/>
    <col collapsed="false" customWidth="true" hidden="false" outlineLevel="0" max="18" min="18" style="0" width="14"/>
    <col collapsed="false" customWidth="true" hidden="false" outlineLevel="0" max="19" min="19" style="0" width="24"/>
    <col collapsed="false" customWidth="true" hidden="false" outlineLevel="0" max="20" min="20" style="0" width="13"/>
    <col collapsed="false" customWidth="true" hidden="false" outlineLevel="0" max="22" min="21" style="0" width="45"/>
    <col collapsed="false" customWidth="true" hidden="false" outlineLevel="0" max="23" min="23" style="0" width="13"/>
  </cols>
  <sheetData>
    <row r="1" customFormat="false" ht="17.35" hidden="false" customHeight="false" outlineLevel="0" collapsed="false">
      <c r="A1" s="16" t="s">
        <v>204</v>
      </c>
    </row>
    <row r="2" customFormat="false" ht="15" hidden="false" customHeight="false" outlineLevel="0" collapsed="false">
      <c r="A2" s="2" t="s">
        <v>87</v>
      </c>
    </row>
    <row r="3" customFormat="false" ht="15" hidden="false" customHeight="false" outlineLevel="0" collapsed="false">
      <c r="A3" s="22" t="s">
        <v>58</v>
      </c>
      <c r="B3" s="22"/>
      <c r="C3" s="22"/>
      <c r="D3" s="23" t="s">
        <v>60</v>
      </c>
      <c r="E3" s="23"/>
      <c r="F3" s="23"/>
      <c r="G3" s="23"/>
      <c r="H3" s="23"/>
      <c r="I3" s="24" t="s">
        <v>61</v>
      </c>
      <c r="J3" s="24"/>
      <c r="K3" s="24"/>
      <c r="L3" s="24"/>
      <c r="M3" s="24"/>
      <c r="N3" s="24"/>
      <c r="O3" s="24"/>
      <c r="P3" s="25" t="s">
        <v>62</v>
      </c>
      <c r="Q3" s="25"/>
      <c r="R3" s="25"/>
      <c r="S3" s="26" t="s">
        <v>32</v>
      </c>
      <c r="T3" s="26"/>
      <c r="U3" s="26"/>
      <c r="V3" s="27" t="s">
        <v>34</v>
      </c>
      <c r="W3" s="27"/>
    </row>
    <row r="4" customFormat="false" ht="31.5" hidden="false" customHeight="true" outlineLevel="0" collapsed="false">
      <c r="A4" s="28" t="s">
        <v>88</v>
      </c>
      <c r="B4" s="28" t="s">
        <v>89</v>
      </c>
      <c r="C4" s="28" t="s">
        <v>205</v>
      </c>
      <c r="D4" s="28" t="s">
        <v>91</v>
      </c>
      <c r="E4" s="28" t="s">
        <v>92</v>
      </c>
      <c r="F4" s="28" t="s">
        <v>93</v>
      </c>
      <c r="G4" s="28" t="s">
        <v>94</v>
      </c>
      <c r="H4" s="28" t="s">
        <v>95</v>
      </c>
      <c r="I4" s="28" t="s">
        <v>96</v>
      </c>
      <c r="J4" s="28" t="s">
        <v>97</v>
      </c>
      <c r="K4" s="28" t="s">
        <v>98</v>
      </c>
      <c r="L4" s="28" t="s">
        <v>99</v>
      </c>
      <c r="M4" s="28" t="s">
        <v>100</v>
      </c>
      <c r="N4" s="28" t="s">
        <v>101</v>
      </c>
      <c r="O4" s="28" t="s">
        <v>102</v>
      </c>
      <c r="P4" s="28" t="s">
        <v>103</v>
      </c>
      <c r="Q4" s="28" t="s">
        <v>104</v>
      </c>
      <c r="R4" s="28" t="s">
        <v>105</v>
      </c>
      <c r="S4" s="28" t="s">
        <v>106</v>
      </c>
      <c r="T4" s="28" t="s">
        <v>41</v>
      </c>
      <c r="U4" s="28" t="s">
        <v>107</v>
      </c>
      <c r="V4" s="28" t="s">
        <v>108</v>
      </c>
      <c r="W4" s="28" t="s">
        <v>109</v>
      </c>
    </row>
    <row r="5" customFormat="false" ht="74.6" hidden="false" customHeight="false" outlineLevel="0" collapsed="false">
      <c r="A5" s="29" t="s">
        <v>206</v>
      </c>
      <c r="B5" s="29" t="s">
        <v>207</v>
      </c>
      <c r="C5" s="29" t="s">
        <v>208</v>
      </c>
      <c r="D5" s="29" t="s">
        <v>209</v>
      </c>
      <c r="E5" s="29" t="s">
        <v>210</v>
      </c>
      <c r="F5" s="29" t="s">
        <v>127</v>
      </c>
      <c r="G5" s="29"/>
      <c r="H5" s="29" t="s">
        <v>211</v>
      </c>
      <c r="I5" s="30" t="s">
        <v>212</v>
      </c>
      <c r="J5" s="29"/>
      <c r="K5" s="30" t="s">
        <v>213</v>
      </c>
      <c r="L5" s="31"/>
      <c r="M5" s="31"/>
      <c r="N5" s="31"/>
      <c r="O5" s="31"/>
      <c r="P5" s="29" t="s">
        <v>19</v>
      </c>
      <c r="Q5" s="32" t="n">
        <v>46300</v>
      </c>
      <c r="R5" s="29" t="s">
        <v>117</v>
      </c>
      <c r="S5" s="29" t="s">
        <v>214</v>
      </c>
      <c r="T5" s="29" t="s">
        <v>119</v>
      </c>
      <c r="U5" s="29" t="s">
        <v>215</v>
      </c>
      <c r="V5" s="29" t="s">
        <v>216</v>
      </c>
      <c r="W5" s="29" t="s">
        <v>119</v>
      </c>
    </row>
    <row r="6" customFormat="false" ht="32.8" hidden="false" customHeight="false" outlineLevel="0" collapsed="false">
      <c r="A6" s="29" t="s">
        <v>217</v>
      </c>
      <c r="B6" s="29" t="s">
        <v>181</v>
      </c>
      <c r="C6" s="29" t="s">
        <v>218</v>
      </c>
      <c r="D6" s="29" t="s">
        <v>183</v>
      </c>
      <c r="E6" s="29" t="s">
        <v>184</v>
      </c>
      <c r="F6" s="29" t="s">
        <v>127</v>
      </c>
      <c r="G6" s="29"/>
      <c r="H6" s="29" t="s">
        <v>185</v>
      </c>
      <c r="I6" s="30" t="s">
        <v>186</v>
      </c>
      <c r="J6" s="29" t="s">
        <v>187</v>
      </c>
      <c r="K6" s="30" t="s">
        <v>188</v>
      </c>
      <c r="L6" s="31"/>
      <c r="M6" s="31"/>
      <c r="N6" s="31"/>
      <c r="O6" s="31"/>
      <c r="P6" s="29" t="s">
        <v>19</v>
      </c>
      <c r="Q6" s="32" t="n">
        <v>46300</v>
      </c>
      <c r="R6" s="29" t="s">
        <v>117</v>
      </c>
      <c r="S6" s="29" t="s">
        <v>219</v>
      </c>
      <c r="T6" s="29" t="s">
        <v>119</v>
      </c>
      <c r="U6" s="29" t="s">
        <v>220</v>
      </c>
      <c r="V6" s="29" t="s">
        <v>203</v>
      </c>
      <c r="W6" s="29" t="s">
        <v>119</v>
      </c>
    </row>
    <row r="7" customFormat="false" ht="53.7" hidden="false" customHeight="false" outlineLevel="0" collapsed="false">
      <c r="A7" s="29" t="s">
        <v>221</v>
      </c>
      <c r="B7" s="29" t="s">
        <v>222</v>
      </c>
      <c r="C7" s="29" t="s">
        <v>223</v>
      </c>
      <c r="D7" s="29" t="s">
        <v>224</v>
      </c>
      <c r="E7" s="29" t="s">
        <v>184</v>
      </c>
      <c r="F7" s="29" t="s">
        <v>127</v>
      </c>
      <c r="G7" s="29"/>
      <c r="H7" s="29" t="s">
        <v>225</v>
      </c>
      <c r="I7" s="30" t="s">
        <v>226</v>
      </c>
      <c r="J7" s="29"/>
      <c r="K7" s="30" t="s">
        <v>227</v>
      </c>
      <c r="L7" s="31"/>
      <c r="M7" s="31"/>
      <c r="N7" s="31"/>
      <c r="O7" s="31"/>
      <c r="P7" s="29" t="s">
        <v>19</v>
      </c>
      <c r="Q7" s="32" t="n">
        <v>46300</v>
      </c>
      <c r="R7" s="29" t="s">
        <v>117</v>
      </c>
      <c r="S7" s="29" t="s">
        <v>201</v>
      </c>
      <c r="T7" s="29" t="s">
        <v>119</v>
      </c>
      <c r="U7" s="29" t="s">
        <v>228</v>
      </c>
      <c r="V7" s="29" t="s">
        <v>229</v>
      </c>
      <c r="W7" s="29" t="s">
        <v>119</v>
      </c>
    </row>
    <row r="8" customFormat="false" ht="53.7" hidden="false" customHeight="false" outlineLevel="0" collapsed="false">
      <c r="A8" s="29" t="s">
        <v>230</v>
      </c>
      <c r="B8" s="29" t="s">
        <v>231</v>
      </c>
      <c r="C8" s="29" t="s">
        <v>232</v>
      </c>
      <c r="D8" s="29" t="s">
        <v>233</v>
      </c>
      <c r="E8" s="29" t="s">
        <v>184</v>
      </c>
      <c r="F8" s="29" t="s">
        <v>127</v>
      </c>
      <c r="G8" s="29"/>
      <c r="H8" s="29" t="s">
        <v>234</v>
      </c>
      <c r="I8" s="30" t="s">
        <v>235</v>
      </c>
      <c r="J8" s="29" t="s">
        <v>236</v>
      </c>
      <c r="K8" s="30" t="s">
        <v>237</v>
      </c>
      <c r="L8" s="31"/>
      <c r="M8" s="31"/>
      <c r="N8" s="31"/>
      <c r="O8" s="31"/>
      <c r="P8" s="29" t="s">
        <v>19</v>
      </c>
      <c r="Q8" s="32" t="n">
        <v>46300</v>
      </c>
      <c r="R8" s="29" t="s">
        <v>117</v>
      </c>
      <c r="S8" s="29" t="s">
        <v>238</v>
      </c>
      <c r="T8" s="29" t="s">
        <v>119</v>
      </c>
      <c r="U8" s="29" t="s">
        <v>239</v>
      </c>
      <c r="V8" s="29" t="s">
        <v>229</v>
      </c>
      <c r="W8" s="29" t="s">
        <v>119</v>
      </c>
    </row>
    <row r="9" customFormat="false" ht="43.25" hidden="false" customHeight="false" outlineLevel="0" collapsed="false">
      <c r="A9" s="29" t="s">
        <v>240</v>
      </c>
      <c r="B9" s="29" t="s">
        <v>241</v>
      </c>
      <c r="C9" s="29" t="s">
        <v>242</v>
      </c>
      <c r="D9" s="29" t="s">
        <v>243</v>
      </c>
      <c r="E9" s="29" t="s">
        <v>244</v>
      </c>
      <c r="F9" s="29" t="s">
        <v>127</v>
      </c>
      <c r="G9" s="29"/>
      <c r="H9" s="29" t="s">
        <v>245</v>
      </c>
      <c r="I9" s="30" t="s">
        <v>246</v>
      </c>
      <c r="J9" s="29" t="s">
        <v>247</v>
      </c>
      <c r="K9" s="30" t="s">
        <v>248</v>
      </c>
      <c r="L9" s="31"/>
      <c r="M9" s="31"/>
      <c r="N9" s="31"/>
      <c r="O9" s="31"/>
      <c r="P9" s="29" t="s">
        <v>19</v>
      </c>
      <c r="Q9" s="32" t="n">
        <v>46300</v>
      </c>
      <c r="R9" s="29" t="s">
        <v>117</v>
      </c>
      <c r="S9" s="29" t="s">
        <v>249</v>
      </c>
      <c r="T9" s="29" t="s">
        <v>119</v>
      </c>
      <c r="U9" s="29" t="s">
        <v>250</v>
      </c>
      <c r="V9" s="29" t="s">
        <v>251</v>
      </c>
      <c r="W9" s="29" t="s">
        <v>119</v>
      </c>
    </row>
    <row r="10" customFormat="false" ht="22.35" hidden="false" customHeight="false" outlineLevel="0" collapsed="false">
      <c r="A10" s="29" t="s">
        <v>252</v>
      </c>
      <c r="B10" s="29" t="s">
        <v>157</v>
      </c>
      <c r="C10" s="29" t="s">
        <v>253</v>
      </c>
      <c r="D10" s="29" t="s">
        <v>159</v>
      </c>
      <c r="E10" s="29" t="s">
        <v>160</v>
      </c>
      <c r="F10" s="29" t="s">
        <v>127</v>
      </c>
      <c r="G10" s="29"/>
      <c r="H10" s="29" t="s">
        <v>161</v>
      </c>
      <c r="I10" s="30" t="s">
        <v>162</v>
      </c>
      <c r="J10" s="29" t="s">
        <v>163</v>
      </c>
      <c r="K10" s="30" t="s">
        <v>164</v>
      </c>
      <c r="L10" s="31"/>
      <c r="M10" s="31"/>
      <c r="N10" s="31"/>
      <c r="O10" s="31"/>
      <c r="P10" s="29" t="s">
        <v>19</v>
      </c>
      <c r="Q10" s="32" t="n">
        <v>46300</v>
      </c>
      <c r="R10" s="29" t="s">
        <v>117</v>
      </c>
      <c r="S10" s="29" t="s">
        <v>165</v>
      </c>
      <c r="T10" s="29" t="s">
        <v>119</v>
      </c>
      <c r="U10" s="29" t="s">
        <v>254</v>
      </c>
      <c r="V10" s="29" t="s">
        <v>203</v>
      </c>
      <c r="W10" s="29" t="s">
        <v>119</v>
      </c>
    </row>
    <row r="11" customFormat="false" ht="22.35" hidden="false" customHeight="false" outlineLevel="0" collapsed="false">
      <c r="A11" s="29" t="s">
        <v>255</v>
      </c>
      <c r="B11" s="29" t="s">
        <v>256</v>
      </c>
      <c r="C11" s="29" t="s">
        <v>257</v>
      </c>
      <c r="D11" s="29" t="s">
        <v>258</v>
      </c>
      <c r="E11" s="29" t="s">
        <v>259</v>
      </c>
      <c r="F11" s="29" t="s">
        <v>127</v>
      </c>
      <c r="G11" s="29"/>
      <c r="H11" s="29" t="s">
        <v>260</v>
      </c>
      <c r="I11" s="30" t="s">
        <v>261</v>
      </c>
      <c r="J11" s="29"/>
      <c r="K11" s="30" t="s">
        <v>262</v>
      </c>
      <c r="L11" s="31"/>
      <c r="M11" s="31"/>
      <c r="N11" s="31"/>
      <c r="O11" s="31"/>
      <c r="P11" s="29" t="s">
        <v>19</v>
      </c>
      <c r="Q11" s="32" t="n">
        <v>46300</v>
      </c>
      <c r="R11" s="29" t="s">
        <v>117</v>
      </c>
      <c r="S11" s="29" t="s">
        <v>263</v>
      </c>
      <c r="T11" s="29" t="s">
        <v>119</v>
      </c>
      <c r="U11" s="29" t="s">
        <v>264</v>
      </c>
      <c r="V11" s="29" t="s">
        <v>265</v>
      </c>
      <c r="W11" s="29" t="s">
        <v>119</v>
      </c>
    </row>
    <row r="12" customFormat="false" ht="15" hidden="false" customHeight="false" outlineLevel="0" collapsed="false">
      <c r="A12" s="29"/>
      <c r="B12" s="29"/>
      <c r="C12" s="29"/>
      <c r="D12" s="29"/>
      <c r="E12" s="29"/>
      <c r="F12" s="29"/>
      <c r="G12" s="29"/>
      <c r="H12" s="29"/>
      <c r="I12" s="29"/>
      <c r="J12" s="29"/>
      <c r="K12" s="29"/>
      <c r="L12" s="31"/>
      <c r="M12" s="31"/>
      <c r="N12" s="31"/>
      <c r="O12" s="31"/>
      <c r="P12" s="29"/>
      <c r="Q12" s="32"/>
      <c r="R12" s="29"/>
      <c r="S12" s="29"/>
      <c r="T12" s="29"/>
      <c r="U12" s="29"/>
      <c r="V12" s="29"/>
      <c r="W12" s="29"/>
    </row>
    <row r="13" customFormat="false" ht="15" hidden="false" customHeight="false" outlineLevel="0" collapsed="false">
      <c r="A13" s="29"/>
      <c r="B13" s="29"/>
      <c r="C13" s="29"/>
      <c r="D13" s="29"/>
      <c r="E13" s="29"/>
      <c r="F13" s="29"/>
      <c r="G13" s="29"/>
      <c r="H13" s="29"/>
      <c r="I13" s="29"/>
      <c r="J13" s="29"/>
      <c r="K13" s="29"/>
      <c r="L13" s="31"/>
      <c r="M13" s="31"/>
      <c r="N13" s="31"/>
      <c r="O13" s="31"/>
      <c r="P13" s="29"/>
      <c r="Q13" s="32"/>
      <c r="R13" s="29"/>
      <c r="S13" s="29"/>
      <c r="T13" s="29"/>
      <c r="U13" s="29"/>
      <c r="V13" s="29"/>
      <c r="W13" s="29"/>
    </row>
    <row r="14" customFormat="false" ht="15" hidden="false" customHeight="false" outlineLevel="0" collapsed="false">
      <c r="A14" s="29"/>
      <c r="B14" s="29"/>
      <c r="C14" s="29"/>
      <c r="D14" s="29"/>
      <c r="E14" s="29"/>
      <c r="F14" s="29"/>
      <c r="G14" s="29"/>
      <c r="H14" s="29"/>
      <c r="I14" s="29"/>
      <c r="J14" s="29"/>
      <c r="K14" s="29"/>
      <c r="L14" s="31"/>
      <c r="M14" s="31"/>
      <c r="N14" s="31"/>
      <c r="O14" s="31"/>
      <c r="P14" s="29"/>
      <c r="Q14" s="32"/>
      <c r="R14" s="29"/>
      <c r="S14" s="29"/>
      <c r="T14" s="29"/>
      <c r="U14" s="29"/>
      <c r="V14" s="29"/>
      <c r="W14" s="29"/>
    </row>
    <row r="15" customFormat="false" ht="15" hidden="false" customHeight="false" outlineLevel="0" collapsed="false">
      <c r="A15" s="29"/>
      <c r="B15" s="29"/>
      <c r="C15" s="29"/>
      <c r="D15" s="29"/>
      <c r="E15" s="29"/>
      <c r="F15" s="29"/>
      <c r="G15" s="29"/>
      <c r="H15" s="29"/>
      <c r="I15" s="29"/>
      <c r="J15" s="29"/>
      <c r="K15" s="29"/>
      <c r="L15" s="31"/>
      <c r="M15" s="31"/>
      <c r="N15" s="31"/>
      <c r="O15" s="31"/>
      <c r="P15" s="29"/>
      <c r="Q15" s="32"/>
      <c r="R15" s="29"/>
      <c r="S15" s="29"/>
      <c r="T15" s="29"/>
      <c r="U15" s="29"/>
      <c r="V15" s="29"/>
      <c r="W15" s="29"/>
    </row>
    <row r="16" customFormat="false" ht="15" hidden="false" customHeight="false" outlineLevel="0" collapsed="false">
      <c r="A16" s="29"/>
      <c r="B16" s="29"/>
      <c r="C16" s="29"/>
      <c r="D16" s="29"/>
      <c r="E16" s="29"/>
      <c r="F16" s="29"/>
      <c r="G16" s="29"/>
      <c r="H16" s="29"/>
      <c r="I16" s="29"/>
      <c r="J16" s="29"/>
      <c r="K16" s="29"/>
      <c r="L16" s="31"/>
      <c r="M16" s="31"/>
      <c r="N16" s="31"/>
      <c r="O16" s="31"/>
      <c r="P16" s="29"/>
      <c r="Q16" s="32"/>
      <c r="R16" s="29"/>
      <c r="S16" s="29"/>
      <c r="T16" s="29"/>
      <c r="U16" s="29"/>
      <c r="V16" s="29"/>
      <c r="W16" s="29"/>
    </row>
    <row r="17" customFormat="false" ht="15" hidden="false" customHeight="false" outlineLevel="0" collapsed="false">
      <c r="A17" s="29"/>
      <c r="B17" s="29"/>
      <c r="C17" s="29"/>
      <c r="D17" s="29"/>
      <c r="E17" s="29"/>
      <c r="F17" s="29"/>
      <c r="G17" s="29"/>
      <c r="H17" s="29"/>
      <c r="I17" s="29"/>
      <c r="J17" s="29"/>
      <c r="K17" s="29"/>
      <c r="L17" s="31"/>
      <c r="M17" s="31"/>
      <c r="N17" s="31"/>
      <c r="O17" s="31"/>
      <c r="P17" s="29"/>
      <c r="Q17" s="32"/>
      <c r="R17" s="29"/>
      <c r="S17" s="29"/>
      <c r="T17" s="29"/>
      <c r="U17" s="29"/>
      <c r="V17" s="29"/>
      <c r="W17" s="29"/>
    </row>
    <row r="18" customFormat="false" ht="15" hidden="false" customHeight="false" outlineLevel="0" collapsed="false">
      <c r="A18" s="29"/>
      <c r="B18" s="29"/>
      <c r="C18" s="29"/>
      <c r="D18" s="29"/>
      <c r="E18" s="29"/>
      <c r="F18" s="29"/>
      <c r="G18" s="29"/>
      <c r="H18" s="29"/>
      <c r="I18" s="29"/>
      <c r="J18" s="29"/>
      <c r="K18" s="29"/>
      <c r="L18" s="31"/>
      <c r="M18" s="31"/>
      <c r="N18" s="31"/>
      <c r="O18" s="31"/>
      <c r="P18" s="29"/>
      <c r="Q18" s="32"/>
      <c r="R18" s="29"/>
      <c r="S18" s="29"/>
      <c r="T18" s="29"/>
      <c r="U18" s="29"/>
      <c r="V18" s="29"/>
      <c r="W18" s="29"/>
    </row>
    <row r="19" customFormat="false" ht="15" hidden="false" customHeight="false" outlineLevel="0" collapsed="false">
      <c r="A19" s="29"/>
      <c r="B19" s="29"/>
      <c r="C19" s="29"/>
      <c r="D19" s="29"/>
      <c r="E19" s="29"/>
      <c r="F19" s="29"/>
      <c r="G19" s="29"/>
      <c r="H19" s="29"/>
      <c r="I19" s="29"/>
      <c r="J19" s="29"/>
      <c r="K19" s="29"/>
      <c r="L19" s="31"/>
      <c r="M19" s="31"/>
      <c r="N19" s="31"/>
      <c r="O19" s="31"/>
      <c r="P19" s="29"/>
      <c r="Q19" s="32"/>
      <c r="R19" s="29"/>
      <c r="S19" s="29"/>
      <c r="T19" s="29"/>
      <c r="U19" s="29"/>
      <c r="V19" s="29"/>
      <c r="W19" s="29"/>
    </row>
    <row r="20" customFormat="false" ht="15" hidden="false" customHeight="false" outlineLevel="0" collapsed="false">
      <c r="A20" s="29"/>
      <c r="B20" s="29"/>
      <c r="C20" s="29"/>
      <c r="D20" s="29"/>
      <c r="E20" s="29"/>
      <c r="F20" s="29"/>
      <c r="G20" s="29"/>
      <c r="H20" s="29"/>
      <c r="I20" s="29"/>
      <c r="J20" s="29"/>
      <c r="K20" s="29"/>
      <c r="L20" s="31"/>
      <c r="M20" s="31"/>
      <c r="N20" s="31"/>
      <c r="O20" s="31"/>
      <c r="P20" s="29"/>
      <c r="Q20" s="32"/>
      <c r="R20" s="29"/>
      <c r="S20" s="29"/>
      <c r="T20" s="29"/>
      <c r="U20" s="29"/>
      <c r="V20" s="29"/>
      <c r="W20" s="29"/>
    </row>
    <row r="21" customFormat="false" ht="15" hidden="false" customHeight="false" outlineLevel="0" collapsed="false">
      <c r="A21" s="29"/>
      <c r="B21" s="29"/>
      <c r="C21" s="29"/>
      <c r="D21" s="29"/>
      <c r="E21" s="29"/>
      <c r="F21" s="29"/>
      <c r="G21" s="29"/>
      <c r="H21" s="29"/>
      <c r="I21" s="29"/>
      <c r="J21" s="29"/>
      <c r="K21" s="29"/>
      <c r="L21" s="31"/>
      <c r="M21" s="31"/>
      <c r="N21" s="31"/>
      <c r="O21" s="31"/>
      <c r="P21" s="29"/>
      <c r="Q21" s="32"/>
      <c r="R21" s="29"/>
      <c r="S21" s="29"/>
      <c r="T21" s="29"/>
      <c r="U21" s="29"/>
      <c r="V21" s="29"/>
      <c r="W21" s="29"/>
    </row>
    <row r="22" customFormat="false" ht="15" hidden="false" customHeight="false" outlineLevel="0" collapsed="false">
      <c r="A22" s="29"/>
      <c r="B22" s="29"/>
      <c r="C22" s="29"/>
      <c r="D22" s="29"/>
      <c r="E22" s="29"/>
      <c r="F22" s="29"/>
      <c r="G22" s="29"/>
      <c r="H22" s="29"/>
      <c r="I22" s="29"/>
      <c r="J22" s="29"/>
      <c r="K22" s="29"/>
      <c r="L22" s="31"/>
      <c r="M22" s="31"/>
      <c r="N22" s="31"/>
      <c r="O22" s="31"/>
      <c r="P22" s="29"/>
      <c r="Q22" s="32"/>
      <c r="R22" s="29"/>
      <c r="S22" s="29"/>
      <c r="T22" s="29"/>
      <c r="U22" s="29"/>
      <c r="V22" s="29"/>
      <c r="W22" s="29"/>
    </row>
    <row r="23" customFormat="false" ht="15" hidden="false" customHeight="false" outlineLevel="0" collapsed="false">
      <c r="A23" s="29"/>
      <c r="B23" s="29"/>
      <c r="C23" s="29"/>
      <c r="D23" s="29"/>
      <c r="E23" s="29"/>
      <c r="F23" s="29"/>
      <c r="G23" s="29"/>
      <c r="H23" s="29"/>
      <c r="I23" s="29"/>
      <c r="J23" s="29"/>
      <c r="K23" s="29"/>
      <c r="L23" s="31"/>
      <c r="M23" s="31"/>
      <c r="N23" s="31"/>
      <c r="O23" s="31"/>
      <c r="P23" s="29"/>
      <c r="Q23" s="32"/>
      <c r="R23" s="29"/>
      <c r="S23" s="29"/>
      <c r="T23" s="29"/>
      <c r="U23" s="29"/>
      <c r="V23" s="29"/>
      <c r="W23" s="29"/>
    </row>
    <row r="24" customFormat="false" ht="15" hidden="false" customHeight="false" outlineLevel="0" collapsed="false">
      <c r="A24" s="29"/>
      <c r="B24" s="29"/>
      <c r="C24" s="29"/>
      <c r="D24" s="29"/>
      <c r="E24" s="29"/>
      <c r="F24" s="29"/>
      <c r="G24" s="29"/>
      <c r="H24" s="29"/>
      <c r="I24" s="29"/>
      <c r="J24" s="29"/>
      <c r="K24" s="29"/>
      <c r="L24" s="31"/>
      <c r="M24" s="31"/>
      <c r="N24" s="31"/>
      <c r="O24" s="31"/>
      <c r="P24" s="29"/>
      <c r="Q24" s="32"/>
      <c r="R24" s="29"/>
      <c r="S24" s="29"/>
      <c r="T24" s="29"/>
      <c r="U24" s="29"/>
      <c r="V24" s="29"/>
      <c r="W24" s="29"/>
    </row>
    <row r="25" customFormat="false" ht="15" hidden="false" customHeight="false" outlineLevel="0" collapsed="false">
      <c r="A25" s="29"/>
      <c r="B25" s="29"/>
      <c r="C25" s="29"/>
      <c r="D25" s="29"/>
      <c r="E25" s="29"/>
      <c r="F25" s="29"/>
      <c r="G25" s="29"/>
      <c r="H25" s="29"/>
      <c r="I25" s="29"/>
      <c r="J25" s="29"/>
      <c r="K25" s="29"/>
      <c r="L25" s="31"/>
      <c r="M25" s="31"/>
      <c r="N25" s="31"/>
      <c r="O25" s="31"/>
      <c r="P25" s="29"/>
      <c r="Q25" s="32"/>
      <c r="R25" s="29"/>
      <c r="S25" s="29"/>
      <c r="T25" s="29"/>
      <c r="U25" s="29"/>
      <c r="V25" s="29"/>
      <c r="W25" s="29"/>
    </row>
    <row r="26" customFormat="false" ht="15" hidden="false" customHeight="false" outlineLevel="0" collapsed="false">
      <c r="A26" s="29"/>
      <c r="B26" s="29"/>
      <c r="C26" s="29"/>
      <c r="D26" s="29"/>
      <c r="E26" s="29"/>
      <c r="F26" s="29"/>
      <c r="G26" s="29"/>
      <c r="H26" s="29"/>
      <c r="I26" s="29"/>
      <c r="J26" s="29"/>
      <c r="K26" s="29"/>
      <c r="L26" s="31"/>
      <c r="M26" s="31"/>
      <c r="N26" s="31"/>
      <c r="O26" s="31"/>
      <c r="P26" s="29"/>
      <c r="Q26" s="32"/>
      <c r="R26" s="29"/>
      <c r="S26" s="29"/>
      <c r="T26" s="29"/>
      <c r="U26" s="29"/>
      <c r="V26" s="29"/>
      <c r="W26" s="29"/>
    </row>
    <row r="27" customFormat="false" ht="15" hidden="false" customHeight="false" outlineLevel="0" collapsed="false">
      <c r="A27" s="33"/>
      <c r="B27" s="33"/>
      <c r="C27" s="33"/>
      <c r="D27" s="33"/>
      <c r="E27" s="33"/>
      <c r="F27" s="33"/>
      <c r="G27" s="33"/>
      <c r="H27" s="33"/>
      <c r="I27" s="33"/>
      <c r="J27" s="33"/>
      <c r="K27" s="33"/>
      <c r="L27" s="34"/>
      <c r="M27" s="34"/>
      <c r="N27" s="34"/>
      <c r="O27" s="34"/>
      <c r="P27" s="33"/>
      <c r="Q27" s="35"/>
      <c r="R27" s="33"/>
      <c r="S27" s="33"/>
      <c r="T27" s="33"/>
      <c r="U27" s="33"/>
      <c r="V27" s="33"/>
      <c r="W27" s="33"/>
    </row>
    <row r="28" customFormat="false" ht="15" hidden="false" customHeight="false" outlineLevel="0" collapsed="false">
      <c r="A28" s="33"/>
      <c r="B28" s="33"/>
      <c r="C28" s="33"/>
      <c r="D28" s="33"/>
      <c r="E28" s="33"/>
      <c r="F28" s="33"/>
      <c r="G28" s="33"/>
      <c r="H28" s="33"/>
      <c r="I28" s="33"/>
      <c r="J28" s="33"/>
      <c r="K28" s="33"/>
      <c r="L28" s="34"/>
      <c r="M28" s="34"/>
      <c r="N28" s="34"/>
      <c r="O28" s="34"/>
      <c r="P28" s="33"/>
      <c r="Q28" s="35"/>
      <c r="R28" s="33"/>
      <c r="S28" s="33"/>
      <c r="T28" s="33"/>
      <c r="U28" s="33"/>
      <c r="V28" s="33"/>
      <c r="W28" s="33"/>
    </row>
    <row r="29" customFormat="false" ht="15" hidden="false" customHeight="false" outlineLevel="0" collapsed="false">
      <c r="A29" s="33"/>
      <c r="B29" s="33"/>
      <c r="C29" s="33"/>
      <c r="D29" s="33"/>
      <c r="E29" s="33"/>
      <c r="F29" s="33"/>
      <c r="G29" s="33"/>
      <c r="H29" s="33"/>
      <c r="I29" s="33"/>
      <c r="J29" s="33"/>
      <c r="K29" s="33"/>
      <c r="L29" s="34"/>
      <c r="M29" s="34"/>
      <c r="N29" s="34"/>
      <c r="O29" s="34"/>
      <c r="P29" s="33"/>
      <c r="Q29" s="35"/>
      <c r="R29" s="33"/>
      <c r="S29" s="33"/>
      <c r="T29" s="33"/>
      <c r="U29" s="33"/>
      <c r="V29" s="33"/>
      <c r="W29" s="33"/>
    </row>
    <row r="30" customFormat="false" ht="15" hidden="false" customHeight="false" outlineLevel="0" collapsed="false">
      <c r="A30" s="33"/>
      <c r="B30" s="33"/>
      <c r="C30" s="33"/>
      <c r="D30" s="33"/>
      <c r="E30" s="33"/>
      <c r="F30" s="33"/>
      <c r="G30" s="33"/>
      <c r="H30" s="33"/>
      <c r="I30" s="33"/>
      <c r="J30" s="33"/>
      <c r="K30" s="33"/>
      <c r="L30" s="34"/>
      <c r="M30" s="34"/>
      <c r="N30" s="34"/>
      <c r="O30" s="34"/>
      <c r="P30" s="33"/>
      <c r="Q30" s="35"/>
      <c r="R30" s="33"/>
      <c r="S30" s="33"/>
      <c r="T30" s="33"/>
      <c r="U30" s="33"/>
      <c r="V30" s="33"/>
      <c r="W30" s="33"/>
    </row>
    <row r="31" customFormat="false" ht="15" hidden="false" customHeight="false" outlineLevel="0" collapsed="false">
      <c r="A31" s="33"/>
      <c r="B31" s="33"/>
      <c r="C31" s="33"/>
      <c r="D31" s="33"/>
      <c r="E31" s="33"/>
      <c r="F31" s="33"/>
      <c r="G31" s="33"/>
      <c r="H31" s="33"/>
      <c r="I31" s="33"/>
      <c r="J31" s="33"/>
      <c r="K31" s="33"/>
      <c r="L31" s="34"/>
      <c r="M31" s="34"/>
      <c r="N31" s="34"/>
      <c r="O31" s="34"/>
      <c r="P31" s="33"/>
      <c r="Q31" s="35"/>
      <c r="R31" s="33"/>
      <c r="S31" s="33"/>
      <c r="T31" s="33"/>
      <c r="U31" s="33"/>
      <c r="V31" s="33"/>
      <c r="W31" s="33"/>
    </row>
    <row r="32" customFormat="false" ht="15" hidden="false" customHeight="false" outlineLevel="0" collapsed="false">
      <c r="A32" s="33"/>
      <c r="B32" s="33"/>
      <c r="C32" s="33"/>
      <c r="D32" s="33"/>
      <c r="E32" s="33"/>
      <c r="F32" s="33"/>
      <c r="G32" s="33"/>
      <c r="H32" s="33"/>
      <c r="I32" s="33"/>
      <c r="J32" s="33"/>
      <c r="K32" s="33"/>
      <c r="L32" s="34"/>
      <c r="M32" s="34"/>
      <c r="N32" s="34"/>
      <c r="O32" s="34"/>
      <c r="P32" s="33"/>
      <c r="Q32" s="35"/>
      <c r="R32" s="33"/>
      <c r="S32" s="33"/>
      <c r="T32" s="33"/>
      <c r="U32" s="33"/>
      <c r="V32" s="33"/>
      <c r="W32" s="33"/>
    </row>
    <row r="33" customFormat="false" ht="15" hidden="false" customHeight="false" outlineLevel="0" collapsed="false">
      <c r="A33" s="33"/>
      <c r="B33" s="33"/>
      <c r="C33" s="33"/>
      <c r="D33" s="33"/>
      <c r="E33" s="33"/>
      <c r="F33" s="33"/>
      <c r="G33" s="33"/>
      <c r="H33" s="33"/>
      <c r="I33" s="33"/>
      <c r="J33" s="33"/>
      <c r="K33" s="33"/>
      <c r="L33" s="34"/>
      <c r="M33" s="34"/>
      <c r="N33" s="34"/>
      <c r="O33" s="34"/>
      <c r="P33" s="33"/>
      <c r="Q33" s="35"/>
      <c r="R33" s="33"/>
      <c r="S33" s="33"/>
      <c r="T33" s="33"/>
      <c r="U33" s="33"/>
      <c r="V33" s="33"/>
      <c r="W33" s="33"/>
    </row>
    <row r="34" customFormat="false" ht="15" hidden="false" customHeight="false" outlineLevel="0" collapsed="false">
      <c r="A34" s="33"/>
      <c r="B34" s="33"/>
      <c r="C34" s="33"/>
      <c r="D34" s="33"/>
      <c r="E34" s="33"/>
      <c r="F34" s="33"/>
      <c r="G34" s="33"/>
      <c r="H34" s="33"/>
      <c r="I34" s="33"/>
      <c r="J34" s="33"/>
      <c r="K34" s="33"/>
      <c r="L34" s="34"/>
      <c r="M34" s="34"/>
      <c r="N34" s="34"/>
      <c r="O34" s="34"/>
      <c r="P34" s="33"/>
      <c r="Q34" s="35"/>
      <c r="R34" s="33"/>
      <c r="S34" s="33"/>
      <c r="T34" s="33"/>
      <c r="U34" s="33"/>
      <c r="V34" s="33"/>
      <c r="W34" s="33"/>
    </row>
    <row r="35" customFormat="false" ht="15" hidden="false" customHeight="false" outlineLevel="0" collapsed="false">
      <c r="A35" s="33"/>
      <c r="B35" s="33"/>
      <c r="C35" s="33"/>
      <c r="D35" s="33"/>
      <c r="E35" s="33"/>
      <c r="F35" s="33"/>
      <c r="G35" s="33"/>
      <c r="H35" s="33"/>
      <c r="I35" s="33"/>
      <c r="J35" s="33"/>
      <c r="K35" s="33"/>
      <c r="L35" s="34"/>
      <c r="M35" s="34"/>
      <c r="N35" s="34"/>
      <c r="O35" s="34"/>
      <c r="P35" s="33"/>
      <c r="Q35" s="35"/>
      <c r="R35" s="33"/>
      <c r="S35" s="33"/>
      <c r="T35" s="33"/>
      <c r="U35" s="33"/>
      <c r="V35" s="33"/>
      <c r="W35" s="33"/>
    </row>
    <row r="36" customFormat="false" ht="15" hidden="false" customHeight="false" outlineLevel="0" collapsed="false">
      <c r="A36" s="33"/>
      <c r="B36" s="33"/>
      <c r="C36" s="33"/>
      <c r="D36" s="33"/>
      <c r="E36" s="33"/>
      <c r="F36" s="33"/>
      <c r="G36" s="33"/>
      <c r="H36" s="33"/>
      <c r="I36" s="33"/>
      <c r="J36" s="33"/>
      <c r="K36" s="33"/>
      <c r="L36" s="34"/>
      <c r="M36" s="34"/>
      <c r="N36" s="34"/>
      <c r="O36" s="34"/>
      <c r="P36" s="33"/>
      <c r="Q36" s="35"/>
      <c r="R36" s="33"/>
      <c r="S36" s="33"/>
      <c r="T36" s="33"/>
      <c r="U36" s="33"/>
      <c r="V36" s="33"/>
      <c r="W36" s="33"/>
    </row>
    <row r="37" customFormat="false" ht="15" hidden="false" customHeight="false" outlineLevel="0" collapsed="false">
      <c r="A37" s="33"/>
      <c r="B37" s="33"/>
      <c r="C37" s="33"/>
      <c r="D37" s="33"/>
      <c r="E37" s="33"/>
      <c r="F37" s="33"/>
      <c r="G37" s="33"/>
      <c r="H37" s="33"/>
      <c r="I37" s="33"/>
      <c r="J37" s="33"/>
      <c r="K37" s="33"/>
      <c r="L37" s="34"/>
      <c r="M37" s="34"/>
      <c r="N37" s="34"/>
      <c r="O37" s="34"/>
      <c r="P37" s="33"/>
      <c r="Q37" s="35"/>
      <c r="R37" s="33"/>
      <c r="S37" s="33"/>
      <c r="T37" s="33"/>
      <c r="U37" s="33"/>
      <c r="V37" s="33"/>
      <c r="W37" s="33"/>
    </row>
    <row r="38" customFormat="false" ht="15" hidden="false" customHeight="false" outlineLevel="0" collapsed="false">
      <c r="A38" s="33"/>
      <c r="B38" s="33"/>
      <c r="C38" s="33"/>
      <c r="D38" s="33"/>
      <c r="E38" s="33"/>
      <c r="F38" s="33"/>
      <c r="G38" s="33"/>
      <c r="H38" s="33"/>
      <c r="I38" s="33"/>
      <c r="J38" s="33"/>
      <c r="K38" s="33"/>
      <c r="L38" s="34"/>
      <c r="M38" s="34"/>
      <c r="N38" s="34"/>
      <c r="O38" s="34"/>
      <c r="P38" s="33"/>
      <c r="Q38" s="35"/>
      <c r="R38" s="33"/>
      <c r="S38" s="33"/>
      <c r="T38" s="33"/>
      <c r="U38" s="33"/>
      <c r="V38" s="33"/>
      <c r="W38" s="33"/>
    </row>
    <row r="39" customFormat="false" ht="15" hidden="false" customHeight="false" outlineLevel="0" collapsed="false">
      <c r="A39" s="33"/>
      <c r="B39" s="33"/>
      <c r="C39" s="33"/>
      <c r="D39" s="33"/>
      <c r="E39" s="33"/>
      <c r="F39" s="33"/>
      <c r="G39" s="33"/>
      <c r="H39" s="33"/>
      <c r="I39" s="33"/>
      <c r="J39" s="33"/>
      <c r="K39" s="33"/>
      <c r="L39" s="34"/>
      <c r="M39" s="34"/>
      <c r="N39" s="34"/>
      <c r="O39" s="34"/>
      <c r="P39" s="33"/>
      <c r="Q39" s="35"/>
      <c r="R39" s="33"/>
      <c r="S39" s="33"/>
      <c r="T39" s="33"/>
      <c r="U39" s="33"/>
      <c r="V39" s="33"/>
      <c r="W39" s="33"/>
    </row>
    <row r="40" customFormat="false" ht="15" hidden="false" customHeight="false" outlineLevel="0" collapsed="false">
      <c r="A40" s="33"/>
      <c r="B40" s="33"/>
      <c r="C40" s="33"/>
      <c r="D40" s="33"/>
      <c r="E40" s="33"/>
      <c r="F40" s="33"/>
      <c r="G40" s="33"/>
      <c r="H40" s="33"/>
      <c r="I40" s="33"/>
      <c r="J40" s="33"/>
      <c r="K40" s="33"/>
      <c r="L40" s="34"/>
      <c r="M40" s="34"/>
      <c r="N40" s="34"/>
      <c r="O40" s="34"/>
      <c r="P40" s="33"/>
      <c r="Q40" s="35"/>
      <c r="R40" s="33"/>
      <c r="S40" s="33"/>
      <c r="T40" s="33"/>
      <c r="U40" s="33"/>
      <c r="V40" s="33"/>
      <c r="W40" s="33"/>
    </row>
    <row r="41" customFormat="false" ht="15" hidden="false" customHeight="false" outlineLevel="0" collapsed="false">
      <c r="A41" s="33"/>
      <c r="B41" s="33"/>
      <c r="C41" s="33"/>
      <c r="D41" s="33"/>
      <c r="E41" s="33"/>
      <c r="F41" s="33"/>
      <c r="G41" s="33"/>
      <c r="H41" s="33"/>
      <c r="I41" s="33"/>
      <c r="J41" s="33"/>
      <c r="K41" s="33"/>
      <c r="L41" s="34"/>
      <c r="M41" s="34"/>
      <c r="N41" s="34"/>
      <c r="O41" s="34"/>
      <c r="P41" s="33"/>
      <c r="Q41" s="35"/>
      <c r="R41" s="33"/>
      <c r="S41" s="33"/>
      <c r="T41" s="33"/>
      <c r="U41" s="33"/>
      <c r="V41" s="33"/>
      <c r="W41" s="33"/>
    </row>
    <row r="42" customFormat="false" ht="15" hidden="false" customHeight="false" outlineLevel="0" collapsed="false">
      <c r="A42" s="33"/>
      <c r="B42" s="33"/>
      <c r="C42" s="33"/>
      <c r="D42" s="33"/>
      <c r="E42" s="33"/>
      <c r="F42" s="33"/>
      <c r="G42" s="33"/>
      <c r="H42" s="33"/>
      <c r="I42" s="33"/>
      <c r="J42" s="33"/>
      <c r="K42" s="33"/>
      <c r="L42" s="34"/>
      <c r="M42" s="34"/>
      <c r="N42" s="34"/>
      <c r="O42" s="34"/>
      <c r="P42" s="33"/>
      <c r="Q42" s="35"/>
      <c r="R42" s="33"/>
      <c r="S42" s="33"/>
      <c r="T42" s="33"/>
      <c r="U42" s="33"/>
      <c r="V42" s="33"/>
      <c r="W42" s="33"/>
    </row>
    <row r="43" customFormat="false" ht="15" hidden="false" customHeight="false" outlineLevel="0" collapsed="false">
      <c r="A43" s="33"/>
      <c r="B43" s="33"/>
      <c r="C43" s="33"/>
      <c r="D43" s="33"/>
      <c r="E43" s="33"/>
      <c r="F43" s="33"/>
      <c r="G43" s="33"/>
      <c r="H43" s="33"/>
      <c r="I43" s="33"/>
      <c r="J43" s="33"/>
      <c r="K43" s="33"/>
      <c r="L43" s="34"/>
      <c r="M43" s="34"/>
      <c r="N43" s="34"/>
      <c r="O43" s="34"/>
      <c r="P43" s="33"/>
      <c r="Q43" s="35"/>
      <c r="R43" s="33"/>
      <c r="S43" s="33"/>
      <c r="T43" s="33"/>
      <c r="U43" s="33"/>
      <c r="V43" s="33"/>
      <c r="W43" s="33"/>
    </row>
    <row r="44" customFormat="false" ht="15" hidden="false" customHeight="false" outlineLevel="0" collapsed="false">
      <c r="A44" s="33"/>
      <c r="B44" s="33"/>
      <c r="C44" s="33"/>
      <c r="D44" s="33"/>
      <c r="E44" s="33"/>
      <c r="F44" s="33"/>
      <c r="G44" s="33"/>
      <c r="H44" s="33"/>
      <c r="I44" s="33"/>
      <c r="J44" s="33"/>
      <c r="K44" s="33"/>
      <c r="L44" s="34"/>
      <c r="M44" s="34"/>
      <c r="N44" s="34"/>
      <c r="O44" s="34"/>
      <c r="P44" s="33"/>
      <c r="Q44" s="35"/>
      <c r="R44" s="33"/>
      <c r="S44" s="33"/>
      <c r="T44" s="33"/>
      <c r="U44" s="33"/>
      <c r="V44" s="33"/>
      <c r="W44" s="33"/>
    </row>
    <row r="45" customFormat="false" ht="15" hidden="false" customHeight="false" outlineLevel="0" collapsed="false">
      <c r="A45" s="33"/>
      <c r="B45" s="33"/>
      <c r="C45" s="33"/>
      <c r="D45" s="33"/>
      <c r="E45" s="33"/>
      <c r="F45" s="33"/>
      <c r="G45" s="33"/>
      <c r="H45" s="33"/>
      <c r="I45" s="33"/>
      <c r="J45" s="33"/>
      <c r="K45" s="33"/>
      <c r="L45" s="34"/>
      <c r="M45" s="34"/>
      <c r="N45" s="34"/>
      <c r="O45" s="34"/>
      <c r="P45" s="33"/>
      <c r="Q45" s="35"/>
      <c r="R45" s="33"/>
      <c r="S45" s="33"/>
      <c r="T45" s="33"/>
      <c r="U45" s="33"/>
      <c r="V45" s="33"/>
      <c r="W45" s="33"/>
    </row>
    <row r="46" customFormat="false" ht="15" hidden="false" customHeight="false" outlineLevel="0" collapsed="false">
      <c r="A46" s="33"/>
      <c r="B46" s="33"/>
      <c r="C46" s="33"/>
      <c r="D46" s="33"/>
      <c r="E46" s="33"/>
      <c r="F46" s="33"/>
      <c r="G46" s="33"/>
      <c r="H46" s="33"/>
      <c r="I46" s="33"/>
      <c r="J46" s="33"/>
      <c r="K46" s="33"/>
      <c r="L46" s="34"/>
      <c r="M46" s="34"/>
      <c r="N46" s="34"/>
      <c r="O46" s="34"/>
      <c r="P46" s="33"/>
      <c r="Q46" s="35"/>
      <c r="R46" s="33"/>
      <c r="S46" s="33"/>
      <c r="T46" s="33"/>
      <c r="U46" s="33"/>
      <c r="V46" s="33"/>
      <c r="W46" s="33"/>
    </row>
    <row r="47" customFormat="false" ht="15" hidden="false" customHeight="false" outlineLevel="0" collapsed="false">
      <c r="A47" s="33"/>
      <c r="B47" s="33"/>
      <c r="C47" s="33"/>
      <c r="D47" s="33"/>
      <c r="E47" s="33"/>
      <c r="F47" s="33"/>
      <c r="G47" s="33"/>
      <c r="H47" s="33"/>
      <c r="I47" s="33"/>
      <c r="J47" s="33"/>
      <c r="K47" s="33"/>
      <c r="L47" s="34"/>
      <c r="M47" s="34"/>
      <c r="N47" s="34"/>
      <c r="O47" s="34"/>
      <c r="P47" s="33"/>
      <c r="Q47" s="35"/>
      <c r="R47" s="33"/>
      <c r="S47" s="33"/>
      <c r="T47" s="33"/>
      <c r="U47" s="33"/>
      <c r="V47" s="33"/>
      <c r="W47" s="33"/>
    </row>
    <row r="48" customFormat="false" ht="15" hidden="false" customHeight="false" outlineLevel="0" collapsed="false">
      <c r="A48" s="33"/>
      <c r="B48" s="33"/>
      <c r="C48" s="33"/>
      <c r="D48" s="33"/>
      <c r="E48" s="33"/>
      <c r="F48" s="33"/>
      <c r="G48" s="33"/>
      <c r="H48" s="33"/>
      <c r="I48" s="33"/>
      <c r="J48" s="33"/>
      <c r="K48" s="33"/>
      <c r="L48" s="34"/>
      <c r="M48" s="34"/>
      <c r="N48" s="34"/>
      <c r="O48" s="34"/>
      <c r="P48" s="33"/>
      <c r="Q48" s="35"/>
      <c r="R48" s="33"/>
      <c r="S48" s="33"/>
      <c r="T48" s="33"/>
      <c r="U48" s="33"/>
      <c r="V48" s="33"/>
      <c r="W48" s="33"/>
    </row>
    <row r="49" customFormat="false" ht="15" hidden="false" customHeight="false" outlineLevel="0" collapsed="false">
      <c r="A49" s="33"/>
      <c r="B49" s="33"/>
      <c r="C49" s="33"/>
      <c r="D49" s="33"/>
      <c r="E49" s="33"/>
      <c r="F49" s="33"/>
      <c r="G49" s="33"/>
      <c r="H49" s="33"/>
      <c r="I49" s="33"/>
      <c r="J49" s="33"/>
      <c r="K49" s="33"/>
      <c r="L49" s="34"/>
      <c r="M49" s="34"/>
      <c r="N49" s="34"/>
      <c r="O49" s="34"/>
      <c r="P49" s="33"/>
      <c r="Q49" s="35"/>
      <c r="R49" s="33"/>
      <c r="S49" s="33"/>
      <c r="T49" s="33"/>
      <c r="U49" s="33"/>
      <c r="V49" s="33"/>
      <c r="W49" s="33"/>
    </row>
    <row r="50" customFormat="false" ht="15" hidden="false" customHeight="false" outlineLevel="0" collapsed="false">
      <c r="A50" s="33"/>
      <c r="B50" s="33"/>
      <c r="C50" s="33"/>
      <c r="D50" s="33"/>
      <c r="E50" s="33"/>
      <c r="F50" s="33"/>
      <c r="G50" s="33"/>
      <c r="H50" s="33"/>
      <c r="I50" s="33"/>
      <c r="J50" s="33"/>
      <c r="K50" s="33"/>
      <c r="L50" s="34"/>
      <c r="M50" s="34"/>
      <c r="N50" s="34"/>
      <c r="O50" s="34"/>
      <c r="P50" s="33"/>
      <c r="Q50" s="35"/>
      <c r="R50" s="33"/>
      <c r="S50" s="33"/>
      <c r="T50" s="33"/>
      <c r="U50" s="33"/>
      <c r="V50" s="33"/>
      <c r="W50" s="33"/>
    </row>
    <row r="51" customFormat="false" ht="15" hidden="false" customHeight="false" outlineLevel="0" collapsed="false">
      <c r="A51" s="33"/>
      <c r="B51" s="33"/>
      <c r="C51" s="33"/>
      <c r="D51" s="33"/>
      <c r="E51" s="33"/>
      <c r="F51" s="33"/>
      <c r="G51" s="33"/>
      <c r="H51" s="33"/>
      <c r="I51" s="33"/>
      <c r="J51" s="33"/>
      <c r="K51" s="33"/>
      <c r="L51" s="34"/>
      <c r="M51" s="34"/>
      <c r="N51" s="34"/>
      <c r="O51" s="34"/>
      <c r="P51" s="33"/>
      <c r="Q51" s="35"/>
      <c r="R51" s="33"/>
      <c r="S51" s="33"/>
      <c r="T51" s="33"/>
      <c r="U51" s="33"/>
      <c r="V51" s="33"/>
      <c r="W51" s="33"/>
    </row>
    <row r="52" customFormat="false" ht="15" hidden="false" customHeight="false" outlineLevel="0" collapsed="false">
      <c r="A52" s="33"/>
      <c r="B52" s="33"/>
      <c r="C52" s="33"/>
      <c r="D52" s="33"/>
      <c r="E52" s="33"/>
      <c r="F52" s="33"/>
      <c r="G52" s="33"/>
      <c r="H52" s="33"/>
      <c r="I52" s="33"/>
      <c r="J52" s="33"/>
      <c r="K52" s="33"/>
      <c r="L52" s="34"/>
      <c r="M52" s="34"/>
      <c r="N52" s="34"/>
      <c r="O52" s="34"/>
      <c r="P52" s="33"/>
      <c r="Q52" s="35"/>
      <c r="R52" s="33"/>
      <c r="S52" s="33"/>
      <c r="T52" s="33"/>
      <c r="U52" s="33"/>
      <c r="V52" s="33"/>
      <c r="W52" s="33"/>
    </row>
    <row r="53" customFormat="false" ht="15" hidden="false" customHeight="false" outlineLevel="0" collapsed="false">
      <c r="A53" s="33"/>
      <c r="B53" s="33"/>
      <c r="C53" s="33"/>
      <c r="D53" s="33"/>
      <c r="E53" s="33"/>
      <c r="F53" s="33"/>
      <c r="G53" s="33"/>
      <c r="H53" s="33"/>
      <c r="I53" s="33"/>
      <c r="J53" s="33"/>
      <c r="K53" s="33"/>
      <c r="L53" s="34"/>
      <c r="M53" s="34"/>
      <c r="N53" s="34"/>
      <c r="O53" s="34"/>
      <c r="P53" s="33"/>
      <c r="Q53" s="35"/>
      <c r="R53" s="33"/>
      <c r="S53" s="33"/>
      <c r="T53" s="33"/>
      <c r="U53" s="33"/>
      <c r="V53" s="33"/>
      <c r="W53" s="33"/>
    </row>
    <row r="54" customFormat="false" ht="15" hidden="false" customHeight="false" outlineLevel="0" collapsed="false">
      <c r="A54" s="33"/>
      <c r="B54" s="33"/>
      <c r="C54" s="33"/>
      <c r="D54" s="33"/>
      <c r="E54" s="33"/>
      <c r="F54" s="33"/>
      <c r="G54" s="33"/>
      <c r="H54" s="33"/>
      <c r="I54" s="33"/>
      <c r="J54" s="33"/>
      <c r="K54" s="33"/>
      <c r="L54" s="34"/>
      <c r="M54" s="34"/>
      <c r="N54" s="34"/>
      <c r="O54" s="34"/>
      <c r="P54" s="33"/>
      <c r="Q54" s="35"/>
      <c r="R54" s="33"/>
      <c r="S54" s="33"/>
      <c r="T54" s="33"/>
      <c r="U54" s="33"/>
      <c r="V54" s="33"/>
      <c r="W54" s="33"/>
    </row>
    <row r="55" customFormat="false" ht="15" hidden="false" customHeight="false" outlineLevel="0" collapsed="false">
      <c r="A55" s="33"/>
      <c r="B55" s="33"/>
      <c r="C55" s="33"/>
      <c r="D55" s="33"/>
      <c r="E55" s="33"/>
      <c r="F55" s="33"/>
      <c r="G55" s="33"/>
      <c r="H55" s="33"/>
      <c r="I55" s="33"/>
      <c r="J55" s="33"/>
      <c r="K55" s="33"/>
      <c r="L55" s="34"/>
      <c r="M55" s="34"/>
      <c r="N55" s="34"/>
      <c r="O55" s="34"/>
      <c r="P55" s="33"/>
      <c r="Q55" s="35"/>
      <c r="R55" s="33"/>
      <c r="S55" s="33"/>
      <c r="T55" s="33"/>
      <c r="U55" s="33"/>
      <c r="V55" s="33"/>
      <c r="W55" s="33"/>
    </row>
    <row r="56" customFormat="false" ht="15" hidden="false" customHeight="false" outlineLevel="0" collapsed="false">
      <c r="A56" s="33"/>
      <c r="B56" s="33"/>
      <c r="C56" s="33"/>
      <c r="D56" s="33"/>
      <c r="E56" s="33"/>
      <c r="F56" s="33"/>
      <c r="G56" s="33"/>
      <c r="H56" s="33"/>
      <c r="I56" s="33"/>
      <c r="J56" s="33"/>
      <c r="K56" s="33"/>
      <c r="L56" s="34"/>
      <c r="M56" s="34"/>
      <c r="N56" s="34"/>
      <c r="O56" s="34"/>
      <c r="P56" s="33"/>
      <c r="Q56" s="35"/>
      <c r="R56" s="33"/>
      <c r="S56" s="33"/>
      <c r="T56" s="33"/>
      <c r="U56" s="33"/>
      <c r="V56" s="33"/>
      <c r="W56" s="33"/>
    </row>
    <row r="57" customFormat="false" ht="15" hidden="false" customHeight="false" outlineLevel="0" collapsed="false">
      <c r="A57" s="33"/>
      <c r="B57" s="33"/>
      <c r="C57" s="33"/>
      <c r="D57" s="33"/>
      <c r="E57" s="33"/>
      <c r="F57" s="33"/>
      <c r="G57" s="33"/>
      <c r="H57" s="33"/>
      <c r="I57" s="33"/>
      <c r="J57" s="33"/>
      <c r="K57" s="33"/>
      <c r="L57" s="34"/>
      <c r="M57" s="34"/>
      <c r="N57" s="34"/>
      <c r="O57" s="34"/>
      <c r="P57" s="33"/>
      <c r="Q57" s="35"/>
      <c r="R57" s="33"/>
      <c r="S57" s="33"/>
      <c r="T57" s="33"/>
      <c r="U57" s="33"/>
      <c r="V57" s="33"/>
      <c r="W57" s="33"/>
    </row>
    <row r="58" customFormat="false" ht="15" hidden="false" customHeight="false" outlineLevel="0" collapsed="false">
      <c r="A58" s="33"/>
      <c r="B58" s="33"/>
      <c r="C58" s="33"/>
      <c r="D58" s="33"/>
      <c r="E58" s="33"/>
      <c r="F58" s="33"/>
      <c r="G58" s="33"/>
      <c r="H58" s="33"/>
      <c r="I58" s="33"/>
      <c r="J58" s="33"/>
      <c r="K58" s="33"/>
      <c r="L58" s="34"/>
      <c r="M58" s="34"/>
      <c r="N58" s="34"/>
      <c r="O58" s="34"/>
      <c r="P58" s="33"/>
      <c r="Q58" s="35"/>
      <c r="R58" s="33"/>
      <c r="S58" s="33"/>
      <c r="T58" s="33"/>
      <c r="U58" s="33"/>
      <c r="V58" s="33"/>
      <c r="W58" s="33"/>
    </row>
    <row r="59" customFormat="false" ht="15" hidden="false" customHeight="false" outlineLevel="0" collapsed="false">
      <c r="A59" s="33"/>
      <c r="B59" s="33"/>
      <c r="C59" s="33"/>
      <c r="D59" s="33"/>
      <c r="E59" s="33"/>
      <c r="F59" s="33"/>
      <c r="G59" s="33"/>
      <c r="H59" s="33"/>
      <c r="I59" s="33"/>
      <c r="J59" s="33"/>
      <c r="K59" s="33"/>
      <c r="L59" s="34"/>
      <c r="M59" s="34"/>
      <c r="N59" s="34"/>
      <c r="O59" s="34"/>
      <c r="P59" s="33"/>
      <c r="Q59" s="35"/>
      <c r="R59" s="33"/>
      <c r="S59" s="33"/>
      <c r="T59" s="33"/>
      <c r="U59" s="33"/>
      <c r="V59" s="33"/>
      <c r="W59" s="33"/>
    </row>
    <row r="60" customFormat="false" ht="15" hidden="false" customHeight="false" outlineLevel="0" collapsed="false">
      <c r="A60" s="33"/>
      <c r="B60" s="33"/>
      <c r="C60" s="33"/>
      <c r="D60" s="33"/>
      <c r="E60" s="33"/>
      <c r="F60" s="33"/>
      <c r="G60" s="33"/>
      <c r="H60" s="33"/>
      <c r="I60" s="33"/>
      <c r="J60" s="33"/>
      <c r="K60" s="33"/>
      <c r="L60" s="34"/>
      <c r="M60" s="34"/>
      <c r="N60" s="34"/>
      <c r="O60" s="34"/>
      <c r="P60" s="33"/>
      <c r="Q60" s="35"/>
      <c r="R60" s="33"/>
      <c r="S60" s="33"/>
      <c r="T60" s="33"/>
      <c r="U60" s="33"/>
      <c r="V60" s="33"/>
      <c r="W60" s="33"/>
    </row>
    <row r="61" customFormat="false" ht="15" hidden="false" customHeight="false" outlineLevel="0" collapsed="false">
      <c r="A61" s="33"/>
      <c r="B61" s="33"/>
      <c r="C61" s="33"/>
      <c r="D61" s="33"/>
      <c r="E61" s="33"/>
      <c r="F61" s="33"/>
      <c r="G61" s="33"/>
      <c r="H61" s="33"/>
      <c r="I61" s="33"/>
      <c r="J61" s="33"/>
      <c r="K61" s="33"/>
      <c r="L61" s="34"/>
      <c r="M61" s="34"/>
      <c r="N61" s="34"/>
      <c r="O61" s="34"/>
      <c r="P61" s="33"/>
      <c r="Q61" s="35"/>
      <c r="R61" s="33"/>
      <c r="S61" s="33"/>
      <c r="T61" s="33"/>
      <c r="U61" s="33"/>
      <c r="V61" s="33"/>
      <c r="W61" s="33"/>
    </row>
    <row r="62" customFormat="false" ht="15" hidden="false" customHeight="false" outlineLevel="0" collapsed="false">
      <c r="A62" s="33"/>
      <c r="B62" s="33"/>
      <c r="C62" s="33"/>
      <c r="D62" s="33"/>
      <c r="E62" s="33"/>
      <c r="F62" s="33"/>
      <c r="G62" s="33"/>
      <c r="H62" s="33"/>
      <c r="I62" s="33"/>
      <c r="J62" s="33"/>
      <c r="K62" s="33"/>
      <c r="L62" s="34"/>
      <c r="M62" s="34"/>
      <c r="N62" s="34"/>
      <c r="O62" s="34"/>
      <c r="P62" s="33"/>
      <c r="Q62" s="35"/>
      <c r="R62" s="33"/>
      <c r="S62" s="33"/>
      <c r="T62" s="33"/>
      <c r="U62" s="33"/>
      <c r="V62" s="33"/>
      <c r="W62" s="33"/>
    </row>
    <row r="63" customFormat="false" ht="15" hidden="false" customHeight="false" outlineLevel="0" collapsed="false">
      <c r="A63" s="33"/>
      <c r="B63" s="33"/>
      <c r="C63" s="33"/>
      <c r="D63" s="33"/>
      <c r="E63" s="33"/>
      <c r="F63" s="33"/>
      <c r="G63" s="33"/>
      <c r="H63" s="33"/>
      <c r="I63" s="33"/>
      <c r="J63" s="33"/>
      <c r="K63" s="33"/>
      <c r="L63" s="34"/>
      <c r="M63" s="34"/>
      <c r="N63" s="34"/>
      <c r="O63" s="34"/>
      <c r="P63" s="33"/>
      <c r="Q63" s="35"/>
      <c r="R63" s="33"/>
      <c r="S63" s="33"/>
      <c r="T63" s="33"/>
      <c r="U63" s="33"/>
      <c r="V63" s="33"/>
      <c r="W63" s="33"/>
    </row>
    <row r="64" customFormat="false" ht="15" hidden="false" customHeight="false" outlineLevel="0" collapsed="false">
      <c r="A64" s="33"/>
      <c r="B64" s="33"/>
      <c r="C64" s="33"/>
      <c r="D64" s="33"/>
      <c r="E64" s="33"/>
      <c r="F64" s="33"/>
      <c r="G64" s="33"/>
      <c r="H64" s="33"/>
      <c r="I64" s="33"/>
      <c r="J64" s="33"/>
      <c r="K64" s="33"/>
      <c r="L64" s="34"/>
      <c r="M64" s="34"/>
      <c r="N64" s="34"/>
      <c r="O64" s="34"/>
      <c r="P64" s="33"/>
      <c r="Q64" s="35"/>
      <c r="R64" s="33"/>
      <c r="S64" s="33"/>
      <c r="T64" s="33"/>
      <c r="U64" s="33"/>
      <c r="V64" s="33"/>
      <c r="W64" s="33"/>
    </row>
    <row r="65" customFormat="false" ht="15" hidden="false" customHeight="false" outlineLevel="0" collapsed="false">
      <c r="A65" s="33"/>
      <c r="B65" s="33"/>
      <c r="C65" s="33"/>
      <c r="D65" s="33"/>
      <c r="E65" s="33"/>
      <c r="F65" s="33"/>
      <c r="G65" s="33"/>
      <c r="H65" s="33"/>
      <c r="I65" s="33"/>
      <c r="J65" s="33"/>
      <c r="K65" s="33"/>
      <c r="L65" s="34"/>
      <c r="M65" s="34"/>
      <c r="N65" s="34"/>
      <c r="O65" s="34"/>
      <c r="P65" s="33"/>
      <c r="Q65" s="35"/>
      <c r="R65" s="33"/>
      <c r="S65" s="33"/>
      <c r="T65" s="33"/>
      <c r="U65" s="33"/>
      <c r="V65" s="33"/>
      <c r="W65" s="33"/>
    </row>
    <row r="66" customFormat="false" ht="15" hidden="false" customHeight="false" outlineLevel="0" collapsed="false">
      <c r="A66" s="33"/>
      <c r="B66" s="33"/>
      <c r="C66" s="33"/>
      <c r="D66" s="33"/>
      <c r="E66" s="33"/>
      <c r="F66" s="33"/>
      <c r="G66" s="33"/>
      <c r="H66" s="33"/>
      <c r="I66" s="33"/>
      <c r="J66" s="33"/>
      <c r="K66" s="33"/>
      <c r="L66" s="34"/>
      <c r="M66" s="34"/>
      <c r="N66" s="34"/>
      <c r="O66" s="34"/>
      <c r="P66" s="33"/>
      <c r="Q66" s="35"/>
      <c r="R66" s="33"/>
      <c r="S66" s="33"/>
      <c r="T66" s="33"/>
      <c r="U66" s="33"/>
      <c r="V66" s="33"/>
      <c r="W66" s="33"/>
    </row>
    <row r="67" customFormat="false" ht="15" hidden="false" customHeight="false" outlineLevel="0" collapsed="false">
      <c r="A67" s="33"/>
      <c r="B67" s="33"/>
      <c r="C67" s="33"/>
      <c r="D67" s="33"/>
      <c r="E67" s="33"/>
      <c r="F67" s="33"/>
      <c r="G67" s="33"/>
      <c r="H67" s="33"/>
      <c r="I67" s="33"/>
      <c r="J67" s="33"/>
      <c r="K67" s="33"/>
      <c r="L67" s="34"/>
      <c r="M67" s="34"/>
      <c r="N67" s="34"/>
      <c r="O67" s="34"/>
      <c r="P67" s="33"/>
      <c r="Q67" s="35"/>
      <c r="R67" s="33"/>
      <c r="S67" s="33"/>
      <c r="T67" s="33"/>
      <c r="U67" s="33"/>
      <c r="V67" s="33"/>
      <c r="W67" s="33"/>
    </row>
    <row r="68" customFormat="false" ht="15" hidden="false" customHeight="false" outlineLevel="0" collapsed="false">
      <c r="A68" s="33"/>
      <c r="B68" s="33"/>
      <c r="C68" s="33"/>
      <c r="D68" s="33"/>
      <c r="E68" s="33"/>
      <c r="F68" s="33"/>
      <c r="G68" s="33"/>
      <c r="H68" s="33"/>
      <c r="I68" s="33"/>
      <c r="J68" s="33"/>
      <c r="K68" s="33"/>
      <c r="L68" s="34"/>
      <c r="M68" s="34"/>
      <c r="N68" s="34"/>
      <c r="O68" s="34"/>
      <c r="P68" s="33"/>
      <c r="Q68" s="35"/>
      <c r="R68" s="33"/>
      <c r="S68" s="33"/>
      <c r="T68" s="33"/>
      <c r="U68" s="33"/>
      <c r="V68" s="33"/>
      <c r="W68" s="33"/>
    </row>
    <row r="69" customFormat="false" ht="15" hidden="false" customHeight="false" outlineLevel="0" collapsed="false">
      <c r="A69" s="33"/>
      <c r="B69" s="33"/>
      <c r="C69" s="33"/>
      <c r="D69" s="33"/>
      <c r="E69" s="33"/>
      <c r="F69" s="33"/>
      <c r="G69" s="33"/>
      <c r="H69" s="33"/>
      <c r="I69" s="33"/>
      <c r="J69" s="33"/>
      <c r="K69" s="33"/>
      <c r="L69" s="34"/>
      <c r="M69" s="34"/>
      <c r="N69" s="34"/>
      <c r="O69" s="34"/>
      <c r="P69" s="33"/>
      <c r="Q69" s="35"/>
      <c r="R69" s="33"/>
      <c r="S69" s="33"/>
      <c r="T69" s="33"/>
      <c r="U69" s="33"/>
      <c r="V69" s="33"/>
      <c r="W69" s="33"/>
    </row>
    <row r="70" customFormat="false" ht="15" hidden="false" customHeight="false" outlineLevel="0" collapsed="false">
      <c r="A70" s="33"/>
      <c r="B70" s="33"/>
      <c r="C70" s="33"/>
      <c r="D70" s="33"/>
      <c r="E70" s="33"/>
      <c r="F70" s="33"/>
      <c r="G70" s="33"/>
      <c r="H70" s="33"/>
      <c r="I70" s="33"/>
      <c r="J70" s="33"/>
      <c r="K70" s="33"/>
      <c r="L70" s="34"/>
      <c r="M70" s="34"/>
      <c r="N70" s="34"/>
      <c r="O70" s="34"/>
      <c r="P70" s="33"/>
      <c r="Q70" s="35"/>
      <c r="R70" s="33"/>
      <c r="S70" s="33"/>
      <c r="T70" s="33"/>
      <c r="U70" s="33"/>
      <c r="V70" s="33"/>
      <c r="W70" s="33"/>
    </row>
    <row r="71" customFormat="false" ht="15" hidden="false" customHeight="false" outlineLevel="0" collapsed="false">
      <c r="A71" s="33"/>
      <c r="B71" s="33"/>
      <c r="C71" s="33"/>
      <c r="D71" s="33"/>
      <c r="E71" s="33"/>
      <c r="F71" s="33"/>
      <c r="G71" s="33"/>
      <c r="H71" s="33"/>
      <c r="I71" s="33"/>
      <c r="J71" s="33"/>
      <c r="K71" s="33"/>
      <c r="L71" s="34"/>
      <c r="M71" s="34"/>
      <c r="N71" s="34"/>
      <c r="O71" s="34"/>
      <c r="P71" s="33"/>
      <c r="Q71" s="35"/>
      <c r="R71" s="33"/>
      <c r="S71" s="33"/>
      <c r="T71" s="33"/>
      <c r="U71" s="33"/>
      <c r="V71" s="33"/>
      <c r="W71" s="33"/>
    </row>
    <row r="72" customFormat="false" ht="15" hidden="false" customHeight="false" outlineLevel="0" collapsed="false">
      <c r="A72" s="33"/>
      <c r="B72" s="33"/>
      <c r="C72" s="33"/>
      <c r="D72" s="33"/>
      <c r="E72" s="33"/>
      <c r="F72" s="33"/>
      <c r="G72" s="33"/>
      <c r="H72" s="33"/>
      <c r="I72" s="33"/>
      <c r="J72" s="33"/>
      <c r="K72" s="33"/>
      <c r="L72" s="34"/>
      <c r="M72" s="34"/>
      <c r="N72" s="34"/>
      <c r="O72" s="34"/>
      <c r="P72" s="33"/>
      <c r="Q72" s="35"/>
      <c r="R72" s="33"/>
      <c r="S72" s="33"/>
      <c r="T72" s="33"/>
      <c r="U72" s="33"/>
      <c r="V72" s="33"/>
      <c r="W72" s="33"/>
    </row>
    <row r="73" customFormat="false" ht="15" hidden="false" customHeight="false" outlineLevel="0" collapsed="false">
      <c r="A73" s="33"/>
      <c r="B73" s="33"/>
      <c r="C73" s="33"/>
      <c r="D73" s="33"/>
      <c r="E73" s="33"/>
      <c r="F73" s="33"/>
      <c r="G73" s="33"/>
      <c r="H73" s="33"/>
      <c r="I73" s="33"/>
      <c r="J73" s="33"/>
      <c r="K73" s="33"/>
      <c r="L73" s="34"/>
      <c r="M73" s="34"/>
      <c r="N73" s="34"/>
      <c r="O73" s="34"/>
      <c r="P73" s="33"/>
      <c r="Q73" s="35"/>
      <c r="R73" s="33"/>
      <c r="S73" s="33"/>
      <c r="T73" s="33"/>
      <c r="U73" s="33"/>
      <c r="V73" s="33"/>
      <c r="W73" s="33"/>
    </row>
    <row r="74" customFormat="false" ht="15" hidden="false" customHeight="false" outlineLevel="0" collapsed="false">
      <c r="A74" s="33"/>
      <c r="B74" s="33"/>
      <c r="C74" s="33"/>
      <c r="D74" s="33"/>
      <c r="E74" s="33"/>
      <c r="F74" s="33"/>
      <c r="G74" s="33"/>
      <c r="H74" s="33"/>
      <c r="I74" s="33"/>
      <c r="J74" s="33"/>
      <c r="K74" s="33"/>
      <c r="L74" s="34"/>
      <c r="M74" s="34"/>
      <c r="N74" s="34"/>
      <c r="O74" s="34"/>
      <c r="P74" s="33"/>
      <c r="Q74" s="35"/>
      <c r="R74" s="33"/>
      <c r="S74" s="33"/>
      <c r="T74" s="33"/>
      <c r="U74" s="33"/>
      <c r="V74" s="33"/>
      <c r="W74" s="33"/>
    </row>
    <row r="75" customFormat="false" ht="15" hidden="false" customHeight="false" outlineLevel="0" collapsed="false">
      <c r="A75" s="33"/>
      <c r="B75" s="33"/>
      <c r="C75" s="33"/>
      <c r="D75" s="33"/>
      <c r="E75" s="33"/>
      <c r="F75" s="33"/>
      <c r="G75" s="33"/>
      <c r="H75" s="33"/>
      <c r="I75" s="33"/>
      <c r="J75" s="33"/>
      <c r="K75" s="33"/>
      <c r="L75" s="34"/>
      <c r="M75" s="34"/>
      <c r="N75" s="34"/>
      <c r="O75" s="34"/>
      <c r="P75" s="33"/>
      <c r="Q75" s="35"/>
      <c r="R75" s="33"/>
      <c r="S75" s="33"/>
      <c r="T75" s="33"/>
      <c r="U75" s="33"/>
      <c r="V75" s="33"/>
      <c r="W75" s="33"/>
    </row>
    <row r="76" customFormat="false" ht="15" hidden="false" customHeight="false" outlineLevel="0" collapsed="false">
      <c r="A76" s="33"/>
      <c r="B76" s="33"/>
      <c r="C76" s="33"/>
      <c r="D76" s="33"/>
      <c r="E76" s="33"/>
      <c r="F76" s="33"/>
      <c r="G76" s="33"/>
      <c r="H76" s="33"/>
      <c r="I76" s="33"/>
      <c r="J76" s="33"/>
      <c r="K76" s="33"/>
      <c r="L76" s="34"/>
      <c r="M76" s="34"/>
      <c r="N76" s="34"/>
      <c r="O76" s="34"/>
      <c r="P76" s="33"/>
      <c r="Q76" s="35"/>
      <c r="R76" s="33"/>
      <c r="S76" s="33"/>
      <c r="T76" s="33"/>
      <c r="U76" s="33"/>
      <c r="V76" s="33"/>
      <c r="W76" s="33"/>
    </row>
    <row r="77" customFormat="false" ht="15" hidden="false" customHeight="false" outlineLevel="0" collapsed="false">
      <c r="A77" s="33"/>
      <c r="B77" s="33"/>
      <c r="C77" s="33"/>
      <c r="D77" s="33"/>
      <c r="E77" s="33"/>
      <c r="F77" s="33"/>
      <c r="G77" s="33"/>
      <c r="H77" s="33"/>
      <c r="I77" s="33"/>
      <c r="J77" s="33"/>
      <c r="K77" s="33"/>
      <c r="L77" s="34"/>
      <c r="M77" s="34"/>
      <c r="N77" s="34"/>
      <c r="O77" s="34"/>
      <c r="P77" s="33"/>
      <c r="Q77" s="35"/>
      <c r="R77" s="33"/>
      <c r="S77" s="33"/>
      <c r="T77" s="33"/>
      <c r="U77" s="33"/>
      <c r="V77" s="33"/>
      <c r="W77" s="33"/>
    </row>
    <row r="78" customFormat="false" ht="15" hidden="false" customHeight="false" outlineLevel="0" collapsed="false">
      <c r="A78" s="33"/>
      <c r="B78" s="33"/>
      <c r="C78" s="33"/>
      <c r="D78" s="33"/>
      <c r="E78" s="33"/>
      <c r="F78" s="33"/>
      <c r="G78" s="33"/>
      <c r="H78" s="33"/>
      <c r="I78" s="33"/>
      <c r="J78" s="33"/>
      <c r="K78" s="33"/>
      <c r="L78" s="34"/>
      <c r="M78" s="34"/>
      <c r="N78" s="34"/>
      <c r="O78" s="34"/>
      <c r="P78" s="33"/>
      <c r="Q78" s="35"/>
      <c r="R78" s="33"/>
      <c r="S78" s="33"/>
      <c r="T78" s="33"/>
      <c r="U78" s="33"/>
      <c r="V78" s="33"/>
      <c r="W78" s="33"/>
    </row>
    <row r="79" customFormat="false" ht="15" hidden="false" customHeight="false" outlineLevel="0" collapsed="false">
      <c r="A79" s="33"/>
      <c r="B79" s="33"/>
      <c r="C79" s="33"/>
      <c r="D79" s="33"/>
      <c r="E79" s="33"/>
      <c r="F79" s="33"/>
      <c r="G79" s="33"/>
      <c r="H79" s="33"/>
      <c r="I79" s="33"/>
      <c r="J79" s="33"/>
      <c r="K79" s="33"/>
      <c r="L79" s="34"/>
      <c r="M79" s="34"/>
      <c r="N79" s="34"/>
      <c r="O79" s="34"/>
      <c r="P79" s="33"/>
      <c r="Q79" s="35"/>
      <c r="R79" s="33"/>
      <c r="S79" s="33"/>
      <c r="T79" s="33"/>
      <c r="U79" s="33"/>
      <c r="V79" s="33"/>
      <c r="W79" s="33"/>
    </row>
    <row r="80" customFormat="false" ht="15" hidden="false" customHeight="false" outlineLevel="0" collapsed="false">
      <c r="A80" s="33"/>
      <c r="B80" s="33"/>
      <c r="C80" s="33"/>
      <c r="D80" s="33"/>
      <c r="E80" s="33"/>
      <c r="F80" s="33"/>
      <c r="G80" s="33"/>
      <c r="H80" s="33"/>
      <c r="I80" s="33"/>
      <c r="J80" s="33"/>
      <c r="K80" s="33"/>
      <c r="L80" s="34"/>
      <c r="M80" s="34"/>
      <c r="N80" s="34"/>
      <c r="O80" s="34"/>
      <c r="P80" s="33"/>
      <c r="Q80" s="35"/>
      <c r="R80" s="33"/>
      <c r="S80" s="33"/>
      <c r="T80" s="33"/>
      <c r="U80" s="33"/>
      <c r="V80" s="33"/>
      <c r="W80" s="33"/>
    </row>
    <row r="81" customFormat="false" ht="15" hidden="false" customHeight="false" outlineLevel="0" collapsed="false">
      <c r="A81" s="33"/>
      <c r="B81" s="33"/>
      <c r="C81" s="33"/>
      <c r="D81" s="33"/>
      <c r="E81" s="33"/>
      <c r="F81" s="33"/>
      <c r="G81" s="33"/>
      <c r="H81" s="33"/>
      <c r="I81" s="33"/>
      <c r="J81" s="33"/>
      <c r="K81" s="33"/>
      <c r="L81" s="34"/>
      <c r="M81" s="34"/>
      <c r="N81" s="34"/>
      <c r="O81" s="34"/>
      <c r="P81" s="33"/>
      <c r="Q81" s="35"/>
      <c r="R81" s="33"/>
      <c r="S81" s="33"/>
      <c r="T81" s="33"/>
      <c r="U81" s="33"/>
      <c r="V81" s="33"/>
      <c r="W81" s="33"/>
    </row>
    <row r="82" customFormat="false" ht="15" hidden="false" customHeight="false" outlineLevel="0" collapsed="false">
      <c r="A82" s="33"/>
      <c r="B82" s="33"/>
      <c r="C82" s="33"/>
      <c r="D82" s="33"/>
      <c r="E82" s="33"/>
      <c r="F82" s="33"/>
      <c r="G82" s="33"/>
      <c r="H82" s="33"/>
      <c r="I82" s="33"/>
      <c r="J82" s="33"/>
      <c r="K82" s="33"/>
      <c r="L82" s="34"/>
      <c r="M82" s="34"/>
      <c r="N82" s="34"/>
      <c r="O82" s="34"/>
      <c r="P82" s="33"/>
      <c r="Q82" s="35"/>
      <c r="R82" s="33"/>
      <c r="S82" s="33"/>
      <c r="T82" s="33"/>
      <c r="U82" s="33"/>
      <c r="V82" s="33"/>
      <c r="W82" s="33"/>
    </row>
    <row r="83" customFormat="false" ht="15" hidden="false" customHeight="false" outlineLevel="0" collapsed="false">
      <c r="A83" s="33"/>
      <c r="B83" s="33"/>
      <c r="C83" s="33"/>
      <c r="D83" s="33"/>
      <c r="E83" s="33"/>
      <c r="F83" s="33"/>
      <c r="G83" s="33"/>
      <c r="H83" s="33"/>
      <c r="I83" s="33"/>
      <c r="J83" s="33"/>
      <c r="K83" s="33"/>
      <c r="L83" s="34"/>
      <c r="M83" s="34"/>
      <c r="N83" s="34"/>
      <c r="O83" s="34"/>
      <c r="P83" s="33"/>
      <c r="Q83" s="35"/>
      <c r="R83" s="33"/>
      <c r="S83" s="33"/>
      <c r="T83" s="33"/>
      <c r="U83" s="33"/>
      <c r="V83" s="33"/>
      <c r="W83" s="33"/>
    </row>
    <row r="84" customFormat="false" ht="15" hidden="false" customHeight="false" outlineLevel="0" collapsed="false">
      <c r="A84" s="33"/>
      <c r="B84" s="33"/>
      <c r="C84" s="33"/>
      <c r="D84" s="33"/>
      <c r="E84" s="33"/>
      <c r="F84" s="33"/>
      <c r="G84" s="33"/>
      <c r="H84" s="33"/>
      <c r="I84" s="33"/>
      <c r="J84" s="33"/>
      <c r="K84" s="33"/>
      <c r="L84" s="34"/>
      <c r="M84" s="34"/>
      <c r="N84" s="34"/>
      <c r="O84" s="34"/>
      <c r="P84" s="33"/>
      <c r="Q84" s="35"/>
      <c r="R84" s="33"/>
      <c r="S84" s="33"/>
      <c r="T84" s="33"/>
      <c r="U84" s="33"/>
      <c r="V84" s="33"/>
      <c r="W84" s="33"/>
    </row>
    <row r="85" customFormat="false" ht="15" hidden="false" customHeight="false" outlineLevel="0" collapsed="false">
      <c r="A85" s="33"/>
      <c r="B85" s="33"/>
      <c r="C85" s="33"/>
      <c r="D85" s="33"/>
      <c r="E85" s="33"/>
      <c r="F85" s="33"/>
      <c r="G85" s="33"/>
      <c r="H85" s="33"/>
      <c r="I85" s="33"/>
      <c r="J85" s="33"/>
      <c r="K85" s="33"/>
      <c r="L85" s="34"/>
      <c r="M85" s="34"/>
      <c r="N85" s="34"/>
      <c r="O85" s="34"/>
      <c r="P85" s="33"/>
      <c r="Q85" s="35"/>
      <c r="R85" s="33"/>
      <c r="S85" s="33"/>
      <c r="T85" s="33"/>
      <c r="U85" s="33"/>
      <c r="V85" s="33"/>
      <c r="W85" s="33"/>
    </row>
    <row r="86" customFormat="false" ht="15" hidden="false" customHeight="false" outlineLevel="0" collapsed="false">
      <c r="A86" s="33"/>
      <c r="B86" s="33"/>
      <c r="C86" s="33"/>
      <c r="D86" s="33"/>
      <c r="E86" s="33"/>
      <c r="F86" s="33"/>
      <c r="G86" s="33"/>
      <c r="H86" s="33"/>
      <c r="I86" s="33"/>
      <c r="J86" s="33"/>
      <c r="K86" s="33"/>
      <c r="L86" s="34"/>
      <c r="M86" s="34"/>
      <c r="N86" s="34"/>
      <c r="O86" s="34"/>
      <c r="P86" s="33"/>
      <c r="Q86" s="35"/>
      <c r="R86" s="33"/>
      <c r="S86" s="33"/>
      <c r="T86" s="33"/>
      <c r="U86" s="33"/>
      <c r="V86" s="33"/>
      <c r="W86" s="33"/>
    </row>
    <row r="87" customFormat="false" ht="15" hidden="false" customHeight="false" outlineLevel="0" collapsed="false">
      <c r="A87" s="33"/>
      <c r="B87" s="33"/>
      <c r="C87" s="33"/>
      <c r="D87" s="33"/>
      <c r="E87" s="33"/>
      <c r="F87" s="33"/>
      <c r="G87" s="33"/>
      <c r="H87" s="33"/>
      <c r="I87" s="33"/>
      <c r="J87" s="33"/>
      <c r="K87" s="33"/>
      <c r="L87" s="34"/>
      <c r="M87" s="34"/>
      <c r="N87" s="34"/>
      <c r="O87" s="34"/>
      <c r="P87" s="33"/>
      <c r="Q87" s="35"/>
      <c r="R87" s="33"/>
      <c r="S87" s="33"/>
      <c r="T87" s="33"/>
      <c r="U87" s="33"/>
      <c r="V87" s="33"/>
      <c r="W87" s="33"/>
    </row>
    <row r="88" customFormat="false" ht="15" hidden="false" customHeight="false" outlineLevel="0" collapsed="false">
      <c r="A88" s="33"/>
      <c r="B88" s="33"/>
      <c r="C88" s="33"/>
      <c r="D88" s="33"/>
      <c r="E88" s="33"/>
      <c r="F88" s="33"/>
      <c r="G88" s="33"/>
      <c r="H88" s="33"/>
      <c r="I88" s="33"/>
      <c r="J88" s="33"/>
      <c r="K88" s="33"/>
      <c r="L88" s="34"/>
      <c r="M88" s="34"/>
      <c r="N88" s="34"/>
      <c r="O88" s="34"/>
      <c r="P88" s="33"/>
      <c r="Q88" s="35"/>
      <c r="R88" s="33"/>
      <c r="S88" s="33"/>
      <c r="T88" s="33"/>
      <c r="U88" s="33"/>
      <c r="V88" s="33"/>
      <c r="W88" s="33"/>
    </row>
    <row r="89" customFormat="false" ht="15" hidden="false" customHeight="false" outlineLevel="0" collapsed="false">
      <c r="A89" s="33"/>
      <c r="B89" s="33"/>
      <c r="C89" s="33"/>
      <c r="D89" s="33"/>
      <c r="E89" s="33"/>
      <c r="F89" s="33"/>
      <c r="G89" s="33"/>
      <c r="H89" s="33"/>
      <c r="I89" s="33"/>
      <c r="J89" s="33"/>
      <c r="K89" s="33"/>
      <c r="L89" s="34"/>
      <c r="M89" s="34"/>
      <c r="N89" s="34"/>
      <c r="O89" s="34"/>
      <c r="P89" s="33"/>
      <c r="Q89" s="35"/>
      <c r="R89" s="33"/>
      <c r="S89" s="33"/>
      <c r="T89" s="33"/>
      <c r="U89" s="33"/>
      <c r="V89" s="33"/>
      <c r="W89" s="33"/>
    </row>
    <row r="90" customFormat="false" ht="15" hidden="false" customHeight="false" outlineLevel="0" collapsed="false">
      <c r="A90" s="33"/>
      <c r="B90" s="33"/>
      <c r="C90" s="33"/>
      <c r="D90" s="33"/>
      <c r="E90" s="33"/>
      <c r="F90" s="33"/>
      <c r="G90" s="33"/>
      <c r="H90" s="33"/>
      <c r="I90" s="33"/>
      <c r="J90" s="33"/>
      <c r="K90" s="33"/>
      <c r="L90" s="34"/>
      <c r="M90" s="34"/>
      <c r="N90" s="34"/>
      <c r="O90" s="34"/>
      <c r="P90" s="33"/>
      <c r="Q90" s="35"/>
      <c r="R90" s="33"/>
      <c r="S90" s="33"/>
      <c r="T90" s="33"/>
      <c r="U90" s="33"/>
      <c r="V90" s="33"/>
      <c r="W90" s="33"/>
    </row>
    <row r="91" customFormat="false" ht="15" hidden="false" customHeight="false" outlineLevel="0" collapsed="false">
      <c r="A91" s="33"/>
      <c r="B91" s="33"/>
      <c r="C91" s="33"/>
      <c r="D91" s="33"/>
      <c r="E91" s="33"/>
      <c r="F91" s="33"/>
      <c r="G91" s="33"/>
      <c r="H91" s="33"/>
      <c r="I91" s="33"/>
      <c r="J91" s="33"/>
      <c r="K91" s="33"/>
      <c r="L91" s="34"/>
      <c r="M91" s="34"/>
      <c r="N91" s="34"/>
      <c r="O91" s="34"/>
      <c r="P91" s="33"/>
      <c r="Q91" s="35"/>
      <c r="R91" s="33"/>
      <c r="S91" s="33"/>
      <c r="T91" s="33"/>
      <c r="U91" s="33"/>
      <c r="V91" s="33"/>
      <c r="W91" s="33"/>
    </row>
    <row r="92" customFormat="false" ht="15" hidden="false" customHeight="false" outlineLevel="0" collapsed="false">
      <c r="A92" s="33"/>
      <c r="B92" s="33"/>
      <c r="C92" s="33"/>
      <c r="D92" s="33"/>
      <c r="E92" s="33"/>
      <c r="F92" s="33"/>
      <c r="G92" s="33"/>
      <c r="H92" s="33"/>
      <c r="I92" s="33"/>
      <c r="J92" s="33"/>
      <c r="K92" s="33"/>
      <c r="L92" s="34"/>
      <c r="M92" s="34"/>
      <c r="N92" s="34"/>
      <c r="O92" s="34"/>
      <c r="P92" s="33"/>
      <c r="Q92" s="35"/>
      <c r="R92" s="33"/>
      <c r="S92" s="33"/>
      <c r="T92" s="33"/>
      <c r="U92" s="33"/>
      <c r="V92" s="33"/>
      <c r="W92" s="33"/>
    </row>
    <row r="93" customFormat="false" ht="15" hidden="false" customHeight="false" outlineLevel="0" collapsed="false">
      <c r="A93" s="33"/>
      <c r="B93" s="33"/>
      <c r="C93" s="33"/>
      <c r="D93" s="33"/>
      <c r="E93" s="33"/>
      <c r="F93" s="33"/>
      <c r="G93" s="33"/>
      <c r="H93" s="33"/>
      <c r="I93" s="33"/>
      <c r="J93" s="33"/>
      <c r="K93" s="33"/>
      <c r="L93" s="34"/>
      <c r="M93" s="34"/>
      <c r="N93" s="34"/>
      <c r="O93" s="34"/>
      <c r="P93" s="33"/>
      <c r="Q93" s="35"/>
      <c r="R93" s="33"/>
      <c r="S93" s="33"/>
      <c r="T93" s="33"/>
      <c r="U93" s="33"/>
      <c r="V93" s="33"/>
      <c r="W93" s="33"/>
    </row>
    <row r="94" customFormat="false" ht="15" hidden="false" customHeight="false" outlineLevel="0" collapsed="false">
      <c r="A94" s="33"/>
      <c r="B94" s="33"/>
      <c r="C94" s="33"/>
      <c r="D94" s="33"/>
      <c r="E94" s="33"/>
      <c r="F94" s="33"/>
      <c r="G94" s="33"/>
      <c r="H94" s="33"/>
      <c r="I94" s="33"/>
      <c r="J94" s="33"/>
      <c r="K94" s="33"/>
      <c r="L94" s="34"/>
      <c r="M94" s="34"/>
      <c r="N94" s="34"/>
      <c r="O94" s="34"/>
      <c r="P94" s="33"/>
      <c r="Q94" s="35"/>
      <c r="R94" s="33"/>
      <c r="S94" s="33"/>
      <c r="T94" s="33"/>
      <c r="U94" s="33"/>
      <c r="V94" s="33"/>
      <c r="W94" s="33"/>
    </row>
    <row r="95" customFormat="false" ht="15" hidden="false" customHeight="false" outlineLevel="0" collapsed="false">
      <c r="A95" s="33"/>
      <c r="B95" s="33"/>
      <c r="C95" s="33"/>
      <c r="D95" s="33"/>
      <c r="E95" s="33"/>
      <c r="F95" s="33"/>
      <c r="G95" s="33"/>
      <c r="H95" s="33"/>
      <c r="I95" s="33"/>
      <c r="J95" s="33"/>
      <c r="K95" s="33"/>
      <c r="L95" s="34"/>
      <c r="M95" s="34"/>
      <c r="N95" s="34"/>
      <c r="O95" s="34"/>
      <c r="P95" s="33"/>
      <c r="Q95" s="35"/>
      <c r="R95" s="33"/>
      <c r="S95" s="33"/>
      <c r="T95" s="33"/>
      <c r="U95" s="33"/>
      <c r="V95" s="33"/>
      <c r="W95" s="33"/>
    </row>
    <row r="96" customFormat="false" ht="15" hidden="false" customHeight="false" outlineLevel="0" collapsed="false">
      <c r="A96" s="33"/>
      <c r="B96" s="33"/>
      <c r="C96" s="33"/>
      <c r="D96" s="33"/>
      <c r="E96" s="33"/>
      <c r="F96" s="33"/>
      <c r="G96" s="33"/>
      <c r="H96" s="33"/>
      <c r="I96" s="33"/>
      <c r="J96" s="33"/>
      <c r="K96" s="33"/>
      <c r="L96" s="34"/>
      <c r="M96" s="34"/>
      <c r="N96" s="34"/>
      <c r="O96" s="34"/>
      <c r="P96" s="33"/>
      <c r="Q96" s="35"/>
      <c r="R96" s="33"/>
      <c r="S96" s="33"/>
      <c r="T96" s="33"/>
      <c r="U96" s="33"/>
      <c r="V96" s="33"/>
      <c r="W96" s="33"/>
    </row>
    <row r="97" customFormat="false" ht="15" hidden="false" customHeight="false" outlineLevel="0" collapsed="false">
      <c r="A97" s="33"/>
      <c r="B97" s="33"/>
      <c r="C97" s="33"/>
      <c r="D97" s="33"/>
      <c r="E97" s="33"/>
      <c r="F97" s="33"/>
      <c r="G97" s="33"/>
      <c r="H97" s="33"/>
      <c r="I97" s="33"/>
      <c r="J97" s="33"/>
      <c r="K97" s="33"/>
      <c r="L97" s="34"/>
      <c r="M97" s="34"/>
      <c r="N97" s="34"/>
      <c r="O97" s="34"/>
      <c r="P97" s="33"/>
      <c r="Q97" s="35"/>
      <c r="R97" s="33"/>
      <c r="S97" s="33"/>
      <c r="T97" s="33"/>
      <c r="U97" s="33"/>
      <c r="V97" s="33"/>
      <c r="W97" s="33"/>
    </row>
    <row r="98" customFormat="false" ht="15" hidden="false" customHeight="false" outlineLevel="0" collapsed="false">
      <c r="A98" s="33"/>
      <c r="B98" s="33"/>
      <c r="C98" s="33"/>
      <c r="D98" s="33"/>
      <c r="E98" s="33"/>
      <c r="F98" s="33"/>
      <c r="G98" s="33"/>
      <c r="H98" s="33"/>
      <c r="I98" s="33"/>
      <c r="J98" s="33"/>
      <c r="K98" s="33"/>
      <c r="L98" s="34"/>
      <c r="M98" s="34"/>
      <c r="N98" s="34"/>
      <c r="O98" s="34"/>
      <c r="P98" s="33"/>
      <c r="Q98" s="35"/>
      <c r="R98" s="33"/>
      <c r="S98" s="33"/>
      <c r="T98" s="33"/>
      <c r="U98" s="33"/>
      <c r="V98" s="33"/>
      <c r="W98" s="33"/>
    </row>
    <row r="99" customFormat="false" ht="15" hidden="false" customHeight="false" outlineLevel="0" collapsed="false">
      <c r="A99" s="33"/>
      <c r="B99" s="33"/>
      <c r="C99" s="33"/>
      <c r="D99" s="33"/>
      <c r="E99" s="33"/>
      <c r="F99" s="33"/>
      <c r="G99" s="33"/>
      <c r="H99" s="33"/>
      <c r="I99" s="33"/>
      <c r="J99" s="33"/>
      <c r="K99" s="33"/>
      <c r="L99" s="34"/>
      <c r="M99" s="34"/>
      <c r="N99" s="34"/>
      <c r="O99" s="34"/>
      <c r="P99" s="33"/>
      <c r="Q99" s="35"/>
      <c r="R99" s="33"/>
      <c r="S99" s="33"/>
      <c r="T99" s="33"/>
      <c r="U99" s="33"/>
      <c r="V99" s="33"/>
      <c r="W99" s="33"/>
    </row>
    <row r="100" customFormat="false" ht="15" hidden="false" customHeight="false" outlineLevel="0" collapsed="false">
      <c r="A100" s="33"/>
      <c r="B100" s="33"/>
      <c r="C100" s="33"/>
      <c r="D100" s="33"/>
      <c r="E100" s="33"/>
      <c r="F100" s="33"/>
      <c r="G100" s="33"/>
      <c r="H100" s="33"/>
      <c r="I100" s="33"/>
      <c r="J100" s="33"/>
      <c r="K100" s="33"/>
      <c r="L100" s="34"/>
      <c r="M100" s="34"/>
      <c r="N100" s="34"/>
      <c r="O100" s="34"/>
      <c r="P100" s="33"/>
      <c r="Q100" s="35"/>
      <c r="R100" s="33"/>
      <c r="S100" s="33"/>
      <c r="T100" s="33"/>
      <c r="U100" s="33"/>
      <c r="V100" s="33"/>
      <c r="W100" s="33"/>
    </row>
    <row r="101" customFormat="false" ht="15" hidden="false" customHeight="false" outlineLevel="0" collapsed="false">
      <c r="A101" s="33"/>
      <c r="B101" s="33"/>
      <c r="C101" s="33"/>
      <c r="D101" s="33"/>
      <c r="E101" s="33"/>
      <c r="F101" s="33"/>
      <c r="G101" s="33"/>
      <c r="H101" s="33"/>
      <c r="I101" s="33"/>
      <c r="J101" s="33"/>
      <c r="K101" s="33"/>
      <c r="L101" s="34"/>
      <c r="M101" s="34"/>
      <c r="N101" s="34"/>
      <c r="O101" s="34"/>
      <c r="P101" s="33"/>
      <c r="Q101" s="35"/>
      <c r="R101" s="33"/>
      <c r="S101" s="33"/>
      <c r="T101" s="33"/>
      <c r="U101" s="33"/>
      <c r="V101" s="33"/>
      <c r="W101" s="33"/>
    </row>
    <row r="102" customFormat="false" ht="15" hidden="false" customHeight="false" outlineLevel="0" collapsed="false">
      <c r="A102" s="33"/>
      <c r="B102" s="33"/>
      <c r="C102" s="33"/>
      <c r="D102" s="33"/>
      <c r="E102" s="33"/>
      <c r="F102" s="33"/>
      <c r="G102" s="33"/>
      <c r="H102" s="33"/>
      <c r="I102" s="33"/>
      <c r="J102" s="33"/>
      <c r="K102" s="33"/>
      <c r="L102" s="34"/>
      <c r="M102" s="34"/>
      <c r="N102" s="34"/>
      <c r="O102" s="34"/>
      <c r="P102" s="33"/>
      <c r="Q102" s="35"/>
      <c r="R102" s="33"/>
      <c r="S102" s="33"/>
      <c r="T102" s="33"/>
      <c r="U102" s="33"/>
      <c r="V102" s="33"/>
      <c r="W102" s="33"/>
    </row>
    <row r="103" customFormat="false" ht="15" hidden="false" customHeight="false" outlineLevel="0" collapsed="false">
      <c r="A103" s="33"/>
      <c r="B103" s="33"/>
      <c r="C103" s="33"/>
      <c r="D103" s="33"/>
      <c r="E103" s="33"/>
      <c r="F103" s="33"/>
      <c r="G103" s="33"/>
      <c r="H103" s="33"/>
      <c r="I103" s="33"/>
      <c r="J103" s="33"/>
      <c r="K103" s="33"/>
      <c r="L103" s="34"/>
      <c r="M103" s="34"/>
      <c r="N103" s="34"/>
      <c r="O103" s="34"/>
      <c r="P103" s="33"/>
      <c r="Q103" s="35"/>
      <c r="R103" s="33"/>
      <c r="S103" s="33"/>
      <c r="T103" s="33"/>
      <c r="U103" s="33"/>
      <c r="V103" s="33"/>
      <c r="W103" s="33"/>
    </row>
    <row r="104" customFormat="false" ht="15" hidden="false" customHeight="false" outlineLevel="0" collapsed="false">
      <c r="A104" s="33"/>
      <c r="B104" s="33"/>
      <c r="C104" s="33"/>
      <c r="D104" s="33"/>
      <c r="E104" s="33"/>
      <c r="F104" s="33"/>
      <c r="G104" s="33"/>
      <c r="H104" s="33"/>
      <c r="I104" s="33"/>
      <c r="J104" s="33"/>
      <c r="K104" s="33"/>
      <c r="L104" s="34"/>
      <c r="M104" s="34"/>
      <c r="N104" s="34"/>
      <c r="O104" s="34"/>
      <c r="P104" s="33"/>
      <c r="Q104" s="35"/>
      <c r="R104" s="33"/>
      <c r="S104" s="33"/>
      <c r="T104" s="33"/>
      <c r="U104" s="33"/>
      <c r="V104" s="33"/>
      <c r="W104" s="33"/>
    </row>
    <row r="105" customFormat="false" ht="15" hidden="false" customHeight="false" outlineLevel="0" collapsed="false">
      <c r="A105" s="33"/>
      <c r="B105" s="33"/>
      <c r="C105" s="33"/>
      <c r="D105" s="33"/>
      <c r="E105" s="33"/>
      <c r="F105" s="33"/>
      <c r="G105" s="33"/>
      <c r="H105" s="33"/>
      <c r="I105" s="33"/>
      <c r="J105" s="33"/>
      <c r="K105" s="33"/>
      <c r="L105" s="34"/>
      <c r="M105" s="34"/>
      <c r="N105" s="34"/>
      <c r="O105" s="34"/>
      <c r="P105" s="33"/>
      <c r="Q105" s="35"/>
      <c r="R105" s="33"/>
      <c r="S105" s="33"/>
      <c r="T105" s="33"/>
      <c r="U105" s="33"/>
      <c r="V105" s="33"/>
      <c r="W105" s="33"/>
    </row>
    <row r="106" customFormat="false" ht="15" hidden="false" customHeight="false" outlineLevel="0" collapsed="false">
      <c r="A106" s="33"/>
      <c r="B106" s="33"/>
      <c r="C106" s="33"/>
      <c r="D106" s="33"/>
      <c r="E106" s="33"/>
      <c r="F106" s="33"/>
      <c r="G106" s="33"/>
      <c r="H106" s="33"/>
      <c r="I106" s="33"/>
      <c r="J106" s="33"/>
      <c r="K106" s="33"/>
      <c r="L106" s="34"/>
      <c r="M106" s="34"/>
      <c r="N106" s="34"/>
      <c r="O106" s="34"/>
      <c r="P106" s="33"/>
      <c r="Q106" s="35"/>
      <c r="R106" s="33"/>
      <c r="S106" s="33"/>
      <c r="T106" s="33"/>
      <c r="U106" s="33"/>
      <c r="V106" s="33"/>
      <c r="W106" s="33"/>
    </row>
    <row r="107" customFormat="false" ht="15" hidden="false" customHeight="false" outlineLevel="0" collapsed="false">
      <c r="A107" s="33"/>
      <c r="B107" s="33"/>
      <c r="C107" s="33"/>
      <c r="D107" s="33"/>
      <c r="E107" s="33"/>
      <c r="F107" s="33"/>
      <c r="G107" s="33"/>
      <c r="H107" s="33"/>
      <c r="I107" s="33"/>
      <c r="J107" s="33"/>
      <c r="K107" s="33"/>
      <c r="L107" s="34"/>
      <c r="M107" s="34"/>
      <c r="N107" s="34"/>
      <c r="O107" s="34"/>
      <c r="P107" s="33"/>
      <c r="Q107" s="35"/>
      <c r="R107" s="33"/>
      <c r="S107" s="33"/>
      <c r="T107" s="33"/>
      <c r="U107" s="33"/>
      <c r="V107" s="33"/>
      <c r="W107" s="33"/>
    </row>
    <row r="108" customFormat="false" ht="15" hidden="false" customHeight="false" outlineLevel="0" collapsed="false">
      <c r="A108" s="33"/>
      <c r="B108" s="33"/>
      <c r="C108" s="33"/>
      <c r="D108" s="33"/>
      <c r="E108" s="33"/>
      <c r="F108" s="33"/>
      <c r="G108" s="33"/>
      <c r="H108" s="33"/>
      <c r="I108" s="33"/>
      <c r="J108" s="33"/>
      <c r="K108" s="33"/>
      <c r="L108" s="34"/>
      <c r="M108" s="34"/>
      <c r="N108" s="34"/>
      <c r="O108" s="34"/>
      <c r="P108" s="33"/>
      <c r="Q108" s="35"/>
      <c r="R108" s="33"/>
      <c r="S108" s="33"/>
      <c r="T108" s="33"/>
      <c r="U108" s="33"/>
      <c r="V108" s="33"/>
      <c r="W108" s="33"/>
    </row>
    <row r="109" customFormat="false" ht="15" hidden="false" customHeight="false" outlineLevel="0" collapsed="false">
      <c r="A109" s="33"/>
      <c r="B109" s="33"/>
      <c r="C109" s="33"/>
      <c r="D109" s="33"/>
      <c r="E109" s="33"/>
      <c r="F109" s="33"/>
      <c r="G109" s="33"/>
      <c r="H109" s="33"/>
      <c r="I109" s="33"/>
      <c r="J109" s="33"/>
      <c r="K109" s="33"/>
      <c r="L109" s="34"/>
      <c r="M109" s="34"/>
      <c r="N109" s="34"/>
      <c r="O109" s="34"/>
      <c r="P109" s="33"/>
      <c r="Q109" s="35"/>
      <c r="R109" s="33"/>
      <c r="S109" s="33"/>
      <c r="T109" s="33"/>
      <c r="U109" s="33"/>
      <c r="V109" s="33"/>
      <c r="W109" s="33"/>
    </row>
    <row r="110" customFormat="false" ht="15" hidden="false" customHeight="false" outlineLevel="0" collapsed="false">
      <c r="A110" s="33"/>
      <c r="B110" s="33"/>
      <c r="C110" s="33"/>
      <c r="D110" s="33"/>
      <c r="E110" s="33"/>
      <c r="F110" s="33"/>
      <c r="G110" s="33"/>
      <c r="H110" s="33"/>
      <c r="I110" s="33"/>
      <c r="J110" s="33"/>
      <c r="K110" s="33"/>
      <c r="L110" s="34"/>
      <c r="M110" s="34"/>
      <c r="N110" s="34"/>
      <c r="O110" s="34"/>
      <c r="P110" s="33"/>
      <c r="Q110" s="35"/>
      <c r="R110" s="33"/>
      <c r="S110" s="33"/>
      <c r="T110" s="33"/>
      <c r="U110" s="33"/>
      <c r="V110" s="33"/>
      <c r="W110" s="33"/>
    </row>
    <row r="111" customFormat="false" ht="15" hidden="false" customHeight="false" outlineLevel="0" collapsed="false">
      <c r="A111" s="33"/>
      <c r="B111" s="33"/>
      <c r="C111" s="33"/>
      <c r="D111" s="33"/>
      <c r="E111" s="33"/>
      <c r="F111" s="33"/>
      <c r="G111" s="33"/>
      <c r="H111" s="33"/>
      <c r="I111" s="33"/>
      <c r="J111" s="33"/>
      <c r="K111" s="33"/>
      <c r="L111" s="34"/>
      <c r="M111" s="34"/>
      <c r="N111" s="34"/>
      <c r="O111" s="34"/>
      <c r="P111" s="33"/>
      <c r="Q111" s="35"/>
      <c r="R111" s="33"/>
      <c r="S111" s="33"/>
      <c r="T111" s="33"/>
      <c r="U111" s="33"/>
      <c r="V111" s="33"/>
      <c r="W111" s="33"/>
    </row>
    <row r="112" customFormat="false" ht="15" hidden="false" customHeight="false" outlineLevel="0" collapsed="false">
      <c r="A112" s="33"/>
      <c r="B112" s="33"/>
      <c r="C112" s="33"/>
      <c r="D112" s="33"/>
      <c r="E112" s="33"/>
      <c r="F112" s="33"/>
      <c r="G112" s="33"/>
      <c r="H112" s="33"/>
      <c r="I112" s="33"/>
      <c r="J112" s="33"/>
      <c r="K112" s="33"/>
      <c r="L112" s="34"/>
      <c r="M112" s="34"/>
      <c r="N112" s="34"/>
      <c r="O112" s="34"/>
      <c r="P112" s="33"/>
      <c r="Q112" s="35"/>
      <c r="R112" s="33"/>
      <c r="S112" s="33"/>
      <c r="T112" s="33"/>
      <c r="U112" s="33"/>
      <c r="V112" s="33"/>
      <c r="W112" s="33"/>
    </row>
    <row r="113" customFormat="false" ht="15" hidden="false" customHeight="false" outlineLevel="0" collapsed="false">
      <c r="A113" s="33"/>
      <c r="B113" s="33"/>
      <c r="C113" s="33"/>
      <c r="D113" s="33"/>
      <c r="E113" s="33"/>
      <c r="F113" s="33"/>
      <c r="G113" s="33"/>
      <c r="H113" s="33"/>
      <c r="I113" s="33"/>
      <c r="J113" s="33"/>
      <c r="K113" s="33"/>
      <c r="L113" s="34"/>
      <c r="M113" s="34"/>
      <c r="N113" s="34"/>
      <c r="O113" s="34"/>
      <c r="P113" s="33"/>
      <c r="Q113" s="35"/>
      <c r="R113" s="33"/>
      <c r="S113" s="33"/>
      <c r="T113" s="33"/>
      <c r="U113" s="33"/>
      <c r="V113" s="33"/>
      <c r="W113" s="33"/>
    </row>
    <row r="114" customFormat="false" ht="15" hidden="false" customHeight="false" outlineLevel="0" collapsed="false">
      <c r="A114" s="33"/>
      <c r="B114" s="33"/>
      <c r="C114" s="33"/>
      <c r="D114" s="33"/>
      <c r="E114" s="33"/>
      <c r="F114" s="33"/>
      <c r="G114" s="33"/>
      <c r="H114" s="33"/>
      <c r="I114" s="33"/>
      <c r="J114" s="33"/>
      <c r="K114" s="33"/>
      <c r="L114" s="34"/>
      <c r="M114" s="34"/>
      <c r="N114" s="34"/>
      <c r="O114" s="34"/>
      <c r="P114" s="33"/>
      <c r="Q114" s="35"/>
      <c r="R114" s="33"/>
      <c r="S114" s="33"/>
      <c r="T114" s="33"/>
      <c r="U114" s="33"/>
      <c r="V114" s="33"/>
      <c r="W114" s="33"/>
    </row>
    <row r="115" customFormat="false" ht="15" hidden="false" customHeight="false" outlineLevel="0" collapsed="false">
      <c r="A115" s="33"/>
      <c r="B115" s="33"/>
      <c r="C115" s="33"/>
      <c r="D115" s="33"/>
      <c r="E115" s="33"/>
      <c r="F115" s="33"/>
      <c r="G115" s="33"/>
      <c r="H115" s="33"/>
      <c r="I115" s="33"/>
      <c r="J115" s="33"/>
      <c r="K115" s="33"/>
      <c r="L115" s="34"/>
      <c r="M115" s="34"/>
      <c r="N115" s="34"/>
      <c r="O115" s="34"/>
      <c r="P115" s="33"/>
      <c r="Q115" s="35"/>
      <c r="R115" s="33"/>
      <c r="S115" s="33"/>
      <c r="T115" s="33"/>
      <c r="U115" s="33"/>
      <c r="V115" s="33"/>
      <c r="W115" s="33"/>
    </row>
    <row r="116" customFormat="false" ht="15" hidden="false" customHeight="false" outlineLevel="0" collapsed="false">
      <c r="A116" s="33"/>
      <c r="B116" s="33"/>
      <c r="C116" s="33"/>
      <c r="D116" s="33"/>
      <c r="E116" s="33"/>
      <c r="F116" s="33"/>
      <c r="G116" s="33"/>
      <c r="H116" s="33"/>
      <c r="I116" s="33"/>
      <c r="J116" s="33"/>
      <c r="K116" s="33"/>
      <c r="L116" s="34"/>
      <c r="M116" s="34"/>
      <c r="N116" s="34"/>
      <c r="O116" s="34"/>
      <c r="P116" s="33"/>
      <c r="Q116" s="35"/>
      <c r="R116" s="33"/>
      <c r="S116" s="33"/>
      <c r="T116" s="33"/>
      <c r="U116" s="33"/>
      <c r="V116" s="33"/>
      <c r="W116" s="33"/>
    </row>
    <row r="117" customFormat="false" ht="15" hidden="false" customHeight="false" outlineLevel="0" collapsed="false">
      <c r="A117" s="33"/>
      <c r="B117" s="33"/>
      <c r="C117" s="33"/>
      <c r="D117" s="33"/>
      <c r="E117" s="33"/>
      <c r="F117" s="33"/>
      <c r="G117" s="33"/>
      <c r="H117" s="33"/>
      <c r="I117" s="33"/>
      <c r="J117" s="33"/>
      <c r="K117" s="33"/>
      <c r="L117" s="34"/>
      <c r="M117" s="34"/>
      <c r="N117" s="34"/>
      <c r="O117" s="34"/>
      <c r="P117" s="33"/>
      <c r="Q117" s="35"/>
      <c r="R117" s="33"/>
      <c r="S117" s="33"/>
      <c r="T117" s="33"/>
      <c r="U117" s="33"/>
      <c r="V117" s="33"/>
      <c r="W117" s="33"/>
    </row>
    <row r="118" customFormat="false" ht="15" hidden="false" customHeight="false" outlineLevel="0" collapsed="false">
      <c r="A118" s="33"/>
      <c r="B118" s="33"/>
      <c r="C118" s="33"/>
      <c r="D118" s="33"/>
      <c r="E118" s="33"/>
      <c r="F118" s="33"/>
      <c r="G118" s="33"/>
      <c r="H118" s="33"/>
      <c r="I118" s="33"/>
      <c r="J118" s="33"/>
      <c r="K118" s="33"/>
      <c r="L118" s="34"/>
      <c r="M118" s="34"/>
      <c r="N118" s="34"/>
      <c r="O118" s="34"/>
      <c r="P118" s="33"/>
      <c r="Q118" s="35"/>
      <c r="R118" s="33"/>
      <c r="S118" s="33"/>
      <c r="T118" s="33"/>
      <c r="U118" s="33"/>
      <c r="V118" s="33"/>
      <c r="W118" s="33"/>
    </row>
    <row r="119" customFormat="false" ht="15" hidden="false" customHeight="false" outlineLevel="0" collapsed="false">
      <c r="A119" s="33"/>
      <c r="B119" s="33"/>
      <c r="C119" s="33"/>
      <c r="D119" s="33"/>
      <c r="E119" s="33"/>
      <c r="F119" s="33"/>
      <c r="G119" s="33"/>
      <c r="H119" s="33"/>
      <c r="I119" s="33"/>
      <c r="J119" s="33"/>
      <c r="K119" s="33"/>
      <c r="L119" s="34"/>
      <c r="M119" s="34"/>
      <c r="N119" s="34"/>
      <c r="O119" s="34"/>
      <c r="P119" s="33"/>
      <c r="Q119" s="35"/>
      <c r="R119" s="33"/>
      <c r="S119" s="33"/>
      <c r="T119" s="33"/>
      <c r="U119" s="33"/>
      <c r="V119" s="33"/>
      <c r="W119" s="33"/>
    </row>
    <row r="120" customFormat="false" ht="15" hidden="false" customHeight="false" outlineLevel="0" collapsed="false">
      <c r="A120" s="33"/>
      <c r="B120" s="33"/>
      <c r="C120" s="33"/>
      <c r="D120" s="33"/>
      <c r="E120" s="33"/>
      <c r="F120" s="33"/>
      <c r="G120" s="33"/>
      <c r="H120" s="33"/>
      <c r="I120" s="33"/>
      <c r="J120" s="33"/>
      <c r="K120" s="33"/>
      <c r="L120" s="34"/>
      <c r="M120" s="34"/>
      <c r="N120" s="34"/>
      <c r="O120" s="34"/>
      <c r="P120" s="33"/>
      <c r="Q120" s="35"/>
      <c r="R120" s="33"/>
      <c r="S120" s="33"/>
      <c r="T120" s="33"/>
      <c r="U120" s="33"/>
      <c r="V120" s="33"/>
      <c r="W120" s="33"/>
    </row>
    <row r="121" customFormat="false" ht="15" hidden="false" customHeight="false" outlineLevel="0" collapsed="false">
      <c r="A121" s="33"/>
      <c r="B121" s="33"/>
      <c r="C121" s="33"/>
      <c r="D121" s="33"/>
      <c r="E121" s="33"/>
      <c r="F121" s="33"/>
      <c r="G121" s="33"/>
      <c r="H121" s="33"/>
      <c r="I121" s="33"/>
      <c r="J121" s="33"/>
      <c r="K121" s="33"/>
      <c r="L121" s="34"/>
      <c r="M121" s="34"/>
      <c r="N121" s="34"/>
      <c r="O121" s="34"/>
      <c r="P121" s="33"/>
      <c r="Q121" s="35"/>
      <c r="R121" s="33"/>
      <c r="S121" s="33"/>
      <c r="T121" s="33"/>
      <c r="U121" s="33"/>
      <c r="V121" s="33"/>
      <c r="W121" s="33"/>
    </row>
    <row r="122" customFormat="false" ht="15" hidden="false" customHeight="false" outlineLevel="0" collapsed="false">
      <c r="A122" s="33"/>
      <c r="B122" s="33"/>
      <c r="C122" s="33"/>
      <c r="D122" s="33"/>
      <c r="E122" s="33"/>
      <c r="F122" s="33"/>
      <c r="G122" s="33"/>
      <c r="H122" s="33"/>
      <c r="I122" s="33"/>
      <c r="J122" s="33"/>
      <c r="K122" s="33"/>
      <c r="L122" s="34"/>
      <c r="M122" s="34"/>
      <c r="N122" s="34"/>
      <c r="O122" s="34"/>
      <c r="P122" s="33"/>
      <c r="Q122" s="35"/>
      <c r="R122" s="33"/>
      <c r="S122" s="33"/>
      <c r="T122" s="33"/>
      <c r="U122" s="33"/>
      <c r="V122" s="33"/>
      <c r="W122" s="33"/>
    </row>
    <row r="123" customFormat="false" ht="15" hidden="false" customHeight="false" outlineLevel="0" collapsed="false">
      <c r="A123" s="33"/>
      <c r="B123" s="33"/>
      <c r="C123" s="33"/>
      <c r="D123" s="33"/>
      <c r="E123" s="33"/>
      <c r="F123" s="33"/>
      <c r="G123" s="33"/>
      <c r="H123" s="33"/>
      <c r="I123" s="33"/>
      <c r="J123" s="33"/>
      <c r="K123" s="33"/>
      <c r="L123" s="34"/>
      <c r="M123" s="34"/>
      <c r="N123" s="34"/>
      <c r="O123" s="34"/>
      <c r="P123" s="33"/>
      <c r="Q123" s="35"/>
      <c r="R123" s="33"/>
      <c r="S123" s="33"/>
      <c r="T123" s="33"/>
      <c r="U123" s="33"/>
      <c r="V123" s="33"/>
      <c r="W123" s="33"/>
    </row>
    <row r="124" customFormat="false" ht="15" hidden="false" customHeight="false" outlineLevel="0" collapsed="false">
      <c r="A124" s="33"/>
      <c r="B124" s="33"/>
      <c r="C124" s="33"/>
      <c r="D124" s="33"/>
      <c r="E124" s="33"/>
      <c r="F124" s="33"/>
      <c r="G124" s="33"/>
      <c r="H124" s="33"/>
      <c r="I124" s="33"/>
      <c r="J124" s="33"/>
      <c r="K124" s="33"/>
      <c r="L124" s="34"/>
      <c r="M124" s="34"/>
      <c r="N124" s="34"/>
      <c r="O124" s="34"/>
      <c r="P124" s="33"/>
      <c r="Q124" s="35"/>
      <c r="R124" s="33"/>
      <c r="S124" s="33"/>
      <c r="T124" s="33"/>
      <c r="U124" s="33"/>
      <c r="V124" s="33"/>
      <c r="W124" s="33"/>
    </row>
    <row r="125" customFormat="false" ht="15" hidden="false" customHeight="false" outlineLevel="0" collapsed="false">
      <c r="A125" s="33"/>
      <c r="B125" s="33"/>
      <c r="C125" s="33"/>
      <c r="D125" s="33"/>
      <c r="E125" s="33"/>
      <c r="F125" s="33"/>
      <c r="G125" s="33"/>
      <c r="H125" s="33"/>
      <c r="I125" s="33"/>
      <c r="J125" s="33"/>
      <c r="K125" s="33"/>
      <c r="L125" s="34"/>
      <c r="M125" s="34"/>
      <c r="N125" s="34"/>
      <c r="O125" s="34"/>
      <c r="P125" s="33"/>
      <c r="Q125" s="35"/>
      <c r="R125" s="33"/>
      <c r="S125" s="33"/>
      <c r="T125" s="33"/>
      <c r="U125" s="33"/>
      <c r="V125" s="33"/>
      <c r="W125" s="33"/>
    </row>
    <row r="126" customFormat="false" ht="15" hidden="false" customHeight="false" outlineLevel="0" collapsed="false">
      <c r="A126" s="33"/>
      <c r="B126" s="33"/>
      <c r="C126" s="33"/>
      <c r="D126" s="33"/>
      <c r="E126" s="33"/>
      <c r="F126" s="33"/>
      <c r="G126" s="33"/>
      <c r="H126" s="33"/>
      <c r="I126" s="33"/>
      <c r="J126" s="33"/>
      <c r="K126" s="33"/>
      <c r="L126" s="34"/>
      <c r="M126" s="34"/>
      <c r="N126" s="34"/>
      <c r="O126" s="34"/>
      <c r="P126" s="33"/>
      <c r="Q126" s="35"/>
      <c r="R126" s="33"/>
      <c r="S126" s="33"/>
      <c r="T126" s="33"/>
      <c r="U126" s="33"/>
      <c r="V126" s="33"/>
      <c r="W126" s="33"/>
    </row>
    <row r="127" customFormat="false" ht="15" hidden="false" customHeight="false" outlineLevel="0" collapsed="false">
      <c r="A127" s="33"/>
      <c r="B127" s="33"/>
      <c r="C127" s="33"/>
      <c r="D127" s="33"/>
      <c r="E127" s="33"/>
      <c r="F127" s="33"/>
      <c r="G127" s="33"/>
      <c r="H127" s="33"/>
      <c r="I127" s="33"/>
      <c r="J127" s="33"/>
      <c r="K127" s="33"/>
      <c r="L127" s="34"/>
      <c r="M127" s="34"/>
      <c r="N127" s="34"/>
      <c r="O127" s="34"/>
      <c r="P127" s="33"/>
      <c r="Q127" s="35"/>
      <c r="R127" s="33"/>
      <c r="S127" s="33"/>
      <c r="T127" s="33"/>
      <c r="U127" s="33"/>
      <c r="V127" s="33"/>
      <c r="W127" s="33"/>
    </row>
    <row r="128" customFormat="false" ht="15" hidden="false" customHeight="false" outlineLevel="0" collapsed="false">
      <c r="A128" s="33"/>
      <c r="B128" s="33"/>
      <c r="C128" s="33"/>
      <c r="D128" s="33"/>
      <c r="E128" s="33"/>
      <c r="F128" s="33"/>
      <c r="G128" s="33"/>
      <c r="H128" s="33"/>
      <c r="I128" s="33"/>
      <c r="J128" s="33"/>
      <c r="K128" s="33"/>
      <c r="L128" s="34"/>
      <c r="M128" s="34"/>
      <c r="N128" s="34"/>
      <c r="O128" s="34"/>
      <c r="P128" s="33"/>
      <c r="Q128" s="35"/>
      <c r="R128" s="33"/>
      <c r="S128" s="33"/>
      <c r="T128" s="33"/>
      <c r="U128" s="33"/>
      <c r="V128" s="33"/>
      <c r="W128" s="33"/>
    </row>
    <row r="129" customFormat="false" ht="15" hidden="false" customHeight="false" outlineLevel="0" collapsed="false">
      <c r="A129" s="33"/>
      <c r="B129" s="33"/>
      <c r="C129" s="33"/>
      <c r="D129" s="33"/>
      <c r="E129" s="33"/>
      <c r="F129" s="33"/>
      <c r="G129" s="33"/>
      <c r="H129" s="33"/>
      <c r="I129" s="33"/>
      <c r="J129" s="33"/>
      <c r="K129" s="33"/>
      <c r="L129" s="34"/>
      <c r="M129" s="34"/>
      <c r="N129" s="34"/>
      <c r="O129" s="34"/>
      <c r="P129" s="33"/>
      <c r="Q129" s="35"/>
      <c r="R129" s="33"/>
      <c r="S129" s="33"/>
      <c r="T129" s="33"/>
      <c r="U129" s="33"/>
      <c r="V129" s="33"/>
      <c r="W129" s="33"/>
    </row>
    <row r="130" customFormat="false" ht="15" hidden="false" customHeight="false" outlineLevel="0" collapsed="false">
      <c r="A130" s="33"/>
      <c r="B130" s="33"/>
      <c r="C130" s="33"/>
      <c r="D130" s="33"/>
      <c r="E130" s="33"/>
      <c r="F130" s="33"/>
      <c r="G130" s="33"/>
      <c r="H130" s="33"/>
      <c r="I130" s="33"/>
      <c r="J130" s="33"/>
      <c r="K130" s="33"/>
      <c r="L130" s="34"/>
      <c r="M130" s="34"/>
      <c r="N130" s="34"/>
      <c r="O130" s="34"/>
      <c r="P130" s="33"/>
      <c r="Q130" s="35"/>
      <c r="R130" s="33"/>
      <c r="S130" s="33"/>
      <c r="T130" s="33"/>
      <c r="U130" s="33"/>
      <c r="V130" s="33"/>
      <c r="W130" s="33"/>
    </row>
    <row r="131" customFormat="false" ht="15" hidden="false" customHeight="false" outlineLevel="0" collapsed="false">
      <c r="A131" s="33"/>
      <c r="B131" s="33"/>
      <c r="C131" s="33"/>
      <c r="D131" s="33"/>
      <c r="E131" s="33"/>
      <c r="F131" s="33"/>
      <c r="G131" s="33"/>
      <c r="H131" s="33"/>
      <c r="I131" s="33"/>
      <c r="J131" s="33"/>
      <c r="K131" s="33"/>
      <c r="L131" s="34"/>
      <c r="M131" s="34"/>
      <c r="N131" s="34"/>
      <c r="O131" s="34"/>
      <c r="P131" s="33"/>
      <c r="Q131" s="35"/>
      <c r="R131" s="33"/>
      <c r="S131" s="33"/>
      <c r="T131" s="33"/>
      <c r="U131" s="33"/>
      <c r="V131" s="33"/>
      <c r="W131" s="33"/>
    </row>
    <row r="132" customFormat="false" ht="15" hidden="false" customHeight="false" outlineLevel="0" collapsed="false">
      <c r="A132" s="33"/>
      <c r="B132" s="33"/>
      <c r="C132" s="33"/>
      <c r="D132" s="33"/>
      <c r="E132" s="33"/>
      <c r="F132" s="33"/>
      <c r="G132" s="33"/>
      <c r="H132" s="33"/>
      <c r="I132" s="33"/>
      <c r="J132" s="33"/>
      <c r="K132" s="33"/>
      <c r="L132" s="34"/>
      <c r="M132" s="34"/>
      <c r="N132" s="34"/>
      <c r="O132" s="34"/>
      <c r="P132" s="33"/>
      <c r="Q132" s="35"/>
      <c r="R132" s="33"/>
      <c r="S132" s="33"/>
      <c r="T132" s="33"/>
      <c r="U132" s="33"/>
      <c r="V132" s="33"/>
      <c r="W132" s="33"/>
    </row>
    <row r="133" customFormat="false" ht="15" hidden="false" customHeight="false" outlineLevel="0" collapsed="false">
      <c r="A133" s="33"/>
      <c r="B133" s="33"/>
      <c r="C133" s="33"/>
      <c r="D133" s="33"/>
      <c r="E133" s="33"/>
      <c r="F133" s="33"/>
      <c r="G133" s="33"/>
      <c r="H133" s="33"/>
      <c r="I133" s="33"/>
      <c r="J133" s="33"/>
      <c r="K133" s="33"/>
      <c r="L133" s="34"/>
      <c r="M133" s="34"/>
      <c r="N133" s="34"/>
      <c r="O133" s="34"/>
      <c r="P133" s="33"/>
      <c r="Q133" s="35"/>
      <c r="R133" s="33"/>
      <c r="S133" s="33"/>
      <c r="T133" s="33"/>
      <c r="U133" s="33"/>
      <c r="V133" s="33"/>
      <c r="W133" s="33"/>
    </row>
    <row r="134" customFormat="false" ht="15" hidden="false" customHeight="false" outlineLevel="0" collapsed="false">
      <c r="A134" s="33"/>
      <c r="B134" s="33"/>
      <c r="C134" s="33"/>
      <c r="D134" s="33"/>
      <c r="E134" s="33"/>
      <c r="F134" s="33"/>
      <c r="G134" s="33"/>
      <c r="H134" s="33"/>
      <c r="I134" s="33"/>
      <c r="J134" s="33"/>
      <c r="K134" s="33"/>
      <c r="L134" s="34"/>
      <c r="M134" s="34"/>
      <c r="N134" s="34"/>
      <c r="O134" s="34"/>
      <c r="P134" s="33"/>
      <c r="Q134" s="35"/>
      <c r="R134" s="33"/>
      <c r="S134" s="33"/>
      <c r="T134" s="33"/>
      <c r="U134" s="33"/>
      <c r="V134" s="33"/>
      <c r="W134" s="33"/>
    </row>
    <row r="135" customFormat="false" ht="15" hidden="false" customHeight="false" outlineLevel="0" collapsed="false">
      <c r="A135" s="33"/>
      <c r="B135" s="33"/>
      <c r="C135" s="33"/>
      <c r="D135" s="33"/>
      <c r="E135" s="33"/>
      <c r="F135" s="33"/>
      <c r="G135" s="33"/>
      <c r="H135" s="33"/>
      <c r="I135" s="33"/>
      <c r="J135" s="33"/>
      <c r="K135" s="33"/>
      <c r="L135" s="34"/>
      <c r="M135" s="34"/>
      <c r="N135" s="34"/>
      <c r="O135" s="34"/>
      <c r="P135" s="33"/>
      <c r="Q135" s="35"/>
      <c r="R135" s="33"/>
      <c r="S135" s="33"/>
      <c r="T135" s="33"/>
      <c r="U135" s="33"/>
      <c r="V135" s="33"/>
      <c r="W135" s="33"/>
    </row>
    <row r="136" customFormat="false" ht="15" hidden="false" customHeight="false" outlineLevel="0" collapsed="false">
      <c r="A136" s="33"/>
      <c r="B136" s="33"/>
      <c r="C136" s="33"/>
      <c r="D136" s="33"/>
      <c r="E136" s="33"/>
      <c r="F136" s="33"/>
      <c r="G136" s="33"/>
      <c r="H136" s="33"/>
      <c r="I136" s="33"/>
      <c r="J136" s="33"/>
      <c r="K136" s="33"/>
      <c r="L136" s="34"/>
      <c r="M136" s="34"/>
      <c r="N136" s="34"/>
      <c r="O136" s="34"/>
      <c r="P136" s="33"/>
      <c r="Q136" s="35"/>
      <c r="R136" s="33"/>
      <c r="S136" s="33"/>
      <c r="T136" s="33"/>
      <c r="U136" s="33"/>
      <c r="V136" s="33"/>
      <c r="W136" s="33"/>
    </row>
    <row r="137" customFormat="false" ht="15" hidden="false" customHeight="false" outlineLevel="0" collapsed="false">
      <c r="A137" s="33"/>
      <c r="B137" s="33"/>
      <c r="C137" s="33"/>
      <c r="D137" s="33"/>
      <c r="E137" s="33"/>
      <c r="F137" s="33"/>
      <c r="G137" s="33"/>
      <c r="H137" s="33"/>
      <c r="I137" s="33"/>
      <c r="J137" s="33"/>
      <c r="K137" s="33"/>
      <c r="L137" s="34"/>
      <c r="M137" s="34"/>
      <c r="N137" s="34"/>
      <c r="O137" s="34"/>
      <c r="P137" s="33"/>
      <c r="Q137" s="35"/>
      <c r="R137" s="33"/>
      <c r="S137" s="33"/>
      <c r="T137" s="33"/>
      <c r="U137" s="33"/>
      <c r="V137" s="33"/>
      <c r="W137" s="33"/>
    </row>
    <row r="138" customFormat="false" ht="15" hidden="false" customHeight="false" outlineLevel="0" collapsed="false">
      <c r="A138" s="33"/>
      <c r="B138" s="33"/>
      <c r="C138" s="33"/>
      <c r="D138" s="33"/>
      <c r="E138" s="33"/>
      <c r="F138" s="33"/>
      <c r="G138" s="33"/>
      <c r="H138" s="33"/>
      <c r="I138" s="33"/>
      <c r="J138" s="33"/>
      <c r="K138" s="33"/>
      <c r="L138" s="34"/>
      <c r="M138" s="34"/>
      <c r="N138" s="34"/>
      <c r="O138" s="34"/>
      <c r="P138" s="33"/>
      <c r="Q138" s="35"/>
      <c r="R138" s="33"/>
      <c r="S138" s="33"/>
      <c r="T138" s="33"/>
      <c r="U138" s="33"/>
      <c r="V138" s="33"/>
      <c r="W138" s="33"/>
    </row>
    <row r="139" customFormat="false" ht="15" hidden="false" customHeight="false" outlineLevel="0" collapsed="false">
      <c r="A139" s="33"/>
      <c r="B139" s="33"/>
      <c r="C139" s="33"/>
      <c r="D139" s="33"/>
      <c r="E139" s="33"/>
      <c r="F139" s="33"/>
      <c r="G139" s="33"/>
      <c r="H139" s="33"/>
      <c r="I139" s="33"/>
      <c r="J139" s="33"/>
      <c r="K139" s="33"/>
      <c r="L139" s="34"/>
      <c r="M139" s="34"/>
      <c r="N139" s="34"/>
      <c r="O139" s="34"/>
      <c r="P139" s="33"/>
      <c r="Q139" s="35"/>
      <c r="R139" s="33"/>
      <c r="S139" s="33"/>
      <c r="T139" s="33"/>
      <c r="U139" s="33"/>
      <c r="V139" s="33"/>
      <c r="W139" s="33"/>
    </row>
    <row r="140" customFormat="false" ht="15" hidden="false" customHeight="false" outlineLevel="0" collapsed="false">
      <c r="A140" s="33"/>
      <c r="B140" s="33"/>
      <c r="C140" s="33"/>
      <c r="D140" s="33"/>
      <c r="E140" s="33"/>
      <c r="F140" s="33"/>
      <c r="G140" s="33"/>
      <c r="H140" s="33"/>
      <c r="I140" s="33"/>
      <c r="J140" s="33"/>
      <c r="K140" s="33"/>
      <c r="L140" s="34"/>
      <c r="M140" s="34"/>
      <c r="N140" s="34"/>
      <c r="O140" s="34"/>
      <c r="P140" s="33"/>
      <c r="Q140" s="35"/>
      <c r="R140" s="33"/>
      <c r="S140" s="33"/>
      <c r="T140" s="33"/>
      <c r="U140" s="33"/>
      <c r="V140" s="33"/>
      <c r="W140" s="33"/>
    </row>
    <row r="141" customFormat="false" ht="15" hidden="false" customHeight="false" outlineLevel="0" collapsed="false">
      <c r="A141" s="33"/>
      <c r="B141" s="33"/>
      <c r="C141" s="33"/>
      <c r="D141" s="33"/>
      <c r="E141" s="33"/>
      <c r="F141" s="33"/>
      <c r="G141" s="33"/>
      <c r="H141" s="33"/>
      <c r="I141" s="33"/>
      <c r="J141" s="33"/>
      <c r="K141" s="33"/>
      <c r="L141" s="34"/>
      <c r="M141" s="34"/>
      <c r="N141" s="34"/>
      <c r="O141" s="34"/>
      <c r="P141" s="33"/>
      <c r="Q141" s="35"/>
      <c r="R141" s="33"/>
      <c r="S141" s="33"/>
      <c r="T141" s="33"/>
      <c r="U141" s="33"/>
      <c r="V141" s="33"/>
      <c r="W141" s="33"/>
    </row>
    <row r="142" customFormat="false" ht="15" hidden="false" customHeight="false" outlineLevel="0" collapsed="false">
      <c r="A142" s="33"/>
      <c r="B142" s="33"/>
      <c r="C142" s="33"/>
      <c r="D142" s="33"/>
      <c r="E142" s="33"/>
      <c r="F142" s="33"/>
      <c r="G142" s="33"/>
      <c r="H142" s="33"/>
      <c r="I142" s="33"/>
      <c r="J142" s="33"/>
      <c r="K142" s="33"/>
      <c r="L142" s="34"/>
      <c r="M142" s="34"/>
      <c r="N142" s="34"/>
      <c r="O142" s="34"/>
      <c r="P142" s="33"/>
      <c r="Q142" s="35"/>
      <c r="R142" s="33"/>
      <c r="S142" s="33"/>
      <c r="T142" s="33"/>
      <c r="U142" s="33"/>
      <c r="V142" s="33"/>
      <c r="W142" s="33"/>
    </row>
    <row r="143" customFormat="false" ht="15" hidden="false" customHeight="false" outlineLevel="0" collapsed="false">
      <c r="A143" s="33"/>
      <c r="B143" s="33"/>
      <c r="C143" s="33"/>
      <c r="D143" s="33"/>
      <c r="E143" s="33"/>
      <c r="F143" s="33"/>
      <c r="G143" s="33"/>
      <c r="H143" s="33"/>
      <c r="I143" s="33"/>
      <c r="J143" s="33"/>
      <c r="K143" s="33"/>
      <c r="L143" s="34"/>
      <c r="M143" s="34"/>
      <c r="N143" s="34"/>
      <c r="O143" s="34"/>
      <c r="P143" s="33"/>
      <c r="Q143" s="35"/>
      <c r="R143" s="33"/>
      <c r="S143" s="33"/>
      <c r="T143" s="33"/>
      <c r="U143" s="33"/>
      <c r="V143" s="33"/>
      <c r="W143" s="33"/>
    </row>
    <row r="144" customFormat="false" ht="15" hidden="false" customHeight="false" outlineLevel="0" collapsed="false">
      <c r="A144" s="33"/>
      <c r="B144" s="33"/>
      <c r="C144" s="33"/>
      <c r="D144" s="33"/>
      <c r="E144" s="33"/>
      <c r="F144" s="33"/>
      <c r="G144" s="33"/>
      <c r="H144" s="33"/>
      <c r="I144" s="33"/>
      <c r="J144" s="33"/>
      <c r="K144" s="33"/>
      <c r="L144" s="34"/>
      <c r="M144" s="34"/>
      <c r="N144" s="34"/>
      <c r="O144" s="34"/>
      <c r="P144" s="33"/>
      <c r="Q144" s="35"/>
      <c r="R144" s="33"/>
      <c r="S144" s="33"/>
      <c r="T144" s="33"/>
      <c r="U144" s="33"/>
      <c r="V144" s="33"/>
      <c r="W144" s="33"/>
    </row>
    <row r="145" customFormat="false" ht="15" hidden="false" customHeight="false" outlineLevel="0" collapsed="false">
      <c r="A145" s="33"/>
      <c r="B145" s="33"/>
      <c r="C145" s="33"/>
      <c r="D145" s="33"/>
      <c r="E145" s="33"/>
      <c r="F145" s="33"/>
      <c r="G145" s="33"/>
      <c r="H145" s="33"/>
      <c r="I145" s="33"/>
      <c r="J145" s="33"/>
      <c r="K145" s="33"/>
      <c r="L145" s="34"/>
      <c r="M145" s="34"/>
      <c r="N145" s="34"/>
      <c r="O145" s="34"/>
      <c r="P145" s="33"/>
      <c r="Q145" s="35"/>
      <c r="R145" s="33"/>
      <c r="S145" s="33"/>
      <c r="T145" s="33"/>
      <c r="U145" s="33"/>
      <c r="V145" s="33"/>
      <c r="W145" s="33"/>
    </row>
    <row r="146" customFormat="false" ht="15" hidden="false" customHeight="false" outlineLevel="0" collapsed="false">
      <c r="A146" s="33"/>
      <c r="B146" s="33"/>
      <c r="C146" s="33"/>
      <c r="D146" s="33"/>
      <c r="E146" s="33"/>
      <c r="F146" s="33"/>
      <c r="G146" s="33"/>
      <c r="H146" s="33"/>
      <c r="I146" s="33"/>
      <c r="J146" s="33"/>
      <c r="K146" s="33"/>
      <c r="L146" s="34"/>
      <c r="M146" s="34"/>
      <c r="N146" s="34"/>
      <c r="O146" s="34"/>
      <c r="P146" s="33"/>
      <c r="Q146" s="35"/>
      <c r="R146" s="33"/>
      <c r="S146" s="33"/>
      <c r="T146" s="33"/>
      <c r="U146" s="33"/>
      <c r="V146" s="33"/>
      <c r="W146" s="33"/>
    </row>
    <row r="147" customFormat="false" ht="15" hidden="false" customHeight="false" outlineLevel="0" collapsed="false">
      <c r="A147" s="33"/>
      <c r="B147" s="33"/>
      <c r="C147" s="33"/>
      <c r="D147" s="33"/>
      <c r="E147" s="33"/>
      <c r="F147" s="33"/>
      <c r="G147" s="33"/>
      <c r="H147" s="33"/>
      <c r="I147" s="33"/>
      <c r="J147" s="33"/>
      <c r="K147" s="33"/>
      <c r="L147" s="34"/>
      <c r="M147" s="34"/>
      <c r="N147" s="34"/>
      <c r="O147" s="34"/>
      <c r="P147" s="33"/>
      <c r="Q147" s="35"/>
      <c r="R147" s="33"/>
      <c r="S147" s="33"/>
      <c r="T147" s="33"/>
      <c r="U147" s="33"/>
      <c r="V147" s="33"/>
      <c r="W147" s="33"/>
    </row>
    <row r="148" customFormat="false" ht="15" hidden="false" customHeight="false" outlineLevel="0" collapsed="false">
      <c r="A148" s="33"/>
      <c r="B148" s="33"/>
      <c r="C148" s="33"/>
      <c r="D148" s="33"/>
      <c r="E148" s="33"/>
      <c r="F148" s="33"/>
      <c r="G148" s="33"/>
      <c r="H148" s="33"/>
      <c r="I148" s="33"/>
      <c r="J148" s="33"/>
      <c r="K148" s="33"/>
      <c r="L148" s="34"/>
      <c r="M148" s="34"/>
      <c r="N148" s="34"/>
      <c r="O148" s="34"/>
      <c r="P148" s="33"/>
      <c r="Q148" s="35"/>
      <c r="R148" s="33"/>
      <c r="S148" s="33"/>
      <c r="T148" s="33"/>
      <c r="U148" s="33"/>
      <c r="V148" s="33"/>
      <c r="W148" s="33"/>
    </row>
    <row r="149" customFormat="false" ht="15" hidden="false" customHeight="false" outlineLevel="0" collapsed="false">
      <c r="A149" s="33"/>
      <c r="B149" s="33"/>
      <c r="C149" s="33"/>
      <c r="D149" s="33"/>
      <c r="E149" s="33"/>
      <c r="F149" s="33"/>
      <c r="G149" s="33"/>
      <c r="H149" s="33"/>
      <c r="I149" s="33"/>
      <c r="J149" s="33"/>
      <c r="K149" s="33"/>
      <c r="L149" s="34"/>
      <c r="M149" s="34"/>
      <c r="N149" s="34"/>
      <c r="O149" s="34"/>
      <c r="P149" s="33"/>
      <c r="Q149" s="35"/>
      <c r="R149" s="33"/>
      <c r="S149" s="33"/>
      <c r="T149" s="33"/>
      <c r="U149" s="33"/>
      <c r="V149" s="33"/>
      <c r="W149" s="33"/>
    </row>
    <row r="150" customFormat="false" ht="15" hidden="false" customHeight="false" outlineLevel="0" collapsed="false">
      <c r="A150" s="33"/>
      <c r="B150" s="33"/>
      <c r="C150" s="33"/>
      <c r="D150" s="33"/>
      <c r="E150" s="33"/>
      <c r="F150" s="33"/>
      <c r="G150" s="33"/>
      <c r="H150" s="33"/>
      <c r="I150" s="33"/>
      <c r="J150" s="33"/>
      <c r="K150" s="33"/>
      <c r="L150" s="34"/>
      <c r="M150" s="34"/>
      <c r="N150" s="34"/>
      <c r="O150" s="34"/>
      <c r="P150" s="33"/>
      <c r="Q150" s="35"/>
      <c r="R150" s="33"/>
      <c r="S150" s="33"/>
      <c r="T150" s="33"/>
      <c r="U150" s="33"/>
      <c r="V150" s="33"/>
      <c r="W150" s="33"/>
    </row>
    <row r="151" customFormat="false" ht="15" hidden="false" customHeight="false" outlineLevel="0" collapsed="false">
      <c r="A151" s="33"/>
      <c r="B151" s="33"/>
      <c r="C151" s="33"/>
      <c r="D151" s="33"/>
      <c r="E151" s="33"/>
      <c r="F151" s="33"/>
      <c r="G151" s="33"/>
      <c r="H151" s="33"/>
      <c r="I151" s="33"/>
      <c r="J151" s="33"/>
      <c r="K151" s="33"/>
      <c r="L151" s="34"/>
      <c r="M151" s="34"/>
      <c r="N151" s="34"/>
      <c r="O151" s="34"/>
      <c r="P151" s="33"/>
      <c r="Q151" s="35"/>
      <c r="R151" s="33"/>
      <c r="S151" s="33"/>
      <c r="T151" s="33"/>
      <c r="U151" s="33"/>
      <c r="V151" s="33"/>
      <c r="W151" s="33"/>
    </row>
    <row r="152" customFormat="false" ht="15" hidden="false" customHeight="false" outlineLevel="0" collapsed="false">
      <c r="A152" s="33"/>
      <c r="B152" s="33"/>
      <c r="C152" s="33"/>
      <c r="D152" s="33"/>
      <c r="E152" s="33"/>
      <c r="F152" s="33"/>
      <c r="G152" s="33"/>
      <c r="H152" s="33"/>
      <c r="I152" s="33"/>
      <c r="J152" s="33"/>
      <c r="K152" s="33"/>
      <c r="L152" s="34"/>
      <c r="M152" s="34"/>
      <c r="N152" s="34"/>
      <c r="O152" s="34"/>
      <c r="P152" s="33"/>
      <c r="Q152" s="35"/>
      <c r="R152" s="33"/>
      <c r="S152" s="33"/>
      <c r="T152" s="33"/>
      <c r="U152" s="33"/>
      <c r="V152" s="33"/>
      <c r="W152" s="33"/>
    </row>
    <row r="153" customFormat="false" ht="15" hidden="false" customHeight="false" outlineLevel="0" collapsed="false">
      <c r="A153" s="33"/>
      <c r="B153" s="33"/>
      <c r="C153" s="33"/>
      <c r="D153" s="33"/>
      <c r="E153" s="33"/>
      <c r="F153" s="33"/>
      <c r="G153" s="33"/>
      <c r="H153" s="33"/>
      <c r="I153" s="33"/>
      <c r="J153" s="33"/>
      <c r="K153" s="33"/>
      <c r="L153" s="34"/>
      <c r="M153" s="34"/>
      <c r="N153" s="34"/>
      <c r="O153" s="34"/>
      <c r="P153" s="33"/>
      <c r="Q153" s="35"/>
      <c r="R153" s="33"/>
      <c r="S153" s="33"/>
      <c r="T153" s="33"/>
      <c r="U153" s="33"/>
      <c r="V153" s="33"/>
      <c r="W153" s="33"/>
    </row>
    <row r="154" customFormat="false" ht="15" hidden="false" customHeight="false" outlineLevel="0" collapsed="false">
      <c r="A154" s="33"/>
      <c r="B154" s="33"/>
      <c r="C154" s="33"/>
      <c r="D154" s="33"/>
      <c r="E154" s="33"/>
      <c r="F154" s="33"/>
      <c r="G154" s="33"/>
      <c r="H154" s="33"/>
      <c r="I154" s="33"/>
      <c r="J154" s="33"/>
      <c r="K154" s="33"/>
      <c r="L154" s="34"/>
      <c r="M154" s="34"/>
      <c r="N154" s="34"/>
      <c r="O154" s="34"/>
      <c r="P154" s="33"/>
      <c r="Q154" s="35"/>
      <c r="R154" s="33"/>
      <c r="S154" s="33"/>
      <c r="T154" s="33"/>
      <c r="U154" s="33"/>
      <c r="V154" s="33"/>
      <c r="W154" s="33"/>
    </row>
    <row r="155" customFormat="false" ht="15" hidden="false" customHeight="false" outlineLevel="0" collapsed="false">
      <c r="A155" s="33"/>
      <c r="B155" s="33"/>
      <c r="C155" s="33"/>
      <c r="D155" s="33"/>
      <c r="E155" s="33"/>
      <c r="F155" s="33"/>
      <c r="G155" s="33"/>
      <c r="H155" s="33"/>
      <c r="I155" s="33"/>
      <c r="J155" s="33"/>
      <c r="K155" s="33"/>
      <c r="L155" s="34"/>
      <c r="M155" s="34"/>
      <c r="N155" s="34"/>
      <c r="O155" s="34"/>
      <c r="P155" s="33"/>
      <c r="Q155" s="35"/>
      <c r="R155" s="33"/>
      <c r="S155" s="33"/>
      <c r="T155" s="33"/>
      <c r="U155" s="33"/>
      <c r="V155" s="33"/>
      <c r="W155" s="33"/>
    </row>
    <row r="156" customFormat="false" ht="15" hidden="false" customHeight="false" outlineLevel="0" collapsed="false">
      <c r="A156" s="33"/>
      <c r="B156" s="33"/>
      <c r="C156" s="33"/>
      <c r="D156" s="33"/>
      <c r="E156" s="33"/>
      <c r="F156" s="33"/>
      <c r="G156" s="33"/>
      <c r="H156" s="33"/>
      <c r="I156" s="33"/>
      <c r="J156" s="33"/>
      <c r="K156" s="33"/>
      <c r="L156" s="34"/>
      <c r="M156" s="34"/>
      <c r="N156" s="34"/>
      <c r="O156" s="34"/>
      <c r="P156" s="33"/>
      <c r="Q156" s="35"/>
      <c r="R156" s="33"/>
      <c r="S156" s="33"/>
      <c r="T156" s="33"/>
      <c r="U156" s="33"/>
      <c r="V156" s="33"/>
      <c r="W156" s="33"/>
    </row>
    <row r="157" customFormat="false" ht="15" hidden="false" customHeight="false" outlineLevel="0" collapsed="false">
      <c r="A157" s="33"/>
      <c r="B157" s="33"/>
      <c r="C157" s="33"/>
      <c r="D157" s="33"/>
      <c r="E157" s="33"/>
      <c r="F157" s="33"/>
      <c r="G157" s="33"/>
      <c r="H157" s="33"/>
      <c r="I157" s="33"/>
      <c r="J157" s="33"/>
      <c r="K157" s="33"/>
      <c r="L157" s="34"/>
      <c r="M157" s="34"/>
      <c r="N157" s="34"/>
      <c r="O157" s="34"/>
      <c r="P157" s="33"/>
      <c r="Q157" s="35"/>
      <c r="R157" s="33"/>
      <c r="S157" s="33"/>
      <c r="T157" s="33"/>
      <c r="U157" s="33"/>
      <c r="V157" s="33"/>
      <c r="W157" s="33"/>
    </row>
    <row r="158" customFormat="false" ht="15" hidden="false" customHeight="false" outlineLevel="0" collapsed="false">
      <c r="A158" s="33"/>
      <c r="B158" s="33"/>
      <c r="C158" s="33"/>
      <c r="D158" s="33"/>
      <c r="E158" s="33"/>
      <c r="F158" s="33"/>
      <c r="G158" s="33"/>
      <c r="H158" s="33"/>
      <c r="I158" s="33"/>
      <c r="J158" s="33"/>
      <c r="K158" s="33"/>
      <c r="L158" s="34"/>
      <c r="M158" s="34"/>
      <c r="N158" s="34"/>
      <c r="O158" s="34"/>
      <c r="P158" s="33"/>
      <c r="Q158" s="35"/>
      <c r="R158" s="33"/>
      <c r="S158" s="33"/>
      <c r="T158" s="33"/>
      <c r="U158" s="33"/>
      <c r="V158" s="33"/>
      <c r="W158" s="33"/>
    </row>
    <row r="159" customFormat="false" ht="15" hidden="false" customHeight="false" outlineLevel="0" collapsed="false">
      <c r="A159" s="33"/>
      <c r="B159" s="33"/>
      <c r="C159" s="33"/>
      <c r="D159" s="33"/>
      <c r="E159" s="33"/>
      <c r="F159" s="33"/>
      <c r="G159" s="33"/>
      <c r="H159" s="33"/>
      <c r="I159" s="33"/>
      <c r="J159" s="33"/>
      <c r="K159" s="33"/>
      <c r="L159" s="34"/>
      <c r="M159" s="34"/>
      <c r="N159" s="34"/>
      <c r="O159" s="34"/>
      <c r="P159" s="33"/>
      <c r="Q159" s="35"/>
      <c r="R159" s="33"/>
      <c r="S159" s="33"/>
      <c r="T159" s="33"/>
      <c r="U159" s="33"/>
      <c r="V159" s="33"/>
      <c r="W159" s="33"/>
    </row>
    <row r="160" customFormat="false" ht="15" hidden="false" customHeight="false" outlineLevel="0" collapsed="false">
      <c r="A160" s="33"/>
      <c r="B160" s="33"/>
      <c r="C160" s="33"/>
      <c r="D160" s="33"/>
      <c r="E160" s="33"/>
      <c r="F160" s="33"/>
      <c r="G160" s="33"/>
      <c r="H160" s="33"/>
      <c r="I160" s="33"/>
      <c r="J160" s="33"/>
      <c r="K160" s="33"/>
      <c r="L160" s="34"/>
      <c r="M160" s="34"/>
      <c r="N160" s="34"/>
      <c r="O160" s="34"/>
      <c r="P160" s="33"/>
      <c r="Q160" s="35"/>
      <c r="R160" s="33"/>
      <c r="S160" s="33"/>
      <c r="T160" s="33"/>
      <c r="U160" s="33"/>
      <c r="V160" s="33"/>
      <c r="W160" s="33"/>
    </row>
    <row r="161" customFormat="false" ht="15" hidden="false" customHeight="false" outlineLevel="0" collapsed="false">
      <c r="A161" s="33"/>
      <c r="B161" s="33"/>
      <c r="C161" s="33"/>
      <c r="D161" s="33"/>
      <c r="E161" s="33"/>
      <c r="F161" s="33"/>
      <c r="G161" s="33"/>
      <c r="H161" s="33"/>
      <c r="I161" s="33"/>
      <c r="J161" s="33"/>
      <c r="K161" s="33"/>
      <c r="L161" s="34"/>
      <c r="M161" s="34"/>
      <c r="N161" s="34"/>
      <c r="O161" s="34"/>
      <c r="P161" s="33"/>
      <c r="Q161" s="35"/>
      <c r="R161" s="33"/>
      <c r="S161" s="33"/>
      <c r="T161" s="33"/>
      <c r="U161" s="33"/>
      <c r="V161" s="33"/>
      <c r="W161" s="33"/>
    </row>
    <row r="162" customFormat="false" ht="15" hidden="false" customHeight="false" outlineLevel="0" collapsed="false">
      <c r="A162" s="33"/>
      <c r="B162" s="33"/>
      <c r="C162" s="33"/>
      <c r="D162" s="33"/>
      <c r="E162" s="33"/>
      <c r="F162" s="33"/>
      <c r="G162" s="33"/>
      <c r="H162" s="33"/>
      <c r="I162" s="33"/>
      <c r="J162" s="33"/>
      <c r="K162" s="33"/>
      <c r="L162" s="34"/>
      <c r="M162" s="34"/>
      <c r="N162" s="34"/>
      <c r="O162" s="34"/>
      <c r="P162" s="33"/>
      <c r="Q162" s="35"/>
      <c r="R162" s="33"/>
      <c r="S162" s="33"/>
      <c r="T162" s="33"/>
      <c r="U162" s="33"/>
      <c r="V162" s="33"/>
      <c r="W162" s="33"/>
    </row>
    <row r="163" customFormat="false" ht="15" hidden="false" customHeight="false" outlineLevel="0" collapsed="false">
      <c r="A163" s="33"/>
      <c r="B163" s="33"/>
      <c r="C163" s="33"/>
      <c r="D163" s="33"/>
      <c r="E163" s="33"/>
      <c r="F163" s="33"/>
      <c r="G163" s="33"/>
      <c r="H163" s="33"/>
      <c r="I163" s="33"/>
      <c r="J163" s="33"/>
      <c r="K163" s="33"/>
      <c r="L163" s="34"/>
      <c r="M163" s="34"/>
      <c r="N163" s="34"/>
      <c r="O163" s="34"/>
      <c r="P163" s="33"/>
      <c r="Q163" s="35"/>
      <c r="R163" s="33"/>
      <c r="S163" s="33"/>
      <c r="T163" s="33"/>
      <c r="U163" s="33"/>
      <c r="V163" s="33"/>
      <c r="W163" s="33"/>
    </row>
    <row r="164" customFormat="false" ht="15" hidden="false" customHeight="false" outlineLevel="0" collapsed="false">
      <c r="A164" s="33"/>
      <c r="B164" s="33"/>
      <c r="C164" s="33"/>
      <c r="D164" s="33"/>
      <c r="E164" s="33"/>
      <c r="F164" s="33"/>
      <c r="G164" s="33"/>
      <c r="H164" s="33"/>
      <c r="I164" s="33"/>
      <c r="J164" s="33"/>
      <c r="K164" s="33"/>
      <c r="L164" s="34"/>
      <c r="M164" s="34"/>
      <c r="N164" s="34"/>
      <c r="O164" s="34"/>
      <c r="P164" s="33"/>
      <c r="Q164" s="35"/>
      <c r="R164" s="33"/>
      <c r="S164" s="33"/>
      <c r="T164" s="33"/>
      <c r="U164" s="33"/>
      <c r="V164" s="33"/>
      <c r="W164" s="33"/>
    </row>
    <row r="165" customFormat="false" ht="15" hidden="false" customHeight="false" outlineLevel="0" collapsed="false">
      <c r="A165" s="33"/>
      <c r="B165" s="33"/>
      <c r="C165" s="33"/>
      <c r="D165" s="33"/>
      <c r="E165" s="33"/>
      <c r="F165" s="33"/>
      <c r="G165" s="33"/>
      <c r="H165" s="33"/>
      <c r="I165" s="33"/>
      <c r="J165" s="33"/>
      <c r="K165" s="33"/>
      <c r="L165" s="34"/>
      <c r="M165" s="34"/>
      <c r="N165" s="34"/>
      <c r="O165" s="34"/>
      <c r="P165" s="33"/>
      <c r="Q165" s="35"/>
      <c r="R165" s="33"/>
      <c r="S165" s="33"/>
      <c r="T165" s="33"/>
      <c r="U165" s="33"/>
      <c r="V165" s="33"/>
      <c r="W165" s="33"/>
    </row>
    <row r="166" customFormat="false" ht="15" hidden="false" customHeight="false" outlineLevel="0" collapsed="false">
      <c r="A166" s="33"/>
      <c r="B166" s="33"/>
      <c r="C166" s="33"/>
      <c r="D166" s="33"/>
      <c r="E166" s="33"/>
      <c r="F166" s="33"/>
      <c r="G166" s="33"/>
      <c r="H166" s="33"/>
      <c r="I166" s="33"/>
      <c r="J166" s="33"/>
      <c r="K166" s="33"/>
      <c r="L166" s="34"/>
      <c r="M166" s="34"/>
      <c r="N166" s="34"/>
      <c r="O166" s="34"/>
      <c r="P166" s="33"/>
      <c r="Q166" s="35"/>
      <c r="R166" s="33"/>
      <c r="S166" s="33"/>
      <c r="T166" s="33"/>
      <c r="U166" s="33"/>
      <c r="V166" s="33"/>
      <c r="W166" s="33"/>
    </row>
    <row r="167" customFormat="false" ht="15" hidden="false" customHeight="false" outlineLevel="0" collapsed="false">
      <c r="A167" s="33"/>
      <c r="B167" s="33"/>
      <c r="C167" s="33"/>
      <c r="D167" s="33"/>
      <c r="E167" s="33"/>
      <c r="F167" s="33"/>
      <c r="G167" s="33"/>
      <c r="H167" s="33"/>
      <c r="I167" s="33"/>
      <c r="J167" s="33"/>
      <c r="K167" s="33"/>
      <c r="L167" s="34"/>
      <c r="M167" s="34"/>
      <c r="N167" s="34"/>
      <c r="O167" s="34"/>
      <c r="P167" s="33"/>
      <c r="Q167" s="35"/>
      <c r="R167" s="33"/>
      <c r="S167" s="33"/>
      <c r="T167" s="33"/>
      <c r="U167" s="33"/>
      <c r="V167" s="33"/>
      <c r="W167" s="33"/>
    </row>
    <row r="168" customFormat="false" ht="15" hidden="false" customHeight="false" outlineLevel="0" collapsed="false">
      <c r="A168" s="33"/>
      <c r="B168" s="33"/>
      <c r="C168" s="33"/>
      <c r="D168" s="33"/>
      <c r="E168" s="33"/>
      <c r="F168" s="33"/>
      <c r="G168" s="33"/>
      <c r="H168" s="33"/>
      <c r="I168" s="33"/>
      <c r="J168" s="33"/>
      <c r="K168" s="33"/>
      <c r="L168" s="34"/>
      <c r="M168" s="34"/>
      <c r="N168" s="34"/>
      <c r="O168" s="34"/>
      <c r="P168" s="33"/>
      <c r="Q168" s="35"/>
      <c r="R168" s="33"/>
      <c r="S168" s="33"/>
      <c r="T168" s="33"/>
      <c r="U168" s="33"/>
      <c r="V168" s="33"/>
      <c r="W168" s="33"/>
    </row>
    <row r="169" customFormat="false" ht="15" hidden="false" customHeight="false" outlineLevel="0" collapsed="false">
      <c r="A169" s="33"/>
      <c r="B169" s="33"/>
      <c r="C169" s="33"/>
      <c r="D169" s="33"/>
      <c r="E169" s="33"/>
      <c r="F169" s="33"/>
      <c r="G169" s="33"/>
      <c r="H169" s="33"/>
      <c r="I169" s="33"/>
      <c r="J169" s="33"/>
      <c r="K169" s="33"/>
      <c r="L169" s="34"/>
      <c r="M169" s="34"/>
      <c r="N169" s="34"/>
      <c r="O169" s="34"/>
      <c r="P169" s="33"/>
      <c r="Q169" s="35"/>
      <c r="R169" s="33"/>
      <c r="S169" s="33"/>
      <c r="T169" s="33"/>
      <c r="U169" s="33"/>
      <c r="V169" s="33"/>
      <c r="W169" s="33"/>
    </row>
    <row r="170" customFormat="false" ht="15" hidden="false" customHeight="false" outlineLevel="0" collapsed="false">
      <c r="A170" s="33"/>
      <c r="B170" s="33"/>
      <c r="C170" s="33"/>
      <c r="D170" s="33"/>
      <c r="E170" s="33"/>
      <c r="F170" s="33"/>
      <c r="G170" s="33"/>
      <c r="H170" s="33"/>
      <c r="I170" s="33"/>
      <c r="J170" s="33"/>
      <c r="K170" s="33"/>
      <c r="L170" s="34"/>
      <c r="M170" s="34"/>
      <c r="N170" s="34"/>
      <c r="O170" s="34"/>
      <c r="P170" s="33"/>
      <c r="Q170" s="35"/>
      <c r="R170" s="33"/>
      <c r="S170" s="33"/>
      <c r="T170" s="33"/>
      <c r="U170" s="33"/>
      <c r="V170" s="33"/>
      <c r="W170" s="33"/>
    </row>
    <row r="171" customFormat="false" ht="15" hidden="false" customHeight="false" outlineLevel="0" collapsed="false">
      <c r="A171" s="33"/>
      <c r="B171" s="33"/>
      <c r="C171" s="33"/>
      <c r="D171" s="33"/>
      <c r="E171" s="33"/>
      <c r="F171" s="33"/>
      <c r="G171" s="33"/>
      <c r="H171" s="33"/>
      <c r="I171" s="33"/>
      <c r="J171" s="33"/>
      <c r="K171" s="33"/>
      <c r="L171" s="34"/>
      <c r="M171" s="34"/>
      <c r="N171" s="34"/>
      <c r="O171" s="34"/>
      <c r="P171" s="33"/>
      <c r="Q171" s="35"/>
      <c r="R171" s="33"/>
      <c r="S171" s="33"/>
      <c r="T171" s="33"/>
      <c r="U171" s="33"/>
      <c r="V171" s="33"/>
      <c r="W171" s="33"/>
    </row>
    <row r="172" customFormat="false" ht="15" hidden="false" customHeight="false" outlineLevel="0" collapsed="false">
      <c r="A172" s="33"/>
      <c r="B172" s="33"/>
      <c r="C172" s="33"/>
      <c r="D172" s="33"/>
      <c r="E172" s="33"/>
      <c r="F172" s="33"/>
      <c r="G172" s="33"/>
      <c r="H172" s="33"/>
      <c r="I172" s="33"/>
      <c r="J172" s="33"/>
      <c r="K172" s="33"/>
      <c r="L172" s="34"/>
      <c r="M172" s="34"/>
      <c r="N172" s="34"/>
      <c r="O172" s="34"/>
      <c r="P172" s="33"/>
      <c r="Q172" s="35"/>
      <c r="R172" s="33"/>
      <c r="S172" s="33"/>
      <c r="T172" s="33"/>
      <c r="U172" s="33"/>
      <c r="V172" s="33"/>
      <c r="W172" s="33"/>
    </row>
    <row r="173" customFormat="false" ht="15" hidden="false" customHeight="false" outlineLevel="0" collapsed="false">
      <c r="A173" s="33"/>
      <c r="B173" s="33"/>
      <c r="C173" s="33"/>
      <c r="D173" s="33"/>
      <c r="E173" s="33"/>
      <c r="F173" s="33"/>
      <c r="G173" s="33"/>
      <c r="H173" s="33"/>
      <c r="I173" s="33"/>
      <c r="J173" s="33"/>
      <c r="K173" s="33"/>
      <c r="L173" s="34"/>
      <c r="M173" s="34"/>
      <c r="N173" s="34"/>
      <c r="O173" s="34"/>
      <c r="P173" s="33"/>
      <c r="Q173" s="35"/>
      <c r="R173" s="33"/>
      <c r="S173" s="33"/>
      <c r="T173" s="33"/>
      <c r="U173" s="33"/>
      <c r="V173" s="33"/>
      <c r="W173" s="33"/>
    </row>
    <row r="174" customFormat="false" ht="15" hidden="false" customHeight="false" outlineLevel="0" collapsed="false">
      <c r="A174" s="33"/>
      <c r="B174" s="33"/>
      <c r="C174" s="33"/>
      <c r="D174" s="33"/>
      <c r="E174" s="33"/>
      <c r="F174" s="33"/>
      <c r="G174" s="33"/>
      <c r="H174" s="33"/>
      <c r="I174" s="33"/>
      <c r="J174" s="33"/>
      <c r="K174" s="33"/>
      <c r="L174" s="34"/>
      <c r="M174" s="34"/>
      <c r="N174" s="34"/>
      <c r="O174" s="34"/>
      <c r="P174" s="33"/>
      <c r="Q174" s="35"/>
      <c r="R174" s="33"/>
      <c r="S174" s="33"/>
      <c r="T174" s="33"/>
      <c r="U174" s="33"/>
      <c r="V174" s="33"/>
      <c r="W174" s="33"/>
    </row>
    <row r="175" customFormat="false" ht="15" hidden="false" customHeight="false" outlineLevel="0" collapsed="false">
      <c r="A175" s="33"/>
      <c r="B175" s="33"/>
      <c r="C175" s="33"/>
      <c r="D175" s="33"/>
      <c r="E175" s="33"/>
      <c r="F175" s="33"/>
      <c r="G175" s="33"/>
      <c r="H175" s="33"/>
      <c r="I175" s="33"/>
      <c r="J175" s="33"/>
      <c r="K175" s="33"/>
      <c r="L175" s="34"/>
      <c r="M175" s="34"/>
      <c r="N175" s="34"/>
      <c r="O175" s="34"/>
      <c r="P175" s="33"/>
      <c r="Q175" s="35"/>
      <c r="R175" s="33"/>
      <c r="S175" s="33"/>
      <c r="T175" s="33"/>
      <c r="U175" s="33"/>
      <c r="V175" s="33"/>
      <c r="W175" s="33"/>
    </row>
    <row r="176" customFormat="false" ht="15" hidden="false" customHeight="false" outlineLevel="0" collapsed="false">
      <c r="A176" s="33"/>
      <c r="B176" s="33"/>
      <c r="C176" s="33"/>
      <c r="D176" s="33"/>
      <c r="E176" s="33"/>
      <c r="F176" s="33"/>
      <c r="G176" s="33"/>
      <c r="H176" s="33"/>
      <c r="I176" s="33"/>
      <c r="J176" s="33"/>
      <c r="K176" s="33"/>
      <c r="L176" s="34"/>
      <c r="M176" s="34"/>
      <c r="N176" s="34"/>
      <c r="O176" s="34"/>
      <c r="P176" s="33"/>
      <c r="Q176" s="35"/>
      <c r="R176" s="33"/>
      <c r="S176" s="33"/>
      <c r="T176" s="33"/>
      <c r="U176" s="33"/>
      <c r="V176" s="33"/>
      <c r="W176" s="33"/>
    </row>
    <row r="177" customFormat="false" ht="15" hidden="false" customHeight="false" outlineLevel="0" collapsed="false">
      <c r="A177" s="33"/>
      <c r="B177" s="33"/>
      <c r="C177" s="33"/>
      <c r="D177" s="33"/>
      <c r="E177" s="33"/>
      <c r="F177" s="33"/>
      <c r="G177" s="33"/>
      <c r="H177" s="33"/>
      <c r="I177" s="33"/>
      <c r="J177" s="33"/>
      <c r="K177" s="33"/>
      <c r="L177" s="34"/>
      <c r="M177" s="34"/>
      <c r="N177" s="34"/>
      <c r="O177" s="34"/>
      <c r="P177" s="33"/>
      <c r="Q177" s="35"/>
      <c r="R177" s="33"/>
      <c r="S177" s="33"/>
      <c r="T177" s="33"/>
      <c r="U177" s="33"/>
      <c r="V177" s="33"/>
      <c r="W177" s="33"/>
    </row>
    <row r="178" customFormat="false" ht="15" hidden="false" customHeight="false" outlineLevel="0" collapsed="false">
      <c r="A178" s="33"/>
      <c r="B178" s="33"/>
      <c r="C178" s="33"/>
      <c r="D178" s="33"/>
      <c r="E178" s="33"/>
      <c r="F178" s="33"/>
      <c r="G178" s="33"/>
      <c r="H178" s="33"/>
      <c r="I178" s="33"/>
      <c r="J178" s="33"/>
      <c r="K178" s="33"/>
      <c r="L178" s="34"/>
      <c r="M178" s="34"/>
      <c r="N178" s="34"/>
      <c r="O178" s="34"/>
      <c r="P178" s="33"/>
      <c r="Q178" s="35"/>
      <c r="R178" s="33"/>
      <c r="S178" s="33"/>
      <c r="T178" s="33"/>
      <c r="U178" s="33"/>
      <c r="V178" s="33"/>
      <c r="W178" s="33"/>
    </row>
    <row r="179" customFormat="false" ht="15" hidden="false" customHeight="false" outlineLevel="0" collapsed="false">
      <c r="A179" s="33"/>
      <c r="B179" s="33"/>
      <c r="C179" s="33"/>
      <c r="D179" s="33"/>
      <c r="E179" s="33"/>
      <c r="F179" s="33"/>
      <c r="G179" s="33"/>
      <c r="H179" s="33"/>
      <c r="I179" s="33"/>
      <c r="J179" s="33"/>
      <c r="K179" s="33"/>
      <c r="L179" s="34"/>
      <c r="M179" s="34"/>
      <c r="N179" s="34"/>
      <c r="O179" s="34"/>
      <c r="P179" s="33"/>
      <c r="Q179" s="35"/>
      <c r="R179" s="33"/>
      <c r="S179" s="33"/>
      <c r="T179" s="33"/>
      <c r="U179" s="33"/>
      <c r="V179" s="33"/>
      <c r="W179" s="33"/>
    </row>
    <row r="180" customFormat="false" ht="15" hidden="false" customHeight="false" outlineLevel="0" collapsed="false">
      <c r="A180" s="33"/>
      <c r="B180" s="33"/>
      <c r="C180" s="33"/>
      <c r="D180" s="33"/>
      <c r="E180" s="33"/>
      <c r="F180" s="33"/>
      <c r="G180" s="33"/>
      <c r="H180" s="33"/>
      <c r="I180" s="33"/>
      <c r="J180" s="33"/>
      <c r="K180" s="33"/>
      <c r="L180" s="34"/>
      <c r="M180" s="34"/>
      <c r="N180" s="34"/>
      <c r="O180" s="34"/>
      <c r="P180" s="33"/>
      <c r="Q180" s="35"/>
      <c r="R180" s="33"/>
      <c r="S180" s="33"/>
      <c r="T180" s="33"/>
      <c r="U180" s="33"/>
      <c r="V180" s="33"/>
      <c r="W180" s="33"/>
    </row>
    <row r="181" customFormat="false" ht="15" hidden="false" customHeight="false" outlineLevel="0" collapsed="false">
      <c r="A181" s="33"/>
      <c r="B181" s="33"/>
      <c r="C181" s="33"/>
      <c r="D181" s="33"/>
      <c r="E181" s="33"/>
      <c r="F181" s="33"/>
      <c r="G181" s="33"/>
      <c r="H181" s="33"/>
      <c r="I181" s="33"/>
      <c r="J181" s="33"/>
      <c r="K181" s="33"/>
      <c r="L181" s="34"/>
      <c r="M181" s="34"/>
      <c r="N181" s="34"/>
      <c r="O181" s="34"/>
      <c r="P181" s="33"/>
      <c r="Q181" s="35"/>
      <c r="R181" s="33"/>
      <c r="S181" s="33"/>
      <c r="T181" s="33"/>
      <c r="U181" s="33"/>
      <c r="V181" s="33"/>
      <c r="W181" s="33"/>
    </row>
    <row r="182" customFormat="false" ht="15" hidden="false" customHeight="false" outlineLevel="0" collapsed="false">
      <c r="A182" s="33"/>
      <c r="B182" s="33"/>
      <c r="C182" s="33"/>
      <c r="D182" s="33"/>
      <c r="E182" s="33"/>
      <c r="F182" s="33"/>
      <c r="G182" s="33"/>
      <c r="H182" s="33"/>
      <c r="I182" s="33"/>
      <c r="J182" s="33"/>
      <c r="K182" s="33"/>
      <c r="L182" s="34"/>
      <c r="M182" s="34"/>
      <c r="N182" s="34"/>
      <c r="O182" s="34"/>
      <c r="P182" s="33"/>
      <c r="Q182" s="35"/>
      <c r="R182" s="33"/>
      <c r="S182" s="33"/>
      <c r="T182" s="33"/>
      <c r="U182" s="33"/>
      <c r="V182" s="33"/>
      <c r="W182" s="33"/>
    </row>
    <row r="183" customFormat="false" ht="15" hidden="false" customHeight="false" outlineLevel="0" collapsed="false">
      <c r="A183" s="33"/>
      <c r="B183" s="33"/>
      <c r="C183" s="33"/>
      <c r="D183" s="33"/>
      <c r="E183" s="33"/>
      <c r="F183" s="33"/>
      <c r="G183" s="33"/>
      <c r="H183" s="33"/>
      <c r="I183" s="33"/>
      <c r="J183" s="33"/>
      <c r="K183" s="33"/>
      <c r="L183" s="34"/>
      <c r="M183" s="34"/>
      <c r="N183" s="34"/>
      <c r="O183" s="34"/>
      <c r="P183" s="33"/>
      <c r="Q183" s="35"/>
      <c r="R183" s="33"/>
      <c r="S183" s="33"/>
      <c r="T183" s="33"/>
      <c r="U183" s="33"/>
      <c r="V183" s="33"/>
      <c r="W183" s="33"/>
    </row>
    <row r="184" customFormat="false" ht="15" hidden="false" customHeight="false" outlineLevel="0" collapsed="false">
      <c r="A184" s="33"/>
      <c r="B184" s="33"/>
      <c r="C184" s="33"/>
      <c r="D184" s="33"/>
      <c r="E184" s="33"/>
      <c r="F184" s="33"/>
      <c r="G184" s="33"/>
      <c r="H184" s="33"/>
      <c r="I184" s="33"/>
      <c r="J184" s="33"/>
      <c r="K184" s="33"/>
      <c r="L184" s="34"/>
      <c r="M184" s="34"/>
      <c r="N184" s="34"/>
      <c r="O184" s="34"/>
      <c r="P184" s="33"/>
      <c r="Q184" s="35"/>
      <c r="R184" s="33"/>
      <c r="S184" s="33"/>
      <c r="T184" s="33"/>
      <c r="U184" s="33"/>
      <c r="V184" s="33"/>
      <c r="W184" s="33"/>
    </row>
    <row r="185" customFormat="false" ht="15" hidden="false" customHeight="false" outlineLevel="0" collapsed="false">
      <c r="A185" s="33"/>
      <c r="B185" s="33"/>
      <c r="C185" s="33"/>
      <c r="D185" s="33"/>
      <c r="E185" s="33"/>
      <c r="F185" s="33"/>
      <c r="G185" s="33"/>
      <c r="H185" s="33"/>
      <c r="I185" s="33"/>
      <c r="J185" s="33"/>
      <c r="K185" s="33"/>
      <c r="L185" s="34"/>
      <c r="M185" s="34"/>
      <c r="N185" s="34"/>
      <c r="O185" s="34"/>
      <c r="P185" s="33"/>
      <c r="Q185" s="35"/>
      <c r="R185" s="33"/>
      <c r="S185" s="33"/>
      <c r="T185" s="33"/>
      <c r="U185" s="33"/>
      <c r="V185" s="33"/>
      <c r="W185" s="33"/>
    </row>
    <row r="186" customFormat="false" ht="15" hidden="false" customHeight="false" outlineLevel="0" collapsed="false">
      <c r="A186" s="33"/>
      <c r="B186" s="33"/>
      <c r="C186" s="33"/>
      <c r="D186" s="33"/>
      <c r="E186" s="33"/>
      <c r="F186" s="33"/>
      <c r="G186" s="33"/>
      <c r="H186" s="33"/>
      <c r="I186" s="33"/>
      <c r="J186" s="33"/>
      <c r="K186" s="33"/>
      <c r="L186" s="34"/>
      <c r="M186" s="34"/>
      <c r="N186" s="34"/>
      <c r="O186" s="34"/>
      <c r="P186" s="33"/>
      <c r="Q186" s="35"/>
      <c r="R186" s="33"/>
      <c r="S186" s="33"/>
      <c r="T186" s="33"/>
      <c r="U186" s="33"/>
      <c r="V186" s="33"/>
      <c r="W186" s="33"/>
    </row>
    <row r="187" customFormat="false" ht="15" hidden="false" customHeight="false" outlineLevel="0" collapsed="false">
      <c r="A187" s="33"/>
      <c r="B187" s="33"/>
      <c r="C187" s="33"/>
      <c r="D187" s="33"/>
      <c r="E187" s="33"/>
      <c r="F187" s="33"/>
      <c r="G187" s="33"/>
      <c r="H187" s="33"/>
      <c r="I187" s="33"/>
      <c r="J187" s="33"/>
      <c r="K187" s="33"/>
      <c r="L187" s="34"/>
      <c r="M187" s="34"/>
      <c r="N187" s="34"/>
      <c r="O187" s="34"/>
      <c r="P187" s="33"/>
      <c r="Q187" s="35"/>
      <c r="R187" s="33"/>
      <c r="S187" s="33"/>
      <c r="T187" s="33"/>
      <c r="U187" s="33"/>
      <c r="V187" s="33"/>
      <c r="W187" s="33"/>
    </row>
    <row r="188" customFormat="false" ht="15" hidden="false" customHeight="false" outlineLevel="0" collapsed="false">
      <c r="A188" s="33"/>
      <c r="B188" s="33"/>
      <c r="C188" s="33"/>
      <c r="D188" s="33"/>
      <c r="E188" s="33"/>
      <c r="F188" s="33"/>
      <c r="G188" s="33"/>
      <c r="H188" s="33"/>
      <c r="I188" s="33"/>
      <c r="J188" s="33"/>
      <c r="K188" s="33"/>
      <c r="L188" s="34"/>
      <c r="M188" s="34"/>
      <c r="N188" s="34"/>
      <c r="O188" s="34"/>
      <c r="P188" s="33"/>
      <c r="Q188" s="35"/>
      <c r="R188" s="33"/>
      <c r="S188" s="33"/>
      <c r="T188" s="33"/>
      <c r="U188" s="33"/>
      <c r="V188" s="33"/>
      <c r="W188" s="33"/>
    </row>
    <row r="189" customFormat="false" ht="15" hidden="false" customHeight="false" outlineLevel="0" collapsed="false">
      <c r="A189" s="33"/>
      <c r="B189" s="33"/>
      <c r="C189" s="33"/>
      <c r="D189" s="33"/>
      <c r="E189" s="33"/>
      <c r="F189" s="33"/>
      <c r="G189" s="33"/>
      <c r="H189" s="33"/>
      <c r="I189" s="33"/>
      <c r="J189" s="33"/>
      <c r="K189" s="33"/>
      <c r="L189" s="34"/>
      <c r="M189" s="34"/>
      <c r="N189" s="34"/>
      <c r="O189" s="34"/>
      <c r="P189" s="33"/>
      <c r="Q189" s="35"/>
      <c r="R189" s="33"/>
      <c r="S189" s="33"/>
      <c r="T189" s="33"/>
      <c r="U189" s="33"/>
      <c r="V189" s="33"/>
      <c r="W189" s="33"/>
    </row>
    <row r="190" customFormat="false" ht="15" hidden="false" customHeight="false" outlineLevel="0" collapsed="false">
      <c r="A190" s="33"/>
      <c r="B190" s="33"/>
      <c r="C190" s="33"/>
      <c r="D190" s="33"/>
      <c r="E190" s="33"/>
      <c r="F190" s="33"/>
      <c r="G190" s="33"/>
      <c r="H190" s="33"/>
      <c r="I190" s="33"/>
      <c r="J190" s="33"/>
      <c r="K190" s="33"/>
      <c r="L190" s="34"/>
      <c r="M190" s="34"/>
      <c r="N190" s="34"/>
      <c r="O190" s="34"/>
      <c r="P190" s="33"/>
      <c r="Q190" s="35"/>
      <c r="R190" s="33"/>
      <c r="S190" s="33"/>
      <c r="T190" s="33"/>
      <c r="U190" s="33"/>
      <c r="V190" s="33"/>
      <c r="W190" s="33"/>
    </row>
    <row r="191" customFormat="false" ht="15" hidden="false" customHeight="false" outlineLevel="0" collapsed="false">
      <c r="A191" s="33"/>
      <c r="B191" s="33"/>
      <c r="C191" s="33"/>
      <c r="D191" s="33"/>
      <c r="E191" s="33"/>
      <c r="F191" s="33"/>
      <c r="G191" s="33"/>
      <c r="H191" s="33"/>
      <c r="I191" s="33"/>
      <c r="J191" s="33"/>
      <c r="K191" s="33"/>
      <c r="L191" s="34"/>
      <c r="M191" s="34"/>
      <c r="N191" s="34"/>
      <c r="O191" s="34"/>
      <c r="P191" s="33"/>
      <c r="Q191" s="35"/>
      <c r="R191" s="33"/>
      <c r="S191" s="33"/>
      <c r="T191" s="33"/>
      <c r="U191" s="33"/>
      <c r="V191" s="33"/>
      <c r="W191" s="33"/>
    </row>
    <row r="192" customFormat="false" ht="15" hidden="false" customHeight="false" outlineLevel="0" collapsed="false">
      <c r="A192" s="33"/>
      <c r="B192" s="33"/>
      <c r="C192" s="33"/>
      <c r="D192" s="33"/>
      <c r="E192" s="33"/>
      <c r="F192" s="33"/>
      <c r="G192" s="33"/>
      <c r="H192" s="33"/>
      <c r="I192" s="33"/>
      <c r="J192" s="33"/>
      <c r="K192" s="33"/>
      <c r="L192" s="34"/>
      <c r="M192" s="34"/>
      <c r="N192" s="34"/>
      <c r="O192" s="34"/>
      <c r="P192" s="33"/>
      <c r="Q192" s="35"/>
      <c r="R192" s="33"/>
      <c r="S192" s="33"/>
      <c r="T192" s="33"/>
      <c r="U192" s="33"/>
      <c r="V192" s="33"/>
      <c r="W192" s="33"/>
    </row>
    <row r="193" customFormat="false" ht="15" hidden="false" customHeight="false" outlineLevel="0" collapsed="false">
      <c r="A193" s="33"/>
      <c r="B193" s="33"/>
      <c r="C193" s="33"/>
      <c r="D193" s="33"/>
      <c r="E193" s="33"/>
      <c r="F193" s="33"/>
      <c r="G193" s="33"/>
      <c r="H193" s="33"/>
      <c r="I193" s="33"/>
      <c r="J193" s="33"/>
      <c r="K193" s="33"/>
      <c r="L193" s="34"/>
      <c r="M193" s="34"/>
      <c r="N193" s="34"/>
      <c r="O193" s="34"/>
      <c r="P193" s="33"/>
      <c r="Q193" s="35"/>
      <c r="R193" s="33"/>
      <c r="S193" s="33"/>
      <c r="T193" s="33"/>
      <c r="U193" s="33"/>
      <c r="V193" s="33"/>
      <c r="W193" s="33"/>
    </row>
    <row r="194" customFormat="false" ht="15" hidden="false" customHeight="false" outlineLevel="0" collapsed="false">
      <c r="A194" s="33"/>
      <c r="B194" s="33"/>
      <c r="C194" s="33"/>
      <c r="D194" s="33"/>
      <c r="E194" s="33"/>
      <c r="F194" s="33"/>
      <c r="G194" s="33"/>
      <c r="H194" s="33"/>
      <c r="I194" s="33"/>
      <c r="J194" s="33"/>
      <c r="K194" s="33"/>
      <c r="L194" s="34"/>
      <c r="M194" s="34"/>
      <c r="N194" s="34"/>
      <c r="O194" s="34"/>
      <c r="P194" s="33"/>
      <c r="Q194" s="35"/>
      <c r="R194" s="33"/>
      <c r="S194" s="33"/>
      <c r="T194" s="33"/>
      <c r="U194" s="33"/>
      <c r="V194" s="33"/>
      <c r="W194" s="33"/>
    </row>
    <row r="195" customFormat="false" ht="15" hidden="false" customHeight="false" outlineLevel="0" collapsed="false">
      <c r="A195" s="33"/>
      <c r="B195" s="33"/>
      <c r="C195" s="33"/>
      <c r="D195" s="33"/>
      <c r="E195" s="33"/>
      <c r="F195" s="33"/>
      <c r="G195" s="33"/>
      <c r="H195" s="33"/>
      <c r="I195" s="33"/>
      <c r="J195" s="33"/>
      <c r="K195" s="33"/>
      <c r="L195" s="34"/>
      <c r="M195" s="34"/>
      <c r="N195" s="34"/>
      <c r="O195" s="34"/>
      <c r="P195" s="33"/>
      <c r="Q195" s="35"/>
      <c r="R195" s="33"/>
      <c r="S195" s="33"/>
      <c r="T195" s="33"/>
      <c r="U195" s="33"/>
      <c r="V195" s="33"/>
      <c r="W195" s="33"/>
    </row>
    <row r="196" customFormat="false" ht="15" hidden="false" customHeight="false" outlineLevel="0" collapsed="false">
      <c r="A196" s="33"/>
      <c r="B196" s="33"/>
      <c r="C196" s="33"/>
      <c r="D196" s="33"/>
      <c r="E196" s="33"/>
      <c r="F196" s="33"/>
      <c r="G196" s="33"/>
      <c r="H196" s="33"/>
      <c r="I196" s="33"/>
      <c r="J196" s="33"/>
      <c r="K196" s="33"/>
      <c r="L196" s="34"/>
      <c r="M196" s="34"/>
      <c r="N196" s="34"/>
      <c r="O196" s="34"/>
      <c r="P196" s="33"/>
      <c r="Q196" s="35"/>
      <c r="R196" s="33"/>
      <c r="S196" s="33"/>
      <c r="T196" s="33"/>
      <c r="U196" s="33"/>
      <c r="V196" s="33"/>
      <c r="W196" s="33"/>
    </row>
    <row r="197" customFormat="false" ht="15" hidden="false" customHeight="false" outlineLevel="0" collapsed="false">
      <c r="A197" s="33"/>
      <c r="B197" s="33"/>
      <c r="C197" s="33"/>
      <c r="D197" s="33"/>
      <c r="E197" s="33"/>
      <c r="F197" s="33"/>
      <c r="G197" s="33"/>
      <c r="H197" s="33"/>
      <c r="I197" s="33"/>
      <c r="J197" s="33"/>
      <c r="K197" s="33"/>
      <c r="L197" s="34"/>
      <c r="M197" s="34"/>
      <c r="N197" s="34"/>
      <c r="O197" s="34"/>
      <c r="P197" s="33"/>
      <c r="Q197" s="35"/>
      <c r="R197" s="33"/>
      <c r="S197" s="33"/>
      <c r="T197" s="33"/>
      <c r="U197" s="33"/>
      <c r="V197" s="33"/>
      <c r="W197" s="33"/>
    </row>
    <row r="198" customFormat="false" ht="15" hidden="false" customHeight="false" outlineLevel="0" collapsed="false">
      <c r="A198" s="33"/>
      <c r="B198" s="33"/>
      <c r="C198" s="33"/>
      <c r="D198" s="33"/>
      <c r="E198" s="33"/>
      <c r="F198" s="33"/>
      <c r="G198" s="33"/>
      <c r="H198" s="33"/>
      <c r="I198" s="33"/>
      <c r="J198" s="33"/>
      <c r="K198" s="33"/>
      <c r="L198" s="34"/>
      <c r="M198" s="34"/>
      <c r="N198" s="34"/>
      <c r="O198" s="34"/>
      <c r="P198" s="33"/>
      <c r="Q198" s="35"/>
      <c r="R198" s="33"/>
      <c r="S198" s="33"/>
      <c r="T198" s="33"/>
      <c r="U198" s="33"/>
      <c r="V198" s="33"/>
      <c r="W198" s="33"/>
    </row>
    <row r="199" customFormat="false" ht="15" hidden="false" customHeight="false" outlineLevel="0" collapsed="false">
      <c r="A199" s="33"/>
      <c r="B199" s="33"/>
      <c r="C199" s="33"/>
      <c r="D199" s="33"/>
      <c r="E199" s="33"/>
      <c r="F199" s="33"/>
      <c r="G199" s="33"/>
      <c r="H199" s="33"/>
      <c r="I199" s="33"/>
      <c r="J199" s="33"/>
      <c r="K199" s="33"/>
      <c r="L199" s="34"/>
      <c r="M199" s="34"/>
      <c r="N199" s="34"/>
      <c r="O199" s="34"/>
      <c r="P199" s="33"/>
      <c r="Q199" s="35"/>
      <c r="R199" s="33"/>
      <c r="S199" s="33"/>
      <c r="T199" s="33"/>
      <c r="U199" s="33"/>
      <c r="V199" s="33"/>
      <c r="W199" s="33"/>
    </row>
    <row r="200" customFormat="false" ht="15" hidden="false" customHeight="false" outlineLevel="0" collapsed="false">
      <c r="A200" s="33"/>
      <c r="B200" s="33"/>
      <c r="C200" s="33"/>
      <c r="D200" s="33"/>
      <c r="E200" s="33"/>
      <c r="F200" s="33"/>
      <c r="G200" s="33"/>
      <c r="H200" s="33"/>
      <c r="I200" s="33"/>
      <c r="J200" s="33"/>
      <c r="K200" s="33"/>
      <c r="L200" s="34"/>
      <c r="M200" s="34"/>
      <c r="N200" s="34"/>
      <c r="O200" s="34"/>
      <c r="P200" s="33"/>
      <c r="Q200" s="35"/>
      <c r="R200" s="33"/>
      <c r="S200" s="33"/>
      <c r="T200" s="33"/>
      <c r="U200" s="33"/>
      <c r="V200" s="33"/>
      <c r="W200" s="33"/>
    </row>
    <row r="201" customFormat="false" ht="15" hidden="false" customHeight="false" outlineLevel="0" collapsed="false">
      <c r="A201" s="33"/>
      <c r="B201" s="33"/>
      <c r="C201" s="33"/>
      <c r="D201" s="33"/>
      <c r="E201" s="33"/>
      <c r="F201" s="33"/>
      <c r="G201" s="33"/>
      <c r="H201" s="33"/>
      <c r="I201" s="33"/>
      <c r="J201" s="33"/>
      <c r="K201" s="33"/>
      <c r="L201" s="34"/>
      <c r="M201" s="34"/>
      <c r="N201" s="34"/>
      <c r="O201" s="34"/>
      <c r="P201" s="33"/>
      <c r="Q201" s="35"/>
      <c r="R201" s="33"/>
      <c r="S201" s="33"/>
      <c r="T201" s="33"/>
      <c r="U201" s="33"/>
      <c r="V201" s="33"/>
      <c r="W201" s="33"/>
    </row>
    <row r="202" customFormat="false" ht="15" hidden="false" customHeight="false" outlineLevel="0" collapsed="false">
      <c r="A202" s="33"/>
      <c r="B202" s="33"/>
      <c r="C202" s="33"/>
      <c r="D202" s="33"/>
      <c r="E202" s="33"/>
      <c r="F202" s="33"/>
      <c r="G202" s="33"/>
      <c r="H202" s="33"/>
      <c r="I202" s="33"/>
      <c r="J202" s="33"/>
      <c r="K202" s="33"/>
      <c r="L202" s="34"/>
      <c r="M202" s="34"/>
      <c r="N202" s="34"/>
      <c r="O202" s="34"/>
      <c r="P202" s="33"/>
      <c r="Q202" s="35"/>
      <c r="R202" s="33"/>
      <c r="S202" s="33"/>
      <c r="T202" s="33"/>
      <c r="U202" s="33"/>
      <c r="V202" s="33"/>
      <c r="W202" s="33"/>
    </row>
    <row r="203" customFormat="false" ht="15" hidden="false" customHeight="false" outlineLevel="0" collapsed="false">
      <c r="A203" s="33"/>
      <c r="B203" s="33"/>
      <c r="C203" s="33"/>
      <c r="D203" s="33"/>
      <c r="E203" s="33"/>
      <c r="F203" s="33"/>
      <c r="G203" s="33"/>
      <c r="H203" s="33"/>
      <c r="I203" s="33"/>
      <c r="J203" s="33"/>
      <c r="K203" s="33"/>
      <c r="L203" s="34"/>
      <c r="M203" s="34"/>
      <c r="N203" s="34"/>
      <c r="O203" s="34"/>
      <c r="P203" s="33"/>
      <c r="Q203" s="35"/>
      <c r="R203" s="33"/>
      <c r="S203" s="33"/>
      <c r="T203" s="33"/>
      <c r="U203" s="33"/>
      <c r="V203" s="33"/>
      <c r="W203" s="33"/>
    </row>
    <row r="204" customFormat="false" ht="15" hidden="false" customHeight="false" outlineLevel="0" collapsed="false">
      <c r="A204" s="33"/>
      <c r="B204" s="33"/>
      <c r="C204" s="33"/>
      <c r="D204" s="33"/>
      <c r="E204" s="33"/>
      <c r="F204" s="33"/>
      <c r="G204" s="33"/>
      <c r="H204" s="33"/>
      <c r="I204" s="33"/>
      <c r="J204" s="33"/>
      <c r="K204" s="33"/>
      <c r="L204" s="34"/>
      <c r="M204" s="34"/>
      <c r="N204" s="34"/>
      <c r="O204" s="34"/>
      <c r="P204" s="33"/>
      <c r="Q204" s="35"/>
      <c r="R204" s="33"/>
      <c r="S204" s="33"/>
      <c r="T204" s="33"/>
      <c r="U204" s="33"/>
      <c r="V204" s="33"/>
      <c r="W204" s="33"/>
    </row>
    <row r="205" customFormat="false" ht="15" hidden="false" customHeight="false" outlineLevel="0" collapsed="false">
      <c r="A205" s="33"/>
      <c r="B205" s="33"/>
      <c r="C205" s="33"/>
      <c r="D205" s="33"/>
      <c r="E205" s="33"/>
      <c r="F205" s="33"/>
      <c r="G205" s="33"/>
      <c r="H205" s="33"/>
      <c r="I205" s="33"/>
      <c r="J205" s="33"/>
      <c r="K205" s="33"/>
      <c r="L205" s="34"/>
      <c r="M205" s="34"/>
      <c r="N205" s="34"/>
      <c r="O205" s="34"/>
      <c r="P205" s="33"/>
      <c r="Q205" s="35"/>
      <c r="R205" s="33"/>
      <c r="S205" s="33"/>
      <c r="T205" s="33"/>
      <c r="U205" s="33"/>
      <c r="V205" s="33"/>
      <c r="W205" s="33"/>
    </row>
    <row r="206" customFormat="false" ht="15" hidden="false" customHeight="false" outlineLevel="0" collapsed="false">
      <c r="A206" s="33"/>
      <c r="B206" s="33"/>
      <c r="C206" s="33"/>
      <c r="D206" s="33"/>
      <c r="E206" s="33"/>
      <c r="F206" s="33"/>
      <c r="G206" s="33"/>
      <c r="H206" s="33"/>
      <c r="I206" s="33"/>
      <c r="J206" s="33"/>
      <c r="K206" s="33"/>
      <c r="L206" s="34"/>
      <c r="M206" s="34"/>
      <c r="N206" s="34"/>
      <c r="O206" s="34"/>
      <c r="P206" s="33"/>
      <c r="Q206" s="35"/>
      <c r="R206" s="33"/>
      <c r="S206" s="33"/>
      <c r="T206" s="33"/>
      <c r="U206" s="33"/>
      <c r="V206" s="33"/>
      <c r="W206" s="33"/>
    </row>
    <row r="207" customFormat="false" ht="15" hidden="false" customHeight="false" outlineLevel="0" collapsed="false">
      <c r="A207" s="33"/>
      <c r="B207" s="33"/>
      <c r="C207" s="33"/>
      <c r="D207" s="33"/>
      <c r="E207" s="33"/>
      <c r="F207" s="33"/>
      <c r="G207" s="33"/>
      <c r="H207" s="33"/>
      <c r="I207" s="33"/>
      <c r="J207" s="33"/>
      <c r="K207" s="33"/>
      <c r="L207" s="34"/>
      <c r="M207" s="34"/>
      <c r="N207" s="34"/>
      <c r="O207" s="34"/>
      <c r="P207" s="33"/>
      <c r="Q207" s="35"/>
      <c r="R207" s="33"/>
      <c r="S207" s="33"/>
      <c r="T207" s="33"/>
      <c r="U207" s="33"/>
      <c r="V207" s="33"/>
      <c r="W207" s="33"/>
    </row>
    <row r="208" customFormat="false" ht="15" hidden="false" customHeight="false" outlineLevel="0" collapsed="false">
      <c r="A208" s="33"/>
      <c r="B208" s="33"/>
      <c r="C208" s="33"/>
      <c r="D208" s="33"/>
      <c r="E208" s="33"/>
      <c r="F208" s="33"/>
      <c r="G208" s="33"/>
      <c r="H208" s="33"/>
      <c r="I208" s="33"/>
      <c r="J208" s="33"/>
      <c r="K208" s="33"/>
      <c r="L208" s="34"/>
      <c r="M208" s="34"/>
      <c r="N208" s="34"/>
      <c r="O208" s="34"/>
      <c r="P208" s="33"/>
      <c r="Q208" s="35"/>
      <c r="R208" s="33"/>
      <c r="S208" s="33"/>
      <c r="T208" s="33"/>
      <c r="U208" s="33"/>
      <c r="V208" s="33"/>
      <c r="W208" s="33"/>
    </row>
    <row r="209" customFormat="false" ht="15" hidden="false" customHeight="false" outlineLevel="0" collapsed="false">
      <c r="A209" s="33"/>
      <c r="B209" s="33"/>
      <c r="C209" s="33"/>
      <c r="D209" s="33"/>
      <c r="E209" s="33"/>
      <c r="F209" s="33"/>
      <c r="G209" s="33"/>
      <c r="H209" s="33"/>
      <c r="I209" s="33"/>
      <c r="J209" s="33"/>
      <c r="K209" s="33"/>
      <c r="L209" s="34"/>
      <c r="M209" s="34"/>
      <c r="N209" s="34"/>
      <c r="O209" s="34"/>
      <c r="P209" s="33"/>
      <c r="Q209" s="35"/>
      <c r="R209" s="33"/>
      <c r="S209" s="33"/>
      <c r="T209" s="33"/>
      <c r="U209" s="33"/>
      <c r="V209" s="33"/>
      <c r="W209" s="33"/>
    </row>
    <row r="210" customFormat="false" ht="15" hidden="false" customHeight="false" outlineLevel="0" collapsed="false">
      <c r="A210" s="33"/>
      <c r="B210" s="33"/>
      <c r="C210" s="33"/>
      <c r="D210" s="33"/>
      <c r="E210" s="33"/>
      <c r="F210" s="33"/>
      <c r="G210" s="33"/>
      <c r="H210" s="33"/>
      <c r="I210" s="33"/>
      <c r="J210" s="33"/>
      <c r="K210" s="33"/>
      <c r="L210" s="34"/>
      <c r="M210" s="34"/>
      <c r="N210" s="34"/>
      <c r="O210" s="34"/>
      <c r="P210" s="33"/>
      <c r="Q210" s="35"/>
      <c r="R210" s="33"/>
      <c r="S210" s="33"/>
      <c r="T210" s="33"/>
      <c r="U210" s="33"/>
      <c r="V210" s="33"/>
      <c r="W210" s="33"/>
    </row>
    <row r="211" customFormat="false" ht="15" hidden="false" customHeight="false" outlineLevel="0" collapsed="false">
      <c r="A211" s="33"/>
      <c r="B211" s="33"/>
      <c r="C211" s="33"/>
      <c r="D211" s="33"/>
      <c r="E211" s="33"/>
      <c r="F211" s="33"/>
      <c r="G211" s="33"/>
      <c r="H211" s="33"/>
      <c r="I211" s="33"/>
      <c r="J211" s="33"/>
      <c r="K211" s="33"/>
      <c r="L211" s="34"/>
      <c r="M211" s="34"/>
      <c r="N211" s="34"/>
      <c r="O211" s="34"/>
      <c r="P211" s="33"/>
      <c r="Q211" s="35"/>
      <c r="R211" s="33"/>
      <c r="S211" s="33"/>
      <c r="T211" s="33"/>
      <c r="U211" s="33"/>
      <c r="V211" s="33"/>
      <c r="W211" s="33"/>
    </row>
    <row r="212" customFormat="false" ht="15" hidden="false" customHeight="false" outlineLevel="0" collapsed="false">
      <c r="A212" s="33"/>
      <c r="B212" s="33"/>
      <c r="C212" s="33"/>
      <c r="D212" s="33"/>
      <c r="E212" s="33"/>
      <c r="F212" s="33"/>
      <c r="G212" s="33"/>
      <c r="H212" s="33"/>
      <c r="I212" s="33"/>
      <c r="J212" s="33"/>
      <c r="K212" s="33"/>
      <c r="L212" s="34"/>
      <c r="M212" s="34"/>
      <c r="N212" s="34"/>
      <c r="O212" s="34"/>
      <c r="P212" s="33"/>
      <c r="Q212" s="35"/>
      <c r="R212" s="33"/>
      <c r="S212" s="33"/>
      <c r="T212" s="33"/>
      <c r="U212" s="33"/>
      <c r="V212" s="33"/>
      <c r="W212" s="33"/>
    </row>
    <row r="213" customFormat="false" ht="15" hidden="false" customHeight="false" outlineLevel="0" collapsed="false">
      <c r="A213" s="33"/>
      <c r="B213" s="33"/>
      <c r="C213" s="33"/>
      <c r="D213" s="33"/>
      <c r="E213" s="33"/>
      <c r="F213" s="33"/>
      <c r="G213" s="33"/>
      <c r="H213" s="33"/>
      <c r="I213" s="33"/>
      <c r="J213" s="33"/>
      <c r="K213" s="33"/>
      <c r="L213" s="34"/>
      <c r="M213" s="34"/>
      <c r="N213" s="34"/>
      <c r="O213" s="34"/>
      <c r="P213" s="33"/>
      <c r="Q213" s="35"/>
      <c r="R213" s="33"/>
      <c r="S213" s="33"/>
      <c r="T213" s="33"/>
      <c r="U213" s="33"/>
      <c r="V213" s="33"/>
      <c r="W213" s="33"/>
    </row>
    <row r="214" customFormat="false" ht="15" hidden="false" customHeight="false" outlineLevel="0" collapsed="false">
      <c r="A214" s="33"/>
      <c r="B214" s="33"/>
      <c r="C214" s="33"/>
      <c r="D214" s="33"/>
      <c r="E214" s="33"/>
      <c r="F214" s="33"/>
      <c r="G214" s="33"/>
      <c r="H214" s="33"/>
      <c r="I214" s="33"/>
      <c r="J214" s="33"/>
      <c r="K214" s="33"/>
      <c r="L214" s="34"/>
      <c r="M214" s="34"/>
      <c r="N214" s="34"/>
      <c r="O214" s="34"/>
      <c r="P214" s="33"/>
      <c r="Q214" s="35"/>
      <c r="R214" s="33"/>
      <c r="S214" s="33"/>
      <c r="T214" s="33"/>
      <c r="U214" s="33"/>
      <c r="V214" s="33"/>
      <c r="W214" s="33"/>
    </row>
    <row r="215" customFormat="false" ht="15" hidden="false" customHeight="false" outlineLevel="0" collapsed="false">
      <c r="A215" s="33"/>
      <c r="B215" s="33"/>
      <c r="C215" s="33"/>
      <c r="D215" s="33"/>
      <c r="E215" s="33"/>
      <c r="F215" s="33"/>
      <c r="G215" s="33"/>
      <c r="H215" s="33"/>
      <c r="I215" s="33"/>
      <c r="J215" s="33"/>
      <c r="K215" s="33"/>
      <c r="L215" s="34"/>
      <c r="M215" s="34"/>
      <c r="N215" s="34"/>
      <c r="O215" s="34"/>
      <c r="P215" s="33"/>
      <c r="Q215" s="35"/>
      <c r="R215" s="33"/>
      <c r="S215" s="33"/>
      <c r="T215" s="33"/>
      <c r="U215" s="33"/>
      <c r="V215" s="33"/>
      <c r="W215" s="33"/>
    </row>
    <row r="216" customFormat="false" ht="15" hidden="false" customHeight="false" outlineLevel="0" collapsed="false">
      <c r="A216" s="33"/>
      <c r="B216" s="33"/>
      <c r="C216" s="33"/>
      <c r="D216" s="33"/>
      <c r="E216" s="33"/>
      <c r="F216" s="33"/>
      <c r="G216" s="33"/>
      <c r="H216" s="33"/>
      <c r="I216" s="33"/>
      <c r="J216" s="33"/>
      <c r="K216" s="33"/>
      <c r="L216" s="34"/>
      <c r="M216" s="34"/>
      <c r="N216" s="34"/>
      <c r="O216" s="34"/>
      <c r="P216" s="33"/>
      <c r="Q216" s="35"/>
      <c r="R216" s="33"/>
      <c r="S216" s="33"/>
      <c r="T216" s="33"/>
      <c r="U216" s="33"/>
      <c r="V216" s="33"/>
      <c r="W216" s="33"/>
    </row>
    <row r="217" customFormat="false" ht="15" hidden="false" customHeight="false" outlineLevel="0" collapsed="false">
      <c r="A217" s="33"/>
      <c r="B217" s="33"/>
      <c r="C217" s="33"/>
      <c r="D217" s="33"/>
      <c r="E217" s="33"/>
      <c r="F217" s="33"/>
      <c r="G217" s="33"/>
      <c r="H217" s="33"/>
      <c r="I217" s="33"/>
      <c r="J217" s="33"/>
      <c r="K217" s="33"/>
      <c r="L217" s="34"/>
      <c r="M217" s="34"/>
      <c r="N217" s="34"/>
      <c r="O217" s="34"/>
      <c r="P217" s="33"/>
      <c r="Q217" s="35"/>
      <c r="R217" s="33"/>
      <c r="S217" s="33"/>
      <c r="T217" s="33"/>
      <c r="U217" s="33"/>
      <c r="V217" s="33"/>
      <c r="W217" s="33"/>
    </row>
    <row r="218" customFormat="false" ht="15" hidden="false" customHeight="false" outlineLevel="0" collapsed="false">
      <c r="A218" s="33"/>
      <c r="B218" s="33"/>
      <c r="C218" s="33"/>
      <c r="D218" s="33"/>
      <c r="E218" s="33"/>
      <c r="F218" s="33"/>
      <c r="G218" s="33"/>
      <c r="H218" s="33"/>
      <c r="I218" s="33"/>
      <c r="J218" s="33"/>
      <c r="K218" s="33"/>
      <c r="L218" s="34"/>
      <c r="M218" s="34"/>
      <c r="N218" s="34"/>
      <c r="O218" s="34"/>
      <c r="P218" s="33"/>
      <c r="Q218" s="35"/>
      <c r="R218" s="33"/>
      <c r="S218" s="33"/>
      <c r="T218" s="33"/>
      <c r="U218" s="33"/>
      <c r="V218" s="33"/>
      <c r="W218" s="33"/>
    </row>
    <row r="219" customFormat="false" ht="15" hidden="false" customHeight="false" outlineLevel="0" collapsed="false">
      <c r="A219" s="33"/>
      <c r="B219" s="33"/>
      <c r="C219" s="33"/>
      <c r="D219" s="33"/>
      <c r="E219" s="33"/>
      <c r="F219" s="33"/>
      <c r="G219" s="33"/>
      <c r="H219" s="33"/>
      <c r="I219" s="33"/>
      <c r="J219" s="33"/>
      <c r="K219" s="33"/>
      <c r="L219" s="34"/>
      <c r="M219" s="34"/>
      <c r="N219" s="34"/>
      <c r="O219" s="34"/>
      <c r="P219" s="33"/>
      <c r="Q219" s="35"/>
      <c r="R219" s="33"/>
      <c r="S219" s="33"/>
      <c r="T219" s="33"/>
      <c r="U219" s="33"/>
      <c r="V219" s="33"/>
      <c r="W219" s="33"/>
    </row>
    <row r="220" customFormat="false" ht="15" hidden="false" customHeight="false" outlineLevel="0" collapsed="false">
      <c r="A220" s="33"/>
      <c r="B220" s="33"/>
      <c r="C220" s="33"/>
      <c r="D220" s="33"/>
      <c r="E220" s="33"/>
      <c r="F220" s="33"/>
      <c r="G220" s="33"/>
      <c r="H220" s="33"/>
      <c r="I220" s="33"/>
      <c r="J220" s="33"/>
      <c r="K220" s="33"/>
      <c r="L220" s="34"/>
      <c r="M220" s="34"/>
      <c r="N220" s="34"/>
      <c r="O220" s="34"/>
      <c r="P220" s="33"/>
      <c r="Q220" s="35"/>
      <c r="R220" s="33"/>
      <c r="S220" s="33"/>
      <c r="T220" s="33"/>
      <c r="U220" s="33"/>
      <c r="V220" s="33"/>
      <c r="W220" s="33"/>
    </row>
    <row r="221" customFormat="false" ht="15" hidden="false" customHeight="false" outlineLevel="0" collapsed="false">
      <c r="A221" s="33"/>
      <c r="B221" s="33"/>
      <c r="C221" s="33"/>
      <c r="D221" s="33"/>
      <c r="E221" s="33"/>
      <c r="F221" s="33"/>
      <c r="G221" s="33"/>
      <c r="H221" s="33"/>
      <c r="I221" s="33"/>
      <c r="J221" s="33"/>
      <c r="K221" s="33"/>
      <c r="L221" s="34"/>
      <c r="M221" s="34"/>
      <c r="N221" s="34"/>
      <c r="O221" s="34"/>
      <c r="P221" s="33"/>
      <c r="Q221" s="35"/>
      <c r="R221" s="33"/>
      <c r="S221" s="33"/>
      <c r="T221" s="33"/>
      <c r="U221" s="33"/>
      <c r="V221" s="33"/>
      <c r="W221" s="33"/>
    </row>
    <row r="222" customFormat="false" ht="15" hidden="false" customHeight="false" outlineLevel="0" collapsed="false">
      <c r="A222" s="33"/>
      <c r="B222" s="33"/>
      <c r="C222" s="33"/>
      <c r="D222" s="33"/>
      <c r="E222" s="33"/>
      <c r="F222" s="33"/>
      <c r="G222" s="33"/>
      <c r="H222" s="33"/>
      <c r="I222" s="33"/>
      <c r="J222" s="33"/>
      <c r="K222" s="33"/>
      <c r="L222" s="34"/>
      <c r="M222" s="34"/>
      <c r="N222" s="34"/>
      <c r="O222" s="34"/>
      <c r="P222" s="33"/>
      <c r="Q222" s="35"/>
      <c r="R222" s="33"/>
      <c r="S222" s="33"/>
      <c r="T222" s="33"/>
      <c r="U222" s="33"/>
      <c r="V222" s="33"/>
      <c r="W222" s="33"/>
    </row>
    <row r="223" customFormat="false" ht="15" hidden="false" customHeight="false" outlineLevel="0" collapsed="false">
      <c r="A223" s="33"/>
      <c r="B223" s="33"/>
      <c r="C223" s="33"/>
      <c r="D223" s="33"/>
      <c r="E223" s="33"/>
      <c r="F223" s="33"/>
      <c r="G223" s="33"/>
      <c r="H223" s="33"/>
      <c r="I223" s="33"/>
      <c r="J223" s="33"/>
      <c r="K223" s="33"/>
      <c r="L223" s="34"/>
      <c r="M223" s="34"/>
      <c r="N223" s="34"/>
      <c r="O223" s="34"/>
      <c r="P223" s="33"/>
      <c r="Q223" s="35"/>
      <c r="R223" s="33"/>
      <c r="S223" s="33"/>
      <c r="T223" s="33"/>
      <c r="U223" s="33"/>
      <c r="V223" s="33"/>
      <c r="W223" s="33"/>
    </row>
    <row r="224" customFormat="false" ht="15" hidden="false" customHeight="false" outlineLevel="0" collapsed="false">
      <c r="A224" s="33"/>
      <c r="B224" s="33"/>
      <c r="C224" s="33"/>
      <c r="D224" s="33"/>
      <c r="E224" s="33"/>
      <c r="F224" s="33"/>
      <c r="G224" s="33"/>
      <c r="H224" s="33"/>
      <c r="I224" s="33"/>
      <c r="J224" s="33"/>
      <c r="K224" s="33"/>
      <c r="L224" s="34"/>
      <c r="M224" s="34"/>
      <c r="N224" s="34"/>
      <c r="O224" s="34"/>
      <c r="P224" s="33"/>
      <c r="Q224" s="35"/>
      <c r="R224" s="33"/>
      <c r="S224" s="33"/>
      <c r="T224" s="33"/>
      <c r="U224" s="33"/>
      <c r="V224" s="33"/>
      <c r="W224" s="33"/>
    </row>
    <row r="225" customFormat="false" ht="15" hidden="false" customHeight="false" outlineLevel="0" collapsed="false">
      <c r="A225" s="33"/>
      <c r="B225" s="33"/>
      <c r="C225" s="33"/>
      <c r="D225" s="33"/>
      <c r="E225" s="33"/>
      <c r="F225" s="33"/>
      <c r="G225" s="33"/>
      <c r="H225" s="33"/>
      <c r="I225" s="33"/>
      <c r="J225" s="33"/>
      <c r="K225" s="33"/>
      <c r="L225" s="34"/>
      <c r="M225" s="34"/>
      <c r="N225" s="34"/>
      <c r="O225" s="34"/>
      <c r="P225" s="33"/>
      <c r="Q225" s="35"/>
      <c r="R225" s="33"/>
      <c r="S225" s="33"/>
      <c r="T225" s="33"/>
      <c r="U225" s="33"/>
      <c r="V225" s="33"/>
      <c r="W225" s="33"/>
    </row>
    <row r="226" customFormat="false" ht="15" hidden="false" customHeight="false" outlineLevel="0" collapsed="false">
      <c r="A226" s="33"/>
      <c r="B226" s="33"/>
      <c r="C226" s="33"/>
      <c r="D226" s="33"/>
      <c r="E226" s="33"/>
      <c r="F226" s="33"/>
      <c r="G226" s="33"/>
      <c r="H226" s="33"/>
      <c r="I226" s="33"/>
      <c r="J226" s="33"/>
      <c r="K226" s="33"/>
      <c r="L226" s="34"/>
      <c r="M226" s="34"/>
      <c r="N226" s="34"/>
      <c r="O226" s="34"/>
      <c r="P226" s="33"/>
      <c r="Q226" s="35"/>
      <c r="R226" s="33"/>
      <c r="S226" s="33"/>
      <c r="T226" s="33"/>
      <c r="U226" s="33"/>
      <c r="V226" s="33"/>
      <c r="W226" s="33"/>
    </row>
    <row r="227" customFormat="false" ht="15" hidden="false" customHeight="false" outlineLevel="0" collapsed="false">
      <c r="A227" s="33"/>
      <c r="B227" s="33"/>
      <c r="C227" s="33"/>
      <c r="D227" s="33"/>
      <c r="E227" s="33"/>
      <c r="F227" s="33"/>
      <c r="G227" s="33"/>
      <c r="H227" s="33"/>
      <c r="I227" s="33"/>
      <c r="J227" s="33"/>
      <c r="K227" s="33"/>
      <c r="L227" s="34"/>
      <c r="M227" s="34"/>
      <c r="N227" s="34"/>
      <c r="O227" s="34"/>
      <c r="P227" s="33"/>
      <c r="Q227" s="35"/>
      <c r="R227" s="33"/>
      <c r="S227" s="33"/>
      <c r="T227" s="33"/>
      <c r="U227" s="33"/>
      <c r="V227" s="33"/>
      <c r="W227" s="33"/>
    </row>
    <row r="228" customFormat="false" ht="15" hidden="false" customHeight="false" outlineLevel="0" collapsed="false">
      <c r="A228" s="33"/>
      <c r="B228" s="33"/>
      <c r="C228" s="33"/>
      <c r="D228" s="33"/>
      <c r="E228" s="33"/>
      <c r="F228" s="33"/>
      <c r="G228" s="33"/>
      <c r="H228" s="33"/>
      <c r="I228" s="33"/>
      <c r="J228" s="33"/>
      <c r="K228" s="33"/>
      <c r="L228" s="34"/>
      <c r="M228" s="34"/>
      <c r="N228" s="34"/>
      <c r="O228" s="34"/>
      <c r="P228" s="33"/>
      <c r="Q228" s="35"/>
      <c r="R228" s="33"/>
      <c r="S228" s="33"/>
      <c r="T228" s="33"/>
      <c r="U228" s="33"/>
      <c r="V228" s="33"/>
      <c r="W228" s="33"/>
    </row>
    <row r="229" customFormat="false" ht="15" hidden="false" customHeight="false" outlineLevel="0" collapsed="false">
      <c r="A229" s="33"/>
      <c r="B229" s="33"/>
      <c r="C229" s="33"/>
      <c r="D229" s="33"/>
      <c r="E229" s="33"/>
      <c r="F229" s="33"/>
      <c r="G229" s="33"/>
      <c r="H229" s="33"/>
      <c r="I229" s="33"/>
      <c r="J229" s="33"/>
      <c r="K229" s="33"/>
      <c r="L229" s="34"/>
      <c r="M229" s="34"/>
      <c r="N229" s="34"/>
      <c r="O229" s="34"/>
      <c r="P229" s="33"/>
      <c r="Q229" s="35"/>
      <c r="R229" s="33"/>
      <c r="S229" s="33"/>
      <c r="T229" s="33"/>
      <c r="U229" s="33"/>
      <c r="V229" s="33"/>
      <c r="W229" s="33"/>
    </row>
    <row r="230" customFormat="false" ht="15" hidden="false" customHeight="false" outlineLevel="0" collapsed="false">
      <c r="A230" s="33"/>
      <c r="B230" s="33"/>
      <c r="C230" s="33"/>
      <c r="D230" s="33"/>
      <c r="E230" s="33"/>
      <c r="F230" s="33"/>
      <c r="G230" s="33"/>
      <c r="H230" s="33"/>
      <c r="I230" s="33"/>
      <c r="J230" s="33"/>
      <c r="K230" s="33"/>
      <c r="L230" s="34"/>
      <c r="M230" s="34"/>
      <c r="N230" s="34"/>
      <c r="O230" s="34"/>
      <c r="P230" s="33"/>
      <c r="Q230" s="35"/>
      <c r="R230" s="33"/>
      <c r="S230" s="33"/>
      <c r="T230" s="33"/>
      <c r="U230" s="33"/>
      <c r="V230" s="33"/>
      <c r="W230" s="33"/>
    </row>
    <row r="231" customFormat="false" ht="15" hidden="false" customHeight="false" outlineLevel="0" collapsed="false">
      <c r="A231" s="33"/>
      <c r="B231" s="33"/>
      <c r="C231" s="33"/>
      <c r="D231" s="33"/>
      <c r="E231" s="33"/>
      <c r="F231" s="33"/>
      <c r="G231" s="33"/>
      <c r="H231" s="33"/>
      <c r="I231" s="33"/>
      <c r="J231" s="33"/>
      <c r="K231" s="33"/>
      <c r="L231" s="34"/>
      <c r="M231" s="34"/>
      <c r="N231" s="34"/>
      <c r="O231" s="34"/>
      <c r="P231" s="33"/>
      <c r="Q231" s="35"/>
      <c r="R231" s="33"/>
      <c r="S231" s="33"/>
      <c r="T231" s="33"/>
      <c r="U231" s="33"/>
      <c r="V231" s="33"/>
      <c r="W231" s="33"/>
    </row>
    <row r="232" customFormat="false" ht="15" hidden="false" customHeight="false" outlineLevel="0" collapsed="false">
      <c r="A232" s="33"/>
      <c r="B232" s="33"/>
      <c r="C232" s="33"/>
      <c r="D232" s="33"/>
      <c r="E232" s="33"/>
      <c r="F232" s="33"/>
      <c r="G232" s="33"/>
      <c r="H232" s="33"/>
      <c r="I232" s="33"/>
      <c r="J232" s="33"/>
      <c r="K232" s="33"/>
      <c r="L232" s="34"/>
      <c r="M232" s="34"/>
      <c r="N232" s="34"/>
      <c r="O232" s="34"/>
      <c r="P232" s="33"/>
      <c r="Q232" s="35"/>
      <c r="R232" s="33"/>
      <c r="S232" s="33"/>
      <c r="T232" s="33"/>
      <c r="U232" s="33"/>
      <c r="V232" s="33"/>
      <c r="W232" s="33"/>
    </row>
    <row r="233" customFormat="false" ht="15" hidden="false" customHeight="false" outlineLevel="0" collapsed="false">
      <c r="A233" s="33"/>
      <c r="B233" s="33"/>
      <c r="C233" s="33"/>
      <c r="D233" s="33"/>
      <c r="E233" s="33"/>
      <c r="F233" s="33"/>
      <c r="G233" s="33"/>
      <c r="H233" s="33"/>
      <c r="I233" s="33"/>
      <c r="J233" s="33"/>
      <c r="K233" s="33"/>
      <c r="L233" s="34"/>
      <c r="M233" s="34"/>
      <c r="N233" s="34"/>
      <c r="O233" s="34"/>
      <c r="P233" s="33"/>
      <c r="Q233" s="35"/>
      <c r="R233" s="33"/>
      <c r="S233" s="33"/>
      <c r="T233" s="33"/>
      <c r="U233" s="33"/>
      <c r="V233" s="33"/>
      <c r="W233" s="33"/>
    </row>
    <row r="234" customFormat="false" ht="15" hidden="false" customHeight="false" outlineLevel="0" collapsed="false">
      <c r="A234" s="33"/>
      <c r="B234" s="33"/>
      <c r="C234" s="33"/>
      <c r="D234" s="33"/>
      <c r="E234" s="33"/>
      <c r="F234" s="33"/>
      <c r="G234" s="33"/>
      <c r="H234" s="33"/>
      <c r="I234" s="33"/>
      <c r="J234" s="33"/>
      <c r="K234" s="33"/>
      <c r="L234" s="34"/>
      <c r="M234" s="34"/>
      <c r="N234" s="34"/>
      <c r="O234" s="34"/>
      <c r="P234" s="33"/>
      <c r="Q234" s="35"/>
      <c r="R234" s="33"/>
      <c r="S234" s="33"/>
      <c r="T234" s="33"/>
      <c r="U234" s="33"/>
      <c r="V234" s="33"/>
      <c r="W234" s="33"/>
    </row>
    <row r="235" customFormat="false" ht="15" hidden="false" customHeight="false" outlineLevel="0" collapsed="false">
      <c r="A235" s="33"/>
      <c r="B235" s="33"/>
      <c r="C235" s="33"/>
      <c r="D235" s="33"/>
      <c r="E235" s="33"/>
      <c r="F235" s="33"/>
      <c r="G235" s="33"/>
      <c r="H235" s="33"/>
      <c r="I235" s="33"/>
      <c r="J235" s="33"/>
      <c r="K235" s="33"/>
      <c r="L235" s="34"/>
      <c r="M235" s="34"/>
      <c r="N235" s="34"/>
      <c r="O235" s="34"/>
      <c r="P235" s="33"/>
      <c r="Q235" s="35"/>
      <c r="R235" s="33"/>
      <c r="S235" s="33"/>
      <c r="T235" s="33"/>
      <c r="U235" s="33"/>
      <c r="V235" s="33"/>
      <c r="W235" s="33"/>
    </row>
    <row r="236" customFormat="false" ht="15" hidden="false" customHeight="false" outlineLevel="0" collapsed="false">
      <c r="A236" s="33"/>
      <c r="B236" s="33"/>
      <c r="C236" s="33"/>
      <c r="D236" s="33"/>
      <c r="E236" s="33"/>
      <c r="F236" s="33"/>
      <c r="G236" s="33"/>
      <c r="H236" s="33"/>
      <c r="I236" s="33"/>
      <c r="J236" s="33"/>
      <c r="K236" s="33"/>
      <c r="L236" s="34"/>
      <c r="M236" s="34"/>
      <c r="N236" s="34"/>
      <c r="O236" s="34"/>
      <c r="P236" s="33"/>
      <c r="Q236" s="35"/>
      <c r="R236" s="33"/>
      <c r="S236" s="33"/>
      <c r="T236" s="33"/>
      <c r="U236" s="33"/>
      <c r="V236" s="33"/>
      <c r="W236" s="33"/>
    </row>
    <row r="237" customFormat="false" ht="15" hidden="false" customHeight="false" outlineLevel="0" collapsed="false">
      <c r="A237" s="33"/>
      <c r="B237" s="33"/>
      <c r="C237" s="33"/>
      <c r="D237" s="33"/>
      <c r="E237" s="33"/>
      <c r="F237" s="33"/>
      <c r="G237" s="33"/>
      <c r="H237" s="33"/>
      <c r="I237" s="33"/>
      <c r="J237" s="33"/>
      <c r="K237" s="33"/>
      <c r="L237" s="34"/>
      <c r="M237" s="34"/>
      <c r="N237" s="34"/>
      <c r="O237" s="34"/>
      <c r="P237" s="33"/>
      <c r="Q237" s="35"/>
      <c r="R237" s="33"/>
      <c r="S237" s="33"/>
      <c r="T237" s="33"/>
      <c r="U237" s="33"/>
      <c r="V237" s="33"/>
      <c r="W237" s="33"/>
    </row>
    <row r="238" customFormat="false" ht="15" hidden="false" customHeight="false" outlineLevel="0" collapsed="false">
      <c r="A238" s="33"/>
      <c r="B238" s="33"/>
      <c r="C238" s="33"/>
      <c r="D238" s="33"/>
      <c r="E238" s="33"/>
      <c r="F238" s="33"/>
      <c r="G238" s="33"/>
      <c r="H238" s="33"/>
      <c r="I238" s="33"/>
      <c r="J238" s="33"/>
      <c r="K238" s="33"/>
      <c r="L238" s="34"/>
      <c r="M238" s="34"/>
      <c r="N238" s="34"/>
      <c r="O238" s="34"/>
      <c r="P238" s="33"/>
      <c r="Q238" s="35"/>
      <c r="R238" s="33"/>
      <c r="S238" s="33"/>
      <c r="T238" s="33"/>
      <c r="U238" s="33"/>
      <c r="V238" s="33"/>
      <c r="W238" s="33"/>
    </row>
    <row r="239" customFormat="false" ht="15" hidden="false" customHeight="false" outlineLevel="0" collapsed="false">
      <c r="A239" s="33"/>
      <c r="B239" s="33"/>
      <c r="C239" s="33"/>
      <c r="D239" s="33"/>
      <c r="E239" s="33"/>
      <c r="F239" s="33"/>
      <c r="G239" s="33"/>
      <c r="H239" s="33"/>
      <c r="I239" s="33"/>
      <c r="J239" s="33"/>
      <c r="K239" s="33"/>
      <c r="L239" s="34"/>
      <c r="M239" s="34"/>
      <c r="N239" s="34"/>
      <c r="O239" s="34"/>
      <c r="P239" s="33"/>
      <c r="Q239" s="35"/>
      <c r="R239" s="33"/>
      <c r="S239" s="33"/>
      <c r="T239" s="33"/>
      <c r="U239" s="33"/>
      <c r="V239" s="33"/>
      <c r="W239" s="33"/>
    </row>
    <row r="240" customFormat="false" ht="15" hidden="false" customHeight="false" outlineLevel="0" collapsed="false">
      <c r="A240" s="33"/>
      <c r="B240" s="33"/>
      <c r="C240" s="33"/>
      <c r="D240" s="33"/>
      <c r="E240" s="33"/>
      <c r="F240" s="33"/>
      <c r="G240" s="33"/>
      <c r="H240" s="33"/>
      <c r="I240" s="33"/>
      <c r="J240" s="33"/>
      <c r="K240" s="33"/>
      <c r="L240" s="34"/>
      <c r="M240" s="34"/>
      <c r="N240" s="34"/>
      <c r="O240" s="34"/>
      <c r="P240" s="33"/>
      <c r="Q240" s="35"/>
      <c r="R240" s="33"/>
      <c r="S240" s="33"/>
      <c r="T240" s="33"/>
      <c r="U240" s="33"/>
      <c r="V240" s="33"/>
      <c r="W240" s="33"/>
    </row>
    <row r="241" customFormat="false" ht="15" hidden="false" customHeight="false" outlineLevel="0" collapsed="false">
      <c r="A241" s="33"/>
      <c r="B241" s="33"/>
      <c r="C241" s="33"/>
      <c r="D241" s="33"/>
      <c r="E241" s="33"/>
      <c r="F241" s="33"/>
      <c r="G241" s="33"/>
      <c r="H241" s="33"/>
      <c r="I241" s="33"/>
      <c r="J241" s="33"/>
      <c r="K241" s="33"/>
      <c r="L241" s="34"/>
      <c r="M241" s="34"/>
      <c r="N241" s="34"/>
      <c r="O241" s="34"/>
      <c r="P241" s="33"/>
      <c r="Q241" s="35"/>
      <c r="R241" s="33"/>
      <c r="S241" s="33"/>
      <c r="T241" s="33"/>
      <c r="U241" s="33"/>
      <c r="V241" s="33"/>
      <c r="W241" s="33"/>
    </row>
    <row r="242" customFormat="false" ht="15" hidden="false" customHeight="false" outlineLevel="0" collapsed="false">
      <c r="A242" s="33"/>
      <c r="B242" s="33"/>
      <c r="C242" s="33"/>
      <c r="D242" s="33"/>
      <c r="E242" s="33"/>
      <c r="F242" s="33"/>
      <c r="G242" s="33"/>
      <c r="H242" s="33"/>
      <c r="I242" s="33"/>
      <c r="J242" s="33"/>
      <c r="K242" s="33"/>
      <c r="L242" s="34"/>
      <c r="M242" s="34"/>
      <c r="N242" s="34"/>
      <c r="O242" s="34"/>
      <c r="P242" s="33"/>
      <c r="Q242" s="35"/>
      <c r="R242" s="33"/>
      <c r="S242" s="33"/>
      <c r="T242" s="33"/>
      <c r="U242" s="33"/>
      <c r="V242" s="33"/>
      <c r="W242" s="33"/>
    </row>
    <row r="243" customFormat="false" ht="15" hidden="false" customHeight="false" outlineLevel="0" collapsed="false">
      <c r="A243" s="33"/>
      <c r="B243" s="33"/>
      <c r="C243" s="33"/>
      <c r="D243" s="33"/>
      <c r="E243" s="33"/>
      <c r="F243" s="33"/>
      <c r="G243" s="33"/>
      <c r="H243" s="33"/>
      <c r="I243" s="33"/>
      <c r="J243" s="33"/>
      <c r="K243" s="33"/>
      <c r="L243" s="34"/>
      <c r="M243" s="34"/>
      <c r="N243" s="34"/>
      <c r="O243" s="34"/>
      <c r="P243" s="33"/>
      <c r="Q243" s="35"/>
      <c r="R243" s="33"/>
      <c r="S243" s="33"/>
      <c r="T243" s="33"/>
      <c r="U243" s="33"/>
      <c r="V243" s="33"/>
      <c r="W243" s="33"/>
    </row>
    <row r="244" customFormat="false" ht="15" hidden="false" customHeight="false" outlineLevel="0" collapsed="false">
      <c r="A244" s="33"/>
      <c r="B244" s="33"/>
      <c r="C244" s="33"/>
      <c r="D244" s="33"/>
      <c r="E244" s="33"/>
      <c r="F244" s="33"/>
      <c r="G244" s="33"/>
      <c r="H244" s="33"/>
      <c r="I244" s="33"/>
      <c r="J244" s="33"/>
      <c r="K244" s="33"/>
      <c r="L244" s="34"/>
      <c r="M244" s="34"/>
      <c r="N244" s="34"/>
      <c r="O244" s="34"/>
      <c r="P244" s="33"/>
      <c r="Q244" s="35"/>
      <c r="R244" s="33"/>
      <c r="S244" s="33"/>
      <c r="T244" s="33"/>
      <c r="U244" s="33"/>
      <c r="V244" s="33"/>
      <c r="W244" s="33"/>
    </row>
    <row r="245" customFormat="false" ht="15" hidden="false" customHeight="false" outlineLevel="0" collapsed="false">
      <c r="A245" s="33"/>
      <c r="B245" s="33"/>
      <c r="C245" s="33"/>
      <c r="D245" s="33"/>
      <c r="E245" s="33"/>
      <c r="F245" s="33"/>
      <c r="G245" s="33"/>
      <c r="H245" s="33"/>
      <c r="I245" s="33"/>
      <c r="J245" s="33"/>
      <c r="K245" s="33"/>
      <c r="L245" s="34"/>
      <c r="M245" s="34"/>
      <c r="N245" s="34"/>
      <c r="O245" s="34"/>
      <c r="P245" s="33"/>
      <c r="Q245" s="35"/>
      <c r="R245" s="33"/>
      <c r="S245" s="33"/>
      <c r="T245" s="33"/>
      <c r="U245" s="33"/>
      <c r="V245" s="33"/>
      <c r="W245" s="33"/>
    </row>
    <row r="246" customFormat="false" ht="15" hidden="false" customHeight="false" outlineLevel="0" collapsed="false">
      <c r="A246" s="33"/>
      <c r="B246" s="33"/>
      <c r="C246" s="33"/>
      <c r="D246" s="33"/>
      <c r="E246" s="33"/>
      <c r="F246" s="33"/>
      <c r="G246" s="33"/>
      <c r="H246" s="33"/>
      <c r="I246" s="33"/>
      <c r="J246" s="33"/>
      <c r="K246" s="33"/>
      <c r="L246" s="34"/>
      <c r="M246" s="34"/>
      <c r="N246" s="34"/>
      <c r="O246" s="34"/>
      <c r="P246" s="33"/>
      <c r="Q246" s="35"/>
      <c r="R246" s="33"/>
      <c r="S246" s="33"/>
      <c r="T246" s="33"/>
      <c r="U246" s="33"/>
      <c r="V246" s="33"/>
      <c r="W246" s="33"/>
    </row>
    <row r="247" customFormat="false" ht="15" hidden="false" customHeight="false" outlineLevel="0" collapsed="false">
      <c r="A247" s="33"/>
      <c r="B247" s="33"/>
      <c r="C247" s="33"/>
      <c r="D247" s="33"/>
      <c r="E247" s="33"/>
      <c r="F247" s="33"/>
      <c r="G247" s="33"/>
      <c r="H247" s="33"/>
      <c r="I247" s="33"/>
      <c r="J247" s="33"/>
      <c r="K247" s="33"/>
      <c r="L247" s="34"/>
      <c r="M247" s="34"/>
      <c r="N247" s="34"/>
      <c r="O247" s="34"/>
      <c r="P247" s="33"/>
      <c r="Q247" s="35"/>
      <c r="R247" s="33"/>
      <c r="S247" s="33"/>
      <c r="T247" s="33"/>
      <c r="U247" s="33"/>
      <c r="V247" s="33"/>
      <c r="W247" s="33"/>
    </row>
    <row r="248" customFormat="false" ht="15" hidden="false" customHeight="false" outlineLevel="0" collapsed="false">
      <c r="A248" s="33"/>
      <c r="B248" s="33"/>
      <c r="C248" s="33"/>
      <c r="D248" s="33"/>
      <c r="E248" s="33"/>
      <c r="F248" s="33"/>
      <c r="G248" s="33"/>
      <c r="H248" s="33"/>
      <c r="I248" s="33"/>
      <c r="J248" s="33"/>
      <c r="K248" s="33"/>
      <c r="L248" s="34"/>
      <c r="M248" s="34"/>
      <c r="N248" s="34"/>
      <c r="O248" s="34"/>
      <c r="P248" s="33"/>
      <c r="Q248" s="35"/>
      <c r="R248" s="33"/>
      <c r="S248" s="33"/>
      <c r="T248" s="33"/>
      <c r="U248" s="33"/>
      <c r="V248" s="33"/>
      <c r="W248" s="33"/>
    </row>
    <row r="249" customFormat="false" ht="15" hidden="false" customHeight="false" outlineLevel="0" collapsed="false">
      <c r="A249" s="33"/>
      <c r="B249" s="33"/>
      <c r="C249" s="33"/>
      <c r="D249" s="33"/>
      <c r="E249" s="33"/>
      <c r="F249" s="33"/>
      <c r="G249" s="33"/>
      <c r="H249" s="33"/>
      <c r="I249" s="33"/>
      <c r="J249" s="33"/>
      <c r="K249" s="33"/>
      <c r="L249" s="34"/>
      <c r="M249" s="34"/>
      <c r="N249" s="34"/>
      <c r="O249" s="34"/>
      <c r="P249" s="33"/>
      <c r="Q249" s="35"/>
      <c r="R249" s="33"/>
      <c r="S249" s="33"/>
      <c r="T249" s="33"/>
      <c r="U249" s="33"/>
      <c r="V249" s="33"/>
      <c r="W249" s="33"/>
    </row>
    <row r="250" customFormat="false" ht="15" hidden="false" customHeight="false" outlineLevel="0" collapsed="false">
      <c r="A250" s="33"/>
      <c r="B250" s="33"/>
      <c r="C250" s="33"/>
      <c r="D250" s="33"/>
      <c r="E250" s="33"/>
      <c r="F250" s="33"/>
      <c r="G250" s="33"/>
      <c r="H250" s="33"/>
      <c r="I250" s="33"/>
      <c r="J250" s="33"/>
      <c r="K250" s="33"/>
      <c r="L250" s="34"/>
      <c r="M250" s="34"/>
      <c r="N250" s="34"/>
      <c r="O250" s="34"/>
      <c r="P250" s="33"/>
      <c r="Q250" s="35"/>
      <c r="R250" s="33"/>
      <c r="S250" s="33"/>
      <c r="T250" s="33"/>
      <c r="U250" s="33"/>
      <c r="V250" s="33"/>
      <c r="W250" s="33"/>
    </row>
    <row r="251" customFormat="false" ht="15" hidden="false" customHeight="false" outlineLevel="0" collapsed="false">
      <c r="A251" s="33"/>
      <c r="B251" s="33"/>
      <c r="C251" s="33"/>
      <c r="D251" s="33"/>
      <c r="E251" s="33"/>
      <c r="F251" s="33"/>
      <c r="G251" s="33"/>
      <c r="H251" s="33"/>
      <c r="I251" s="33"/>
      <c r="J251" s="33"/>
      <c r="K251" s="33"/>
      <c r="L251" s="34"/>
      <c r="M251" s="34"/>
      <c r="N251" s="34"/>
      <c r="O251" s="34"/>
      <c r="P251" s="33"/>
      <c r="Q251" s="35"/>
      <c r="R251" s="33"/>
      <c r="S251" s="33"/>
      <c r="T251" s="33"/>
      <c r="U251" s="33"/>
      <c r="V251" s="33"/>
      <c r="W251" s="33"/>
    </row>
    <row r="252" customFormat="false" ht="15" hidden="false" customHeight="false" outlineLevel="0" collapsed="false">
      <c r="A252" s="33"/>
      <c r="B252" s="33"/>
      <c r="C252" s="33"/>
      <c r="D252" s="33"/>
      <c r="E252" s="33"/>
      <c r="F252" s="33"/>
      <c r="G252" s="33"/>
      <c r="H252" s="33"/>
      <c r="I252" s="33"/>
      <c r="J252" s="33"/>
      <c r="K252" s="33"/>
      <c r="L252" s="34"/>
      <c r="M252" s="34"/>
      <c r="N252" s="34"/>
      <c r="O252" s="34"/>
      <c r="P252" s="33"/>
      <c r="Q252" s="35"/>
      <c r="R252" s="33"/>
      <c r="S252" s="33"/>
      <c r="T252" s="33"/>
      <c r="U252" s="33"/>
      <c r="V252" s="33"/>
      <c r="W252" s="33"/>
    </row>
    <row r="253" customFormat="false" ht="15" hidden="false" customHeight="false" outlineLevel="0" collapsed="false">
      <c r="A253" s="33"/>
      <c r="B253" s="33"/>
      <c r="C253" s="33"/>
      <c r="D253" s="33"/>
      <c r="E253" s="33"/>
      <c r="F253" s="33"/>
      <c r="G253" s="33"/>
      <c r="H253" s="33"/>
      <c r="I253" s="33"/>
      <c r="J253" s="33"/>
      <c r="K253" s="33"/>
      <c r="L253" s="34"/>
      <c r="M253" s="34"/>
      <c r="N253" s="34"/>
      <c r="O253" s="34"/>
      <c r="P253" s="33"/>
      <c r="Q253" s="35"/>
      <c r="R253" s="33"/>
      <c r="S253" s="33"/>
      <c r="T253" s="33"/>
      <c r="U253" s="33"/>
      <c r="V253" s="33"/>
      <c r="W253" s="33"/>
    </row>
    <row r="254" customFormat="false" ht="15" hidden="false" customHeight="false" outlineLevel="0" collapsed="false">
      <c r="A254" s="33"/>
      <c r="B254" s="33"/>
      <c r="C254" s="33"/>
      <c r="D254" s="33"/>
      <c r="E254" s="33"/>
      <c r="F254" s="33"/>
      <c r="G254" s="33"/>
      <c r="H254" s="33"/>
      <c r="I254" s="33"/>
      <c r="J254" s="33"/>
      <c r="K254" s="33"/>
      <c r="L254" s="34"/>
      <c r="M254" s="34"/>
      <c r="N254" s="34"/>
      <c r="O254" s="34"/>
      <c r="P254" s="33"/>
      <c r="Q254" s="35"/>
      <c r="R254" s="33"/>
      <c r="S254" s="33"/>
      <c r="T254" s="33"/>
      <c r="U254" s="33"/>
      <c r="V254" s="33"/>
      <c r="W254" s="33"/>
    </row>
    <row r="255" customFormat="false" ht="15" hidden="false" customHeight="false" outlineLevel="0" collapsed="false">
      <c r="A255" s="33"/>
      <c r="B255" s="33"/>
      <c r="C255" s="33"/>
      <c r="D255" s="33"/>
      <c r="E255" s="33"/>
      <c r="F255" s="33"/>
      <c r="G255" s="33"/>
      <c r="H255" s="33"/>
      <c r="I255" s="33"/>
      <c r="J255" s="33"/>
      <c r="K255" s="33"/>
      <c r="L255" s="34"/>
      <c r="M255" s="34"/>
      <c r="N255" s="34"/>
      <c r="O255" s="34"/>
      <c r="P255" s="33"/>
      <c r="Q255" s="35"/>
      <c r="R255" s="33"/>
      <c r="S255" s="33"/>
      <c r="T255" s="33"/>
      <c r="U255" s="33"/>
      <c r="V255" s="33"/>
      <c r="W255" s="33"/>
    </row>
    <row r="256" customFormat="false" ht="15" hidden="false" customHeight="false" outlineLevel="0" collapsed="false">
      <c r="A256" s="33"/>
      <c r="B256" s="33"/>
      <c r="C256" s="33"/>
      <c r="D256" s="33"/>
      <c r="E256" s="33"/>
      <c r="F256" s="33"/>
      <c r="G256" s="33"/>
      <c r="H256" s="33"/>
      <c r="I256" s="33"/>
      <c r="J256" s="33"/>
      <c r="K256" s="33"/>
      <c r="L256" s="34"/>
      <c r="M256" s="34"/>
      <c r="N256" s="34"/>
      <c r="O256" s="34"/>
      <c r="P256" s="33"/>
      <c r="Q256" s="35"/>
      <c r="R256" s="33"/>
      <c r="S256" s="33"/>
      <c r="T256" s="33"/>
      <c r="U256" s="33"/>
      <c r="V256" s="33"/>
      <c r="W256" s="33"/>
    </row>
    <row r="257" customFormat="false" ht="15" hidden="false" customHeight="false" outlineLevel="0" collapsed="false">
      <c r="A257" s="33"/>
      <c r="B257" s="33"/>
      <c r="C257" s="33"/>
      <c r="D257" s="33"/>
      <c r="E257" s="33"/>
      <c r="F257" s="33"/>
      <c r="G257" s="33"/>
      <c r="H257" s="33"/>
      <c r="I257" s="33"/>
      <c r="J257" s="33"/>
      <c r="K257" s="33"/>
      <c r="L257" s="34"/>
      <c r="M257" s="34"/>
      <c r="N257" s="34"/>
      <c r="O257" s="34"/>
      <c r="P257" s="33"/>
      <c r="Q257" s="35"/>
      <c r="R257" s="33"/>
      <c r="S257" s="33"/>
      <c r="T257" s="33"/>
      <c r="U257" s="33"/>
      <c r="V257" s="33"/>
      <c r="W257" s="33"/>
    </row>
    <row r="258" customFormat="false" ht="15" hidden="false" customHeight="false" outlineLevel="0" collapsed="false">
      <c r="A258" s="33"/>
      <c r="B258" s="33"/>
      <c r="C258" s="33"/>
      <c r="D258" s="33"/>
      <c r="E258" s="33"/>
      <c r="F258" s="33"/>
      <c r="G258" s="33"/>
      <c r="H258" s="33"/>
      <c r="I258" s="33"/>
      <c r="J258" s="33"/>
      <c r="K258" s="33"/>
      <c r="L258" s="34"/>
      <c r="M258" s="34"/>
      <c r="N258" s="34"/>
      <c r="O258" s="34"/>
      <c r="P258" s="33"/>
      <c r="Q258" s="35"/>
      <c r="R258" s="33"/>
      <c r="S258" s="33"/>
      <c r="T258" s="33"/>
      <c r="U258" s="33"/>
      <c r="V258" s="33"/>
      <c r="W258" s="33"/>
    </row>
    <row r="259" customFormat="false" ht="15" hidden="false" customHeight="false" outlineLevel="0" collapsed="false">
      <c r="A259" s="33"/>
      <c r="B259" s="33"/>
      <c r="C259" s="33"/>
      <c r="D259" s="33"/>
      <c r="E259" s="33"/>
      <c r="F259" s="33"/>
      <c r="G259" s="33"/>
      <c r="H259" s="33"/>
      <c r="I259" s="33"/>
      <c r="J259" s="33"/>
      <c r="K259" s="33"/>
      <c r="L259" s="34"/>
      <c r="M259" s="34"/>
      <c r="N259" s="34"/>
      <c r="O259" s="34"/>
      <c r="P259" s="33"/>
      <c r="Q259" s="35"/>
      <c r="R259" s="33"/>
      <c r="S259" s="33"/>
      <c r="T259" s="33"/>
      <c r="U259" s="33"/>
      <c r="V259" s="33"/>
      <c r="W259" s="33"/>
    </row>
    <row r="260" customFormat="false" ht="15" hidden="false" customHeight="false" outlineLevel="0" collapsed="false">
      <c r="A260" s="33"/>
      <c r="B260" s="33"/>
      <c r="C260" s="33"/>
      <c r="D260" s="33"/>
      <c r="E260" s="33"/>
      <c r="F260" s="33"/>
      <c r="G260" s="33"/>
      <c r="H260" s="33"/>
      <c r="I260" s="33"/>
      <c r="J260" s="33"/>
      <c r="K260" s="33"/>
      <c r="L260" s="34"/>
      <c r="M260" s="34"/>
      <c r="N260" s="34"/>
      <c r="O260" s="34"/>
      <c r="P260" s="33"/>
      <c r="Q260" s="35"/>
      <c r="R260" s="33"/>
      <c r="S260" s="33"/>
      <c r="T260" s="33"/>
      <c r="U260" s="33"/>
      <c r="V260" s="33"/>
      <c r="W260" s="33"/>
    </row>
    <row r="261" customFormat="false" ht="15" hidden="false" customHeight="false" outlineLevel="0" collapsed="false">
      <c r="A261" s="33"/>
      <c r="B261" s="33"/>
      <c r="C261" s="33"/>
      <c r="D261" s="33"/>
      <c r="E261" s="33"/>
      <c r="F261" s="33"/>
      <c r="G261" s="33"/>
      <c r="H261" s="33"/>
      <c r="I261" s="33"/>
      <c r="J261" s="33"/>
      <c r="K261" s="33"/>
      <c r="L261" s="34"/>
      <c r="M261" s="34"/>
      <c r="N261" s="34"/>
      <c r="O261" s="34"/>
      <c r="P261" s="33"/>
      <c r="Q261" s="35"/>
      <c r="R261" s="33"/>
      <c r="S261" s="33"/>
      <c r="T261" s="33"/>
      <c r="U261" s="33"/>
      <c r="V261" s="33"/>
      <c r="W261" s="33"/>
    </row>
    <row r="262" customFormat="false" ht="15" hidden="false" customHeight="false" outlineLevel="0" collapsed="false">
      <c r="A262" s="33"/>
      <c r="B262" s="33"/>
      <c r="C262" s="33"/>
      <c r="D262" s="33"/>
      <c r="E262" s="33"/>
      <c r="F262" s="33"/>
      <c r="G262" s="33"/>
      <c r="H262" s="33"/>
      <c r="I262" s="33"/>
      <c r="J262" s="33"/>
      <c r="K262" s="33"/>
      <c r="L262" s="34"/>
      <c r="M262" s="34"/>
      <c r="N262" s="34"/>
      <c r="O262" s="34"/>
      <c r="P262" s="33"/>
      <c r="Q262" s="35"/>
      <c r="R262" s="33"/>
      <c r="S262" s="33"/>
      <c r="T262" s="33"/>
      <c r="U262" s="33"/>
      <c r="V262" s="33"/>
      <c r="W262" s="33"/>
    </row>
    <row r="263" customFormat="false" ht="15" hidden="false" customHeight="false" outlineLevel="0" collapsed="false">
      <c r="A263" s="33"/>
      <c r="B263" s="33"/>
      <c r="C263" s="33"/>
      <c r="D263" s="33"/>
      <c r="E263" s="33"/>
      <c r="F263" s="33"/>
      <c r="G263" s="33"/>
      <c r="H263" s="33"/>
      <c r="I263" s="33"/>
      <c r="J263" s="33"/>
      <c r="K263" s="33"/>
      <c r="L263" s="34"/>
      <c r="M263" s="34"/>
      <c r="N263" s="34"/>
      <c r="O263" s="34"/>
      <c r="P263" s="33"/>
      <c r="Q263" s="35"/>
      <c r="R263" s="33"/>
      <c r="S263" s="33"/>
      <c r="T263" s="33"/>
      <c r="U263" s="33"/>
      <c r="V263" s="33"/>
      <c r="W263" s="33"/>
    </row>
    <row r="264" customFormat="false" ht="15" hidden="false" customHeight="false" outlineLevel="0" collapsed="false">
      <c r="A264" s="33"/>
      <c r="B264" s="33"/>
      <c r="C264" s="33"/>
      <c r="D264" s="33"/>
      <c r="E264" s="33"/>
      <c r="F264" s="33"/>
      <c r="G264" s="33"/>
      <c r="H264" s="33"/>
      <c r="I264" s="33"/>
      <c r="J264" s="33"/>
      <c r="K264" s="33"/>
      <c r="L264" s="34"/>
      <c r="M264" s="34"/>
      <c r="N264" s="34"/>
      <c r="O264" s="34"/>
      <c r="P264" s="33"/>
      <c r="Q264" s="35"/>
      <c r="R264" s="33"/>
      <c r="S264" s="33"/>
      <c r="T264" s="33"/>
      <c r="U264" s="33"/>
      <c r="V264" s="33"/>
      <c r="W264" s="33"/>
    </row>
    <row r="265" customFormat="false" ht="15" hidden="false" customHeight="false" outlineLevel="0" collapsed="false">
      <c r="A265" s="33"/>
      <c r="B265" s="33"/>
      <c r="C265" s="33"/>
      <c r="D265" s="33"/>
      <c r="E265" s="33"/>
      <c r="F265" s="33"/>
      <c r="G265" s="33"/>
      <c r="H265" s="33"/>
      <c r="I265" s="33"/>
      <c r="J265" s="33"/>
      <c r="K265" s="33"/>
      <c r="L265" s="34"/>
      <c r="M265" s="34"/>
      <c r="N265" s="34"/>
      <c r="O265" s="34"/>
      <c r="P265" s="33"/>
      <c r="Q265" s="35"/>
      <c r="R265" s="33"/>
      <c r="S265" s="33"/>
      <c r="T265" s="33"/>
      <c r="U265" s="33"/>
      <c r="V265" s="33"/>
      <c r="W265" s="33"/>
    </row>
    <row r="266" customFormat="false" ht="15" hidden="false" customHeight="false" outlineLevel="0" collapsed="false">
      <c r="A266" s="33"/>
      <c r="B266" s="33"/>
      <c r="C266" s="33"/>
      <c r="D266" s="33"/>
      <c r="E266" s="33"/>
      <c r="F266" s="33"/>
      <c r="G266" s="33"/>
      <c r="H266" s="33"/>
      <c r="I266" s="33"/>
      <c r="J266" s="33"/>
      <c r="K266" s="33"/>
      <c r="L266" s="34"/>
      <c r="M266" s="34"/>
      <c r="N266" s="34"/>
      <c r="O266" s="34"/>
      <c r="P266" s="33"/>
      <c r="Q266" s="35"/>
      <c r="R266" s="33"/>
      <c r="S266" s="33"/>
      <c r="T266" s="33"/>
      <c r="U266" s="33"/>
      <c r="V266" s="33"/>
      <c r="W266" s="33"/>
    </row>
    <row r="267" customFormat="false" ht="15" hidden="false" customHeight="false" outlineLevel="0" collapsed="false">
      <c r="A267" s="33"/>
      <c r="B267" s="33"/>
      <c r="C267" s="33"/>
      <c r="D267" s="33"/>
      <c r="E267" s="33"/>
      <c r="F267" s="33"/>
      <c r="G267" s="33"/>
      <c r="H267" s="33"/>
      <c r="I267" s="33"/>
      <c r="J267" s="33"/>
      <c r="K267" s="33"/>
      <c r="L267" s="34"/>
      <c r="M267" s="34"/>
      <c r="N267" s="34"/>
      <c r="O267" s="34"/>
      <c r="P267" s="33"/>
      <c r="Q267" s="35"/>
      <c r="R267" s="33"/>
      <c r="S267" s="33"/>
      <c r="T267" s="33"/>
      <c r="U267" s="33"/>
      <c r="V267" s="33"/>
      <c r="W267" s="33"/>
    </row>
    <row r="268" customFormat="false" ht="15" hidden="false" customHeight="false" outlineLevel="0" collapsed="false">
      <c r="A268" s="33"/>
      <c r="B268" s="33"/>
      <c r="C268" s="33"/>
      <c r="D268" s="33"/>
      <c r="E268" s="33"/>
      <c r="F268" s="33"/>
      <c r="G268" s="33"/>
      <c r="H268" s="33"/>
      <c r="I268" s="33"/>
      <c r="J268" s="33"/>
      <c r="K268" s="33"/>
      <c r="L268" s="34"/>
      <c r="M268" s="34"/>
      <c r="N268" s="34"/>
      <c r="O268" s="34"/>
      <c r="P268" s="33"/>
      <c r="Q268" s="35"/>
      <c r="R268" s="33"/>
      <c r="S268" s="33"/>
      <c r="T268" s="33"/>
      <c r="U268" s="33"/>
      <c r="V268" s="33"/>
      <c r="W268" s="33"/>
    </row>
    <row r="269" customFormat="false" ht="15" hidden="false" customHeight="false" outlineLevel="0" collapsed="false">
      <c r="A269" s="33"/>
      <c r="B269" s="33"/>
      <c r="C269" s="33"/>
      <c r="D269" s="33"/>
      <c r="E269" s="33"/>
      <c r="F269" s="33"/>
      <c r="G269" s="33"/>
      <c r="H269" s="33"/>
      <c r="I269" s="33"/>
      <c r="J269" s="33"/>
      <c r="K269" s="33"/>
      <c r="L269" s="34"/>
      <c r="M269" s="34"/>
      <c r="N269" s="34"/>
      <c r="O269" s="34"/>
      <c r="P269" s="33"/>
      <c r="Q269" s="35"/>
      <c r="R269" s="33"/>
      <c r="S269" s="33"/>
      <c r="T269" s="33"/>
      <c r="U269" s="33"/>
      <c r="V269" s="33"/>
      <c r="W269" s="33"/>
    </row>
    <row r="270" customFormat="false" ht="15" hidden="false" customHeight="false" outlineLevel="0" collapsed="false">
      <c r="A270" s="33"/>
      <c r="B270" s="33"/>
      <c r="C270" s="33"/>
      <c r="D270" s="33"/>
      <c r="E270" s="33"/>
      <c r="F270" s="33"/>
      <c r="G270" s="33"/>
      <c r="H270" s="33"/>
      <c r="I270" s="33"/>
      <c r="J270" s="33"/>
      <c r="K270" s="33"/>
      <c r="L270" s="34"/>
      <c r="M270" s="34"/>
      <c r="N270" s="34"/>
      <c r="O270" s="34"/>
      <c r="P270" s="33"/>
      <c r="Q270" s="35"/>
      <c r="R270" s="33"/>
      <c r="S270" s="33"/>
      <c r="T270" s="33"/>
      <c r="U270" s="33"/>
      <c r="V270" s="33"/>
      <c r="W270" s="33"/>
    </row>
    <row r="271" customFormat="false" ht="15" hidden="false" customHeight="false" outlineLevel="0" collapsed="false">
      <c r="A271" s="33"/>
      <c r="B271" s="33"/>
      <c r="C271" s="33"/>
      <c r="D271" s="33"/>
      <c r="E271" s="33"/>
      <c r="F271" s="33"/>
      <c r="G271" s="33"/>
      <c r="H271" s="33"/>
      <c r="I271" s="33"/>
      <c r="J271" s="33"/>
      <c r="K271" s="33"/>
      <c r="L271" s="34"/>
      <c r="M271" s="34"/>
      <c r="N271" s="34"/>
      <c r="O271" s="34"/>
      <c r="P271" s="33"/>
      <c r="Q271" s="35"/>
      <c r="R271" s="33"/>
      <c r="S271" s="33"/>
      <c r="T271" s="33"/>
      <c r="U271" s="33"/>
      <c r="V271" s="33"/>
      <c r="W271" s="33"/>
    </row>
    <row r="272" customFormat="false" ht="15" hidden="false" customHeight="false" outlineLevel="0" collapsed="false">
      <c r="A272" s="33"/>
      <c r="B272" s="33"/>
      <c r="C272" s="33"/>
      <c r="D272" s="33"/>
      <c r="E272" s="33"/>
      <c r="F272" s="33"/>
      <c r="G272" s="33"/>
      <c r="H272" s="33"/>
      <c r="I272" s="33"/>
      <c r="J272" s="33"/>
      <c r="K272" s="33"/>
      <c r="L272" s="34"/>
      <c r="M272" s="34"/>
      <c r="N272" s="34"/>
      <c r="O272" s="34"/>
      <c r="P272" s="33"/>
      <c r="Q272" s="35"/>
      <c r="R272" s="33"/>
      <c r="S272" s="33"/>
      <c r="T272" s="33"/>
      <c r="U272" s="33"/>
      <c r="V272" s="33"/>
      <c r="W272" s="33"/>
    </row>
    <row r="273" customFormat="false" ht="15" hidden="false" customHeight="false" outlineLevel="0" collapsed="false">
      <c r="A273" s="33"/>
      <c r="B273" s="33"/>
      <c r="C273" s="33"/>
      <c r="D273" s="33"/>
      <c r="E273" s="33"/>
      <c r="F273" s="33"/>
      <c r="G273" s="33"/>
      <c r="H273" s="33"/>
      <c r="I273" s="33"/>
      <c r="J273" s="33"/>
      <c r="K273" s="33"/>
      <c r="L273" s="34"/>
      <c r="M273" s="34"/>
      <c r="N273" s="34"/>
      <c r="O273" s="34"/>
      <c r="P273" s="33"/>
      <c r="Q273" s="35"/>
      <c r="R273" s="33"/>
      <c r="S273" s="33"/>
      <c r="T273" s="33"/>
      <c r="U273" s="33"/>
      <c r="V273" s="33"/>
      <c r="W273" s="33"/>
    </row>
    <row r="274" customFormat="false" ht="15" hidden="false" customHeight="false" outlineLevel="0" collapsed="false">
      <c r="A274" s="33"/>
      <c r="B274" s="33"/>
      <c r="C274" s="33"/>
      <c r="D274" s="33"/>
      <c r="E274" s="33"/>
      <c r="F274" s="33"/>
      <c r="G274" s="33"/>
      <c r="H274" s="33"/>
      <c r="I274" s="33"/>
      <c r="J274" s="33"/>
      <c r="K274" s="33"/>
      <c r="L274" s="34"/>
      <c r="M274" s="34"/>
      <c r="N274" s="34"/>
      <c r="O274" s="34"/>
      <c r="P274" s="33"/>
      <c r="Q274" s="35"/>
      <c r="R274" s="33"/>
      <c r="S274" s="33"/>
      <c r="T274" s="33"/>
      <c r="U274" s="33"/>
      <c r="V274" s="33"/>
      <c r="W274" s="33"/>
    </row>
    <row r="275" customFormat="false" ht="15" hidden="false" customHeight="false" outlineLevel="0" collapsed="false">
      <c r="A275" s="33"/>
      <c r="B275" s="33"/>
      <c r="C275" s="33"/>
      <c r="D275" s="33"/>
      <c r="E275" s="33"/>
      <c r="F275" s="33"/>
      <c r="G275" s="33"/>
      <c r="H275" s="33"/>
      <c r="I275" s="33"/>
      <c r="J275" s="33"/>
      <c r="K275" s="33"/>
      <c r="L275" s="34"/>
      <c r="M275" s="34"/>
      <c r="N275" s="34"/>
      <c r="O275" s="34"/>
      <c r="P275" s="33"/>
      <c r="Q275" s="35"/>
      <c r="R275" s="33"/>
      <c r="S275" s="33"/>
      <c r="T275" s="33"/>
      <c r="U275" s="33"/>
      <c r="V275" s="33"/>
      <c r="W275" s="33"/>
    </row>
    <row r="276" customFormat="false" ht="15" hidden="false" customHeight="false" outlineLevel="0" collapsed="false">
      <c r="A276" s="33"/>
      <c r="B276" s="33"/>
      <c r="C276" s="33"/>
      <c r="D276" s="33"/>
      <c r="E276" s="33"/>
      <c r="F276" s="33"/>
      <c r="G276" s="33"/>
      <c r="H276" s="33"/>
      <c r="I276" s="33"/>
      <c r="J276" s="33"/>
      <c r="K276" s="33"/>
      <c r="L276" s="34"/>
      <c r="M276" s="34"/>
      <c r="N276" s="34"/>
      <c r="O276" s="34"/>
      <c r="P276" s="33"/>
      <c r="Q276" s="35"/>
      <c r="R276" s="33"/>
      <c r="S276" s="33"/>
      <c r="T276" s="33"/>
      <c r="U276" s="33"/>
      <c r="V276" s="33"/>
      <c r="W276" s="33"/>
    </row>
    <row r="277" customFormat="false" ht="15" hidden="false" customHeight="false" outlineLevel="0" collapsed="false">
      <c r="A277" s="33"/>
      <c r="B277" s="33"/>
      <c r="C277" s="33"/>
      <c r="D277" s="33"/>
      <c r="E277" s="33"/>
      <c r="F277" s="33"/>
      <c r="G277" s="33"/>
      <c r="H277" s="33"/>
      <c r="I277" s="33"/>
      <c r="J277" s="33"/>
      <c r="K277" s="33"/>
      <c r="L277" s="34"/>
      <c r="M277" s="34"/>
      <c r="N277" s="34"/>
      <c r="O277" s="34"/>
      <c r="P277" s="33"/>
      <c r="Q277" s="35"/>
      <c r="R277" s="33"/>
      <c r="S277" s="33"/>
      <c r="T277" s="33"/>
      <c r="U277" s="33"/>
      <c r="V277" s="33"/>
      <c r="W277" s="33"/>
    </row>
    <row r="278" customFormat="false" ht="15" hidden="false" customHeight="false" outlineLevel="0" collapsed="false">
      <c r="A278" s="33"/>
      <c r="B278" s="33"/>
      <c r="C278" s="33"/>
      <c r="D278" s="33"/>
      <c r="E278" s="33"/>
      <c r="F278" s="33"/>
      <c r="G278" s="33"/>
      <c r="H278" s="33"/>
      <c r="I278" s="33"/>
      <c r="J278" s="33"/>
      <c r="K278" s="33"/>
      <c r="L278" s="34"/>
      <c r="M278" s="34"/>
      <c r="N278" s="34"/>
      <c r="O278" s="34"/>
      <c r="P278" s="33"/>
      <c r="Q278" s="35"/>
      <c r="R278" s="33"/>
      <c r="S278" s="33"/>
      <c r="T278" s="33"/>
      <c r="U278" s="33"/>
      <c r="V278" s="33"/>
      <c r="W278" s="33"/>
    </row>
    <row r="279" customFormat="false" ht="15" hidden="false" customHeight="false" outlineLevel="0" collapsed="false">
      <c r="A279" s="33"/>
      <c r="B279" s="33"/>
      <c r="C279" s="33"/>
      <c r="D279" s="33"/>
      <c r="E279" s="33"/>
      <c r="F279" s="33"/>
      <c r="G279" s="33"/>
      <c r="H279" s="33"/>
      <c r="I279" s="33"/>
      <c r="J279" s="33"/>
      <c r="K279" s="33"/>
      <c r="L279" s="34"/>
      <c r="M279" s="34"/>
      <c r="N279" s="34"/>
      <c r="O279" s="34"/>
      <c r="P279" s="33"/>
      <c r="Q279" s="35"/>
      <c r="R279" s="33"/>
      <c r="S279" s="33"/>
      <c r="T279" s="33"/>
      <c r="U279" s="33"/>
      <c r="V279" s="33"/>
      <c r="W279" s="33"/>
    </row>
    <row r="280" customFormat="false" ht="15" hidden="false" customHeight="false" outlineLevel="0" collapsed="false">
      <c r="A280" s="33"/>
      <c r="B280" s="33"/>
      <c r="C280" s="33"/>
      <c r="D280" s="33"/>
      <c r="E280" s="33"/>
      <c r="F280" s="33"/>
      <c r="G280" s="33"/>
      <c r="H280" s="33"/>
      <c r="I280" s="33"/>
      <c r="J280" s="33"/>
      <c r="K280" s="33"/>
      <c r="L280" s="34"/>
      <c r="M280" s="34"/>
      <c r="N280" s="34"/>
      <c r="O280" s="34"/>
      <c r="P280" s="33"/>
      <c r="Q280" s="35"/>
      <c r="R280" s="33"/>
      <c r="S280" s="33"/>
      <c r="T280" s="33"/>
      <c r="U280" s="33"/>
      <c r="V280" s="33"/>
      <c r="W280" s="33"/>
    </row>
    <row r="281" customFormat="false" ht="15" hidden="false" customHeight="false" outlineLevel="0" collapsed="false">
      <c r="A281" s="33"/>
      <c r="B281" s="33"/>
      <c r="C281" s="33"/>
      <c r="D281" s="33"/>
      <c r="E281" s="33"/>
      <c r="F281" s="33"/>
      <c r="G281" s="33"/>
      <c r="H281" s="33"/>
      <c r="I281" s="33"/>
      <c r="J281" s="33"/>
      <c r="K281" s="33"/>
      <c r="L281" s="34"/>
      <c r="M281" s="34"/>
      <c r="N281" s="34"/>
      <c r="O281" s="34"/>
      <c r="P281" s="33"/>
      <c r="Q281" s="35"/>
      <c r="R281" s="33"/>
      <c r="S281" s="33"/>
      <c r="T281" s="33"/>
      <c r="U281" s="33"/>
      <c r="V281" s="33"/>
      <c r="W281" s="33"/>
    </row>
    <row r="282" customFormat="false" ht="15" hidden="false" customHeight="false" outlineLevel="0" collapsed="false">
      <c r="A282" s="33"/>
      <c r="B282" s="33"/>
      <c r="C282" s="33"/>
      <c r="D282" s="33"/>
      <c r="E282" s="33"/>
      <c r="F282" s="33"/>
      <c r="G282" s="33"/>
      <c r="H282" s="33"/>
      <c r="I282" s="33"/>
      <c r="J282" s="33"/>
      <c r="K282" s="33"/>
      <c r="L282" s="34"/>
      <c r="M282" s="34"/>
      <c r="N282" s="34"/>
      <c r="O282" s="34"/>
      <c r="P282" s="33"/>
      <c r="Q282" s="35"/>
      <c r="R282" s="33"/>
      <c r="S282" s="33"/>
      <c r="T282" s="33"/>
      <c r="U282" s="33"/>
      <c r="V282" s="33"/>
      <c r="W282" s="33"/>
    </row>
    <row r="283" customFormat="false" ht="15" hidden="false" customHeight="false" outlineLevel="0" collapsed="false">
      <c r="A283" s="33"/>
      <c r="B283" s="33"/>
      <c r="C283" s="33"/>
      <c r="D283" s="33"/>
      <c r="E283" s="33"/>
      <c r="F283" s="33"/>
      <c r="G283" s="33"/>
      <c r="H283" s="33"/>
      <c r="I283" s="33"/>
      <c r="J283" s="33"/>
      <c r="K283" s="33"/>
      <c r="L283" s="34"/>
      <c r="M283" s="34"/>
      <c r="N283" s="34"/>
      <c r="O283" s="34"/>
      <c r="P283" s="33"/>
      <c r="Q283" s="35"/>
      <c r="R283" s="33"/>
      <c r="S283" s="33"/>
      <c r="T283" s="33"/>
      <c r="U283" s="33"/>
      <c r="V283" s="33"/>
      <c r="W283" s="33"/>
    </row>
    <row r="284" customFormat="false" ht="15" hidden="false" customHeight="false" outlineLevel="0" collapsed="false">
      <c r="A284" s="33"/>
      <c r="B284" s="33"/>
      <c r="C284" s="33"/>
      <c r="D284" s="33"/>
      <c r="E284" s="33"/>
      <c r="F284" s="33"/>
      <c r="G284" s="33"/>
      <c r="H284" s="33"/>
      <c r="I284" s="33"/>
      <c r="J284" s="33"/>
      <c r="K284" s="33"/>
      <c r="L284" s="34"/>
      <c r="M284" s="34"/>
      <c r="N284" s="34"/>
      <c r="O284" s="34"/>
      <c r="P284" s="33"/>
      <c r="Q284" s="35"/>
      <c r="R284" s="33"/>
      <c r="S284" s="33"/>
      <c r="T284" s="33"/>
      <c r="U284" s="33"/>
      <c r="V284" s="33"/>
      <c r="W284" s="33"/>
    </row>
    <row r="285" customFormat="false" ht="15" hidden="false" customHeight="false" outlineLevel="0" collapsed="false">
      <c r="A285" s="33"/>
      <c r="B285" s="33"/>
      <c r="C285" s="33"/>
      <c r="D285" s="33"/>
      <c r="E285" s="33"/>
      <c r="F285" s="33"/>
      <c r="G285" s="33"/>
      <c r="H285" s="33"/>
      <c r="I285" s="33"/>
      <c r="J285" s="33"/>
      <c r="K285" s="33"/>
      <c r="L285" s="34"/>
      <c r="M285" s="34"/>
      <c r="N285" s="34"/>
      <c r="O285" s="34"/>
      <c r="P285" s="33"/>
      <c r="Q285" s="35"/>
      <c r="R285" s="33"/>
      <c r="S285" s="33"/>
      <c r="T285" s="33"/>
      <c r="U285" s="33"/>
      <c r="V285" s="33"/>
      <c r="W285" s="33"/>
    </row>
    <row r="286" customFormat="false" ht="15" hidden="false" customHeight="false" outlineLevel="0" collapsed="false">
      <c r="A286" s="33"/>
      <c r="B286" s="33"/>
      <c r="C286" s="33"/>
      <c r="D286" s="33"/>
      <c r="E286" s="33"/>
      <c r="F286" s="33"/>
      <c r="G286" s="33"/>
      <c r="H286" s="33"/>
      <c r="I286" s="33"/>
      <c r="J286" s="33"/>
      <c r="K286" s="33"/>
      <c r="L286" s="34"/>
      <c r="M286" s="34"/>
      <c r="N286" s="34"/>
      <c r="O286" s="34"/>
      <c r="P286" s="33"/>
      <c r="Q286" s="35"/>
      <c r="R286" s="33"/>
      <c r="S286" s="33"/>
      <c r="T286" s="33"/>
      <c r="U286" s="33"/>
      <c r="V286" s="33"/>
      <c r="W286" s="33"/>
    </row>
    <row r="287" customFormat="false" ht="15" hidden="false" customHeight="false" outlineLevel="0" collapsed="false">
      <c r="A287" s="33"/>
      <c r="B287" s="33"/>
      <c r="C287" s="33"/>
      <c r="D287" s="33"/>
      <c r="E287" s="33"/>
      <c r="F287" s="33"/>
      <c r="G287" s="33"/>
      <c r="H287" s="33"/>
      <c r="I287" s="33"/>
      <c r="J287" s="33"/>
      <c r="K287" s="33"/>
      <c r="L287" s="34"/>
      <c r="M287" s="34"/>
      <c r="N287" s="34"/>
      <c r="O287" s="34"/>
      <c r="P287" s="33"/>
      <c r="Q287" s="35"/>
      <c r="R287" s="33"/>
      <c r="S287" s="33"/>
      <c r="T287" s="33"/>
      <c r="U287" s="33"/>
      <c r="V287" s="33"/>
      <c r="W287" s="33"/>
    </row>
    <row r="288" customFormat="false" ht="15" hidden="false" customHeight="false" outlineLevel="0" collapsed="false">
      <c r="A288" s="33"/>
      <c r="B288" s="33"/>
      <c r="C288" s="33"/>
      <c r="D288" s="33"/>
      <c r="E288" s="33"/>
      <c r="F288" s="33"/>
      <c r="G288" s="33"/>
      <c r="H288" s="33"/>
      <c r="I288" s="33"/>
      <c r="J288" s="33"/>
      <c r="K288" s="33"/>
      <c r="L288" s="34"/>
      <c r="M288" s="34"/>
      <c r="N288" s="34"/>
      <c r="O288" s="34"/>
      <c r="P288" s="33"/>
      <c r="Q288" s="35"/>
      <c r="R288" s="33"/>
      <c r="S288" s="33"/>
      <c r="T288" s="33"/>
      <c r="U288" s="33"/>
      <c r="V288" s="33"/>
      <c r="W288" s="33"/>
    </row>
    <row r="289" customFormat="false" ht="15" hidden="false" customHeight="false" outlineLevel="0" collapsed="false">
      <c r="A289" s="33"/>
      <c r="B289" s="33"/>
      <c r="C289" s="33"/>
      <c r="D289" s="33"/>
      <c r="E289" s="33"/>
      <c r="F289" s="33"/>
      <c r="G289" s="33"/>
      <c r="H289" s="33"/>
      <c r="I289" s="33"/>
      <c r="J289" s="33"/>
      <c r="K289" s="33"/>
      <c r="L289" s="34"/>
      <c r="M289" s="34"/>
      <c r="N289" s="34"/>
      <c r="O289" s="34"/>
      <c r="P289" s="33"/>
      <c r="Q289" s="35"/>
      <c r="R289" s="33"/>
      <c r="S289" s="33"/>
      <c r="T289" s="33"/>
      <c r="U289" s="33"/>
      <c r="V289" s="33"/>
      <c r="W289" s="33"/>
    </row>
    <row r="290" customFormat="false" ht="15" hidden="false" customHeight="false" outlineLevel="0" collapsed="false">
      <c r="A290" s="33"/>
      <c r="B290" s="33"/>
      <c r="C290" s="33"/>
      <c r="D290" s="33"/>
      <c r="E290" s="33"/>
      <c r="F290" s="33"/>
      <c r="G290" s="33"/>
      <c r="H290" s="33"/>
      <c r="I290" s="33"/>
      <c r="J290" s="33"/>
      <c r="K290" s="33"/>
      <c r="L290" s="34"/>
      <c r="M290" s="34"/>
      <c r="N290" s="34"/>
      <c r="O290" s="34"/>
      <c r="P290" s="33"/>
      <c r="Q290" s="35"/>
      <c r="R290" s="33"/>
      <c r="S290" s="33"/>
      <c r="T290" s="33"/>
      <c r="U290" s="33"/>
      <c r="V290" s="33"/>
      <c r="W290" s="33"/>
    </row>
    <row r="291" customFormat="false" ht="15" hidden="false" customHeight="false" outlineLevel="0" collapsed="false">
      <c r="A291" s="33"/>
      <c r="B291" s="33"/>
      <c r="C291" s="33"/>
      <c r="D291" s="33"/>
      <c r="E291" s="33"/>
      <c r="F291" s="33"/>
      <c r="G291" s="33"/>
      <c r="H291" s="33"/>
      <c r="I291" s="33"/>
      <c r="J291" s="33"/>
      <c r="K291" s="33"/>
      <c r="L291" s="34"/>
      <c r="M291" s="34"/>
      <c r="N291" s="34"/>
      <c r="O291" s="34"/>
      <c r="P291" s="33"/>
      <c r="Q291" s="35"/>
      <c r="R291" s="33"/>
      <c r="S291" s="33"/>
      <c r="T291" s="33"/>
      <c r="U291" s="33"/>
      <c r="V291" s="33"/>
      <c r="W291" s="33"/>
    </row>
    <row r="292" customFormat="false" ht="15" hidden="false" customHeight="false" outlineLevel="0" collapsed="false">
      <c r="A292" s="33"/>
      <c r="B292" s="33"/>
      <c r="C292" s="33"/>
      <c r="D292" s="33"/>
      <c r="E292" s="33"/>
      <c r="F292" s="33"/>
      <c r="G292" s="33"/>
      <c r="H292" s="33"/>
      <c r="I292" s="33"/>
      <c r="J292" s="33"/>
      <c r="K292" s="33"/>
      <c r="L292" s="34"/>
      <c r="M292" s="34"/>
      <c r="N292" s="34"/>
      <c r="O292" s="34"/>
      <c r="P292" s="33"/>
      <c r="Q292" s="35"/>
      <c r="R292" s="33"/>
      <c r="S292" s="33"/>
      <c r="T292" s="33"/>
      <c r="U292" s="33"/>
      <c r="V292" s="33"/>
      <c r="W292" s="33"/>
    </row>
    <row r="293" customFormat="false" ht="15" hidden="false" customHeight="false" outlineLevel="0" collapsed="false">
      <c r="A293" s="33"/>
      <c r="B293" s="33"/>
      <c r="C293" s="33"/>
      <c r="D293" s="33"/>
      <c r="E293" s="33"/>
      <c r="F293" s="33"/>
      <c r="G293" s="33"/>
      <c r="H293" s="33"/>
      <c r="I293" s="33"/>
      <c r="J293" s="33"/>
      <c r="K293" s="33"/>
      <c r="L293" s="34"/>
      <c r="M293" s="34"/>
      <c r="N293" s="34"/>
      <c r="O293" s="34"/>
      <c r="P293" s="33"/>
      <c r="Q293" s="35"/>
      <c r="R293" s="33"/>
      <c r="S293" s="33"/>
      <c r="T293" s="33"/>
      <c r="U293" s="33"/>
      <c r="V293" s="33"/>
      <c r="W293" s="33"/>
    </row>
    <row r="294" customFormat="false" ht="15" hidden="false" customHeight="false" outlineLevel="0" collapsed="false">
      <c r="A294" s="33"/>
      <c r="B294" s="33"/>
      <c r="C294" s="33"/>
      <c r="D294" s="33"/>
      <c r="E294" s="33"/>
      <c r="F294" s="33"/>
      <c r="G294" s="33"/>
      <c r="H294" s="33"/>
      <c r="I294" s="33"/>
      <c r="J294" s="33"/>
      <c r="K294" s="33"/>
      <c r="L294" s="34"/>
      <c r="M294" s="34"/>
      <c r="N294" s="34"/>
      <c r="O294" s="34"/>
      <c r="P294" s="33"/>
      <c r="Q294" s="35"/>
      <c r="R294" s="33"/>
      <c r="S294" s="33"/>
      <c r="T294" s="33"/>
      <c r="U294" s="33"/>
      <c r="V294" s="33"/>
      <c r="W294" s="33"/>
    </row>
    <row r="295" customFormat="false" ht="15" hidden="false" customHeight="false" outlineLevel="0" collapsed="false">
      <c r="A295" s="33"/>
      <c r="B295" s="33"/>
      <c r="C295" s="33"/>
      <c r="D295" s="33"/>
      <c r="E295" s="33"/>
      <c r="F295" s="33"/>
      <c r="G295" s="33"/>
      <c r="H295" s="33"/>
      <c r="I295" s="33"/>
      <c r="J295" s="33"/>
      <c r="K295" s="33"/>
      <c r="L295" s="34"/>
      <c r="M295" s="34"/>
      <c r="N295" s="34"/>
      <c r="O295" s="34"/>
      <c r="P295" s="33"/>
      <c r="Q295" s="35"/>
      <c r="R295" s="33"/>
      <c r="S295" s="33"/>
      <c r="T295" s="33"/>
      <c r="U295" s="33"/>
      <c r="V295" s="33"/>
      <c r="W295" s="33"/>
    </row>
    <row r="296" customFormat="false" ht="15" hidden="false" customHeight="false" outlineLevel="0" collapsed="false">
      <c r="A296" s="33"/>
      <c r="B296" s="33"/>
      <c r="C296" s="33"/>
      <c r="D296" s="33"/>
      <c r="E296" s="33"/>
      <c r="F296" s="33"/>
      <c r="G296" s="33"/>
      <c r="H296" s="33"/>
      <c r="I296" s="33"/>
      <c r="J296" s="33"/>
      <c r="K296" s="33"/>
      <c r="L296" s="34"/>
      <c r="M296" s="34"/>
      <c r="N296" s="34"/>
      <c r="O296" s="34"/>
      <c r="P296" s="33"/>
      <c r="Q296" s="35"/>
      <c r="R296" s="33"/>
      <c r="S296" s="33"/>
      <c r="T296" s="33"/>
      <c r="U296" s="33"/>
      <c r="V296" s="33"/>
      <c r="W296" s="33"/>
    </row>
    <row r="297" customFormat="false" ht="15" hidden="false" customHeight="false" outlineLevel="0" collapsed="false">
      <c r="A297" s="33"/>
      <c r="B297" s="33"/>
      <c r="C297" s="33"/>
      <c r="D297" s="33"/>
      <c r="E297" s="33"/>
      <c r="F297" s="33"/>
      <c r="G297" s="33"/>
      <c r="H297" s="33"/>
      <c r="I297" s="33"/>
      <c r="J297" s="33"/>
      <c r="K297" s="33"/>
      <c r="L297" s="34"/>
      <c r="M297" s="34"/>
      <c r="N297" s="34"/>
      <c r="O297" s="34"/>
      <c r="P297" s="33"/>
      <c r="Q297" s="35"/>
      <c r="R297" s="33"/>
      <c r="S297" s="33"/>
      <c r="T297" s="33"/>
      <c r="U297" s="33"/>
      <c r="V297" s="33"/>
      <c r="W297" s="33"/>
    </row>
    <row r="298" customFormat="false" ht="15" hidden="false" customHeight="false" outlineLevel="0" collapsed="false">
      <c r="A298" s="33"/>
      <c r="B298" s="33"/>
      <c r="C298" s="33"/>
      <c r="D298" s="33"/>
      <c r="E298" s="33"/>
      <c r="F298" s="33"/>
      <c r="G298" s="33"/>
      <c r="H298" s="33"/>
      <c r="I298" s="33"/>
      <c r="J298" s="33"/>
      <c r="K298" s="33"/>
      <c r="L298" s="34"/>
      <c r="M298" s="34"/>
      <c r="N298" s="34"/>
      <c r="O298" s="34"/>
      <c r="P298" s="33"/>
      <c r="Q298" s="35"/>
      <c r="R298" s="33"/>
      <c r="S298" s="33"/>
      <c r="T298" s="33"/>
      <c r="U298" s="33"/>
      <c r="V298" s="33"/>
      <c r="W298" s="33"/>
    </row>
    <row r="299" customFormat="false" ht="15" hidden="false" customHeight="false" outlineLevel="0" collapsed="false">
      <c r="A299" s="33"/>
      <c r="B299" s="33"/>
      <c r="C299" s="33"/>
      <c r="D299" s="33"/>
      <c r="E299" s="33"/>
      <c r="F299" s="33"/>
      <c r="G299" s="33"/>
      <c r="H299" s="33"/>
      <c r="I299" s="33"/>
      <c r="J299" s="33"/>
      <c r="K299" s="33"/>
      <c r="L299" s="34"/>
      <c r="M299" s="34"/>
      <c r="N299" s="34"/>
      <c r="O299" s="34"/>
      <c r="P299" s="33"/>
      <c r="Q299" s="35"/>
      <c r="R299" s="33"/>
      <c r="S299" s="33"/>
      <c r="T299" s="33"/>
      <c r="U299" s="33"/>
      <c r="V299" s="33"/>
      <c r="W299" s="33"/>
    </row>
    <row r="300" customFormat="false" ht="15" hidden="false" customHeight="false" outlineLevel="0" collapsed="false">
      <c r="A300" s="33"/>
      <c r="B300" s="33"/>
      <c r="C300" s="33"/>
      <c r="D300" s="33"/>
      <c r="E300" s="33"/>
      <c r="F300" s="33"/>
      <c r="G300" s="33"/>
      <c r="H300" s="33"/>
      <c r="I300" s="33"/>
      <c r="J300" s="33"/>
      <c r="K300" s="33"/>
      <c r="L300" s="34"/>
      <c r="M300" s="34"/>
      <c r="N300" s="34"/>
      <c r="O300" s="34"/>
      <c r="P300" s="33"/>
      <c r="Q300" s="35"/>
      <c r="R300" s="33"/>
      <c r="S300" s="33"/>
      <c r="T300" s="33"/>
      <c r="U300" s="33"/>
      <c r="V300" s="33"/>
      <c r="W300" s="33"/>
    </row>
  </sheetData>
  <autoFilter ref="A4:W11"/>
  <mergeCells count="6">
    <mergeCell ref="A3:C3"/>
    <mergeCell ref="D3:H3"/>
    <mergeCell ref="I3:O3"/>
    <mergeCell ref="P3:R3"/>
    <mergeCell ref="S3:U3"/>
    <mergeCell ref="V3:W3"/>
  </mergeCells>
  <conditionalFormatting sqref="P5:P300">
    <cfRule type="expression" priority="2" aboveAverage="0" equalAverage="0" bottom="0" percent="0" rank="0" text="" dxfId="5">
      <formula>$P5="AVL"</formula>
    </cfRule>
    <cfRule type="expression" priority="3" aboveAverage="0" equalAverage="0" bottom="0" percent="0" rank="0" text="" dxfId="6">
      <formula>$P5="Qualified"</formula>
    </cfRule>
    <cfRule type="expression" priority="4" aboveAverage="0" equalAverage="0" bottom="0" percent="0" rank="0" text="" dxfId="7">
      <formula>$P5="Prequalified"</formula>
    </cfRule>
    <cfRule type="expression" priority="5" aboveAverage="0" equalAverage="0" bottom="0" percent="0" rank="0" text="" dxfId="8">
      <formula>$P5="On Hold"</formula>
    </cfRule>
    <cfRule type="expression" priority="6" aboveAverage="0" equalAverage="0" bottom="0" percent="0" rank="0" text="" dxfId="9">
      <formula>$P5="Disqualified"</formula>
    </cfRule>
  </conditionalFormatting>
  <conditionalFormatting sqref="W5:W300">
    <cfRule type="expression" priority="7" aboveAverage="0" equalAverage="0" bottom="0" percent="0" rank="0" text="" dxfId="9">
      <formula>$W5="High"</formula>
    </cfRule>
    <cfRule type="expression" priority="8" aboveAverage="0" equalAverage="0" bottom="0" percent="0" rank="0" text="" dxfId="10">
      <formula>$W5="FEOC Review"</formula>
    </cfRule>
    <cfRule type="expression" priority="9" aboveAverage="0" equalAverage="0" bottom="0" percent="0" rank="0" text="" dxfId="8">
      <formula>$W5="Medium"</formula>
    </cfRule>
    <cfRule type="expression" priority="10" aboveAverage="0" equalAverage="0" bottom="0" percent="0" rank="0" text="" dxfId="5">
      <formula>$W5="Low"</formula>
    </cfRule>
  </conditionalFormatting>
  <dataValidations count="5">
    <dataValidation allowBlank="true" error="Pick a value from the list (edit the Lists tab to change options)." errorStyle="stop" errorTitle="Invalid entry" operator="between" showDropDown="false" showErrorMessage="true" showInputMessage="false" sqref="P5:P300" type="list">
      <formula1>lst_status</formula1>
      <formula2>0</formula2>
    </dataValidation>
    <dataValidation allowBlank="true" error="Pick a value from the list (edit the Lists tab to change options)." errorStyle="stop" errorTitle="Invalid entry" operator="between" showDropDown="false" showErrorMessage="true" showInputMessage="false" sqref="R5:R300" type="list">
      <formula1>lst_rfx</formula1>
      <formula2>0</formula2>
    </dataValidation>
    <dataValidation allowBlank="true" error="Pick a value from the list (edit the Lists tab to change options)." errorStyle="stop" errorTitle="Invalid entry" operator="between" showDropDown="false" showErrorMessage="true" showInputMessage="false" sqref="T5:T300" type="list">
      <formula1>lst_fin</formula1>
      <formula2>0</formula2>
    </dataValidation>
    <dataValidation allowBlank="true" error="Pick a value from the list (edit the Lists tab to change options)." errorStyle="stop" errorTitle="Invalid entry" operator="between" showDropDown="false" showErrorMessage="true" showInputMessage="false" sqref="W5:W300" type="list">
      <formula1>lst_scr</formula1>
      <formula2>0</formula2>
    </dataValidation>
    <dataValidation allowBlank="true" error="Enter a date (yyyy-mm-dd)." errorStyle="stop" operator="greaterThan" showDropDown="false" showErrorMessage="true" showInputMessage="false" sqref="Q5:Q300" type="date">
      <formula1>DATE(2020,1,1)</formula1>
      <formula2>0</formula2>
    </dataValidation>
  </dataValidations>
  <hyperlinks>
    <hyperlink ref="I5" r:id="rId2" display="https://www.kimley-horn.com/"/>
    <hyperlink ref="K5" r:id="rId3" display="https://www.kimley-horn.com/contact/"/>
    <hyperlink ref="I6" r:id="rId4" display="https://westwoodps.com/"/>
    <hyperlink ref="K6" r:id="rId5" display="https://westwoodps.com/contact-us"/>
    <hyperlink ref="I7" r:id="rId6" display="https://www.halff.com/"/>
    <hyperlink ref="K7" r:id="rId7" display="https://www.halff.com/contact/"/>
    <hyperlink ref="I8" r:id="rId8" display="https://www.pape-dawson.com/"/>
    <hyperlink ref="K8" r:id="rId9" display="https://www.pape-dawson.com/contact"/>
    <hyperlink ref="I9" r:id="rId10" display="https://bowman.com/"/>
    <hyperlink ref="K9" r:id="rId11" display="https://bowman.com/contact"/>
    <hyperlink ref="I10" r:id="rId12" display="https://www.terracon.com/"/>
    <hyperlink ref="K10" r:id="rId13" display="https://www.terracon.com/contact/"/>
    <hyperlink ref="I11" r:id="rId14" display="https://www.burnsmcd.com/"/>
    <hyperlink ref="K11" r:id="rId15" display="https://info.burnsmcd.com/contact-u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6"/>
  <legacyDrawing r:id="rId17"/>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C8A"/>
    <pageSetUpPr fitToPage="false"/>
  </sheetPr>
  <dimension ref="A1:W30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40"/>
    <col collapsed="false" customWidth="true" hidden="false" outlineLevel="0" max="4" min="4" style="0" width="15"/>
    <col collapsed="false" customWidth="true" hidden="false" outlineLevel="0" max="5" min="5" style="0" width="11"/>
    <col collapsed="false" customWidth="true" hidden="false" outlineLevel="0" max="6" min="6" style="0" width="13"/>
    <col collapsed="false" customWidth="true" hidden="false" outlineLevel="0" max="7" min="7" style="0" width="18"/>
    <col collapsed="false" customWidth="true" hidden="false" outlineLevel="0" max="9" min="8" style="0" width="28"/>
    <col collapsed="false" customWidth="true" hidden="false" outlineLevel="0" max="10" min="10" style="0" width="18"/>
    <col collapsed="false" customWidth="true" hidden="false" outlineLevel="0" max="11" min="11" style="0" width="28"/>
    <col collapsed="false" customWidth="true" hidden="false" outlineLevel="0" max="12" min="12" style="0" width="20"/>
    <col collapsed="false" customWidth="true" hidden="false" outlineLevel="0" max="13" min="13" style="0" width="18"/>
    <col collapsed="false" customWidth="true" hidden="false" outlineLevel="0" max="14" min="14" style="0" width="24"/>
    <col collapsed="false" customWidth="true" hidden="false" outlineLevel="0" max="16" min="15" style="0" width="15"/>
    <col collapsed="false" customWidth="true" hidden="false" outlineLevel="0" max="17" min="17" style="0" width="12"/>
    <col collapsed="false" customWidth="true" hidden="false" outlineLevel="0" max="18" min="18" style="0" width="14"/>
    <col collapsed="false" customWidth="true" hidden="false" outlineLevel="0" max="19" min="19" style="0" width="24"/>
    <col collapsed="false" customWidth="true" hidden="false" outlineLevel="0" max="20" min="20" style="0" width="13"/>
    <col collapsed="false" customWidth="true" hidden="false" outlineLevel="0" max="22" min="21" style="0" width="45"/>
    <col collapsed="false" customWidth="true" hidden="false" outlineLevel="0" max="23" min="23" style="0" width="13"/>
  </cols>
  <sheetData>
    <row r="1" customFormat="false" ht="17.35" hidden="false" customHeight="false" outlineLevel="0" collapsed="false">
      <c r="A1" s="16" t="s">
        <v>266</v>
      </c>
    </row>
    <row r="2" customFormat="false" ht="15" hidden="false" customHeight="false" outlineLevel="0" collapsed="false">
      <c r="A2" s="2" t="s">
        <v>87</v>
      </c>
    </row>
    <row r="3" customFormat="false" ht="15" hidden="false" customHeight="false" outlineLevel="0" collapsed="false">
      <c r="A3" s="22" t="s">
        <v>58</v>
      </c>
      <c r="B3" s="22"/>
      <c r="C3" s="22"/>
      <c r="D3" s="23" t="s">
        <v>60</v>
      </c>
      <c r="E3" s="23"/>
      <c r="F3" s="23"/>
      <c r="G3" s="23"/>
      <c r="H3" s="23"/>
      <c r="I3" s="24" t="s">
        <v>61</v>
      </c>
      <c r="J3" s="24"/>
      <c r="K3" s="24"/>
      <c r="L3" s="24"/>
      <c r="M3" s="24"/>
      <c r="N3" s="24"/>
      <c r="O3" s="24"/>
      <c r="P3" s="25" t="s">
        <v>62</v>
      </c>
      <c r="Q3" s="25"/>
      <c r="R3" s="25"/>
      <c r="S3" s="26" t="s">
        <v>32</v>
      </c>
      <c r="T3" s="26"/>
      <c r="U3" s="26"/>
      <c r="V3" s="27" t="s">
        <v>34</v>
      </c>
      <c r="W3" s="27"/>
    </row>
    <row r="4" customFormat="false" ht="31.5" hidden="false" customHeight="true" outlineLevel="0" collapsed="false">
      <c r="A4" s="28" t="s">
        <v>88</v>
      </c>
      <c r="B4" s="28" t="s">
        <v>89</v>
      </c>
      <c r="C4" s="28" t="s">
        <v>267</v>
      </c>
      <c r="D4" s="28" t="s">
        <v>91</v>
      </c>
      <c r="E4" s="28" t="s">
        <v>92</v>
      </c>
      <c r="F4" s="28" t="s">
        <v>93</v>
      </c>
      <c r="G4" s="28" t="s">
        <v>94</v>
      </c>
      <c r="H4" s="28" t="s">
        <v>95</v>
      </c>
      <c r="I4" s="28" t="s">
        <v>96</v>
      </c>
      <c r="J4" s="28" t="s">
        <v>97</v>
      </c>
      <c r="K4" s="28" t="s">
        <v>98</v>
      </c>
      <c r="L4" s="28" t="s">
        <v>99</v>
      </c>
      <c r="M4" s="28" t="s">
        <v>100</v>
      </c>
      <c r="N4" s="28" t="s">
        <v>101</v>
      </c>
      <c r="O4" s="28" t="s">
        <v>102</v>
      </c>
      <c r="P4" s="28" t="s">
        <v>103</v>
      </c>
      <c r="Q4" s="28" t="s">
        <v>104</v>
      </c>
      <c r="R4" s="28" t="s">
        <v>105</v>
      </c>
      <c r="S4" s="28" t="s">
        <v>106</v>
      </c>
      <c r="T4" s="28" t="s">
        <v>41</v>
      </c>
      <c r="U4" s="28" t="s">
        <v>107</v>
      </c>
      <c r="V4" s="28" t="s">
        <v>108</v>
      </c>
      <c r="W4" s="28" t="s">
        <v>109</v>
      </c>
    </row>
    <row r="5" customFormat="false" ht="32.8" hidden="false" customHeight="false" outlineLevel="0" collapsed="false">
      <c r="A5" s="29" t="s">
        <v>268</v>
      </c>
      <c r="B5" s="29" t="s">
        <v>269</v>
      </c>
      <c r="C5" s="29" t="s">
        <v>270</v>
      </c>
      <c r="D5" s="29" t="s">
        <v>271</v>
      </c>
      <c r="E5" s="29" t="s">
        <v>184</v>
      </c>
      <c r="F5" s="29" t="s">
        <v>127</v>
      </c>
      <c r="G5" s="29"/>
      <c r="H5" s="29" t="s">
        <v>272</v>
      </c>
      <c r="I5" s="30" t="s">
        <v>273</v>
      </c>
      <c r="J5" s="29" t="s">
        <v>274</v>
      </c>
      <c r="K5" s="30" t="s">
        <v>275</v>
      </c>
      <c r="L5" s="31"/>
      <c r="M5" s="31"/>
      <c r="N5" s="31"/>
      <c r="O5" s="31"/>
      <c r="P5" s="29" t="s">
        <v>19</v>
      </c>
      <c r="Q5" s="32" t="n">
        <v>46300</v>
      </c>
      <c r="R5" s="29" t="s">
        <v>117</v>
      </c>
      <c r="S5" s="29" t="s">
        <v>214</v>
      </c>
      <c r="T5" s="29" t="s">
        <v>119</v>
      </c>
      <c r="U5" s="29" t="s">
        <v>276</v>
      </c>
      <c r="V5" s="29" t="s">
        <v>277</v>
      </c>
      <c r="W5" s="29" t="s">
        <v>119</v>
      </c>
    </row>
    <row r="6" customFormat="false" ht="32.8" hidden="false" customHeight="false" outlineLevel="0" collapsed="false">
      <c r="A6" s="29" t="s">
        <v>278</v>
      </c>
      <c r="B6" s="29" t="s">
        <v>279</v>
      </c>
      <c r="C6" s="29" t="s">
        <v>280</v>
      </c>
      <c r="D6" s="29" t="s">
        <v>281</v>
      </c>
      <c r="E6" s="29" t="s">
        <v>282</v>
      </c>
      <c r="F6" s="29" t="s">
        <v>127</v>
      </c>
      <c r="G6" s="29"/>
      <c r="H6" s="29" t="s">
        <v>271</v>
      </c>
      <c r="I6" s="30" t="s">
        <v>283</v>
      </c>
      <c r="J6" s="29" t="s">
        <v>284</v>
      </c>
      <c r="K6" s="30" t="s">
        <v>285</v>
      </c>
      <c r="L6" s="31"/>
      <c r="M6" s="31"/>
      <c r="N6" s="31"/>
      <c r="O6" s="31"/>
      <c r="P6" s="29" t="s">
        <v>19</v>
      </c>
      <c r="Q6" s="32" t="n">
        <v>46300</v>
      </c>
      <c r="R6" s="29" t="s">
        <v>117</v>
      </c>
      <c r="S6" s="29" t="s">
        <v>286</v>
      </c>
      <c r="T6" s="29" t="s">
        <v>119</v>
      </c>
      <c r="U6" s="29" t="s">
        <v>287</v>
      </c>
      <c r="V6" s="29" t="s">
        <v>288</v>
      </c>
      <c r="W6" s="29" t="s">
        <v>119</v>
      </c>
    </row>
    <row r="7" customFormat="false" ht="22.35" hidden="false" customHeight="false" outlineLevel="0" collapsed="false">
      <c r="A7" s="29" t="s">
        <v>289</v>
      </c>
      <c r="B7" s="29" t="s">
        <v>256</v>
      </c>
      <c r="C7" s="29" t="s">
        <v>290</v>
      </c>
      <c r="D7" s="29" t="s">
        <v>258</v>
      </c>
      <c r="E7" s="29" t="s">
        <v>259</v>
      </c>
      <c r="F7" s="29" t="s">
        <v>127</v>
      </c>
      <c r="G7" s="29"/>
      <c r="H7" s="29" t="s">
        <v>260</v>
      </c>
      <c r="I7" s="30" t="s">
        <v>261</v>
      </c>
      <c r="J7" s="29"/>
      <c r="K7" s="30" t="s">
        <v>262</v>
      </c>
      <c r="L7" s="31"/>
      <c r="M7" s="31"/>
      <c r="N7" s="31"/>
      <c r="O7" s="31"/>
      <c r="P7" s="29" t="s">
        <v>19</v>
      </c>
      <c r="Q7" s="32" t="n">
        <v>46300</v>
      </c>
      <c r="R7" s="29" t="s">
        <v>117</v>
      </c>
      <c r="S7" s="29" t="s">
        <v>263</v>
      </c>
      <c r="T7" s="29" t="s">
        <v>119</v>
      </c>
      <c r="U7" s="29" t="s">
        <v>291</v>
      </c>
      <c r="V7" s="29" t="s">
        <v>203</v>
      </c>
      <c r="W7" s="29" t="s">
        <v>119</v>
      </c>
    </row>
    <row r="8" customFormat="false" ht="22.35" hidden="false" customHeight="false" outlineLevel="0" collapsed="false">
      <c r="A8" s="29" t="s">
        <v>292</v>
      </c>
      <c r="B8" s="29" t="s">
        <v>293</v>
      </c>
      <c r="C8" s="29" t="s">
        <v>294</v>
      </c>
      <c r="D8" s="29" t="s">
        <v>295</v>
      </c>
      <c r="E8" s="29" t="s">
        <v>160</v>
      </c>
      <c r="F8" s="29" t="s">
        <v>127</v>
      </c>
      <c r="G8" s="29"/>
      <c r="H8" s="29" t="s">
        <v>271</v>
      </c>
      <c r="I8" s="30" t="s">
        <v>296</v>
      </c>
      <c r="J8" s="29" t="s">
        <v>297</v>
      </c>
      <c r="K8" s="30" t="s">
        <v>298</v>
      </c>
      <c r="L8" s="31"/>
      <c r="M8" s="31"/>
      <c r="N8" s="31"/>
      <c r="O8" s="31"/>
      <c r="P8" s="29" t="s">
        <v>19</v>
      </c>
      <c r="Q8" s="32" t="n">
        <v>46300</v>
      </c>
      <c r="R8" s="29" t="s">
        <v>117</v>
      </c>
      <c r="S8" s="29" t="s">
        <v>201</v>
      </c>
      <c r="T8" s="29" t="s">
        <v>119</v>
      </c>
      <c r="U8" s="29" t="s">
        <v>299</v>
      </c>
      <c r="V8" s="29" t="s">
        <v>300</v>
      </c>
      <c r="W8" s="29" t="s">
        <v>119</v>
      </c>
    </row>
    <row r="9" customFormat="false" ht="43.25" hidden="false" customHeight="false" outlineLevel="0" collapsed="false">
      <c r="A9" s="29" t="s">
        <v>301</v>
      </c>
      <c r="B9" s="29" t="s">
        <v>302</v>
      </c>
      <c r="C9" s="29" t="s">
        <v>303</v>
      </c>
      <c r="D9" s="29" t="s">
        <v>304</v>
      </c>
      <c r="E9" s="29" t="s">
        <v>305</v>
      </c>
      <c r="F9" s="29" t="s">
        <v>127</v>
      </c>
      <c r="G9" s="29"/>
      <c r="H9" s="29" t="s">
        <v>306</v>
      </c>
      <c r="I9" s="30" t="s">
        <v>307</v>
      </c>
      <c r="J9" s="29"/>
      <c r="K9" s="29"/>
      <c r="L9" s="31"/>
      <c r="M9" s="31"/>
      <c r="N9" s="31"/>
      <c r="O9" s="31"/>
      <c r="P9" s="29" t="s">
        <v>19</v>
      </c>
      <c r="Q9" s="32" t="n">
        <v>46300</v>
      </c>
      <c r="R9" s="29" t="s">
        <v>117</v>
      </c>
      <c r="S9" s="29" t="s">
        <v>308</v>
      </c>
      <c r="T9" s="29" t="s">
        <v>119</v>
      </c>
      <c r="U9" s="29" t="s">
        <v>309</v>
      </c>
      <c r="V9" s="29" t="s">
        <v>310</v>
      </c>
      <c r="W9" s="29" t="s">
        <v>119</v>
      </c>
    </row>
    <row r="10" customFormat="false" ht="32.8" hidden="false" customHeight="false" outlineLevel="0" collapsed="false">
      <c r="A10" s="29" t="s">
        <v>311</v>
      </c>
      <c r="B10" s="29" t="s">
        <v>312</v>
      </c>
      <c r="C10" s="29" t="s">
        <v>313</v>
      </c>
      <c r="D10" s="29" t="s">
        <v>314</v>
      </c>
      <c r="E10" s="29" t="s">
        <v>315</v>
      </c>
      <c r="F10" s="29" t="s">
        <v>127</v>
      </c>
      <c r="G10" s="29"/>
      <c r="H10" s="29"/>
      <c r="I10" s="30" t="s">
        <v>316</v>
      </c>
      <c r="J10" s="29"/>
      <c r="K10" s="29"/>
      <c r="L10" s="31"/>
      <c r="M10" s="31"/>
      <c r="N10" s="31"/>
      <c r="O10" s="31"/>
      <c r="P10" s="29" t="s">
        <v>19</v>
      </c>
      <c r="Q10" s="32" t="n">
        <v>46300</v>
      </c>
      <c r="R10" s="29" t="s">
        <v>117</v>
      </c>
      <c r="S10" s="29"/>
      <c r="T10" s="29" t="s">
        <v>119</v>
      </c>
      <c r="U10" s="29" t="s">
        <v>317</v>
      </c>
      <c r="V10" s="29" t="s">
        <v>318</v>
      </c>
      <c r="W10" s="29" t="s">
        <v>119</v>
      </c>
    </row>
    <row r="11" customFormat="false" ht="15" hidden="false" customHeight="false" outlineLevel="0" collapsed="false">
      <c r="A11" s="29"/>
      <c r="B11" s="29"/>
      <c r="C11" s="29"/>
      <c r="D11" s="29"/>
      <c r="E11" s="29"/>
      <c r="F11" s="29"/>
      <c r="G11" s="29"/>
      <c r="H11" s="29"/>
      <c r="I11" s="29"/>
      <c r="J11" s="29"/>
      <c r="K11" s="29"/>
      <c r="L11" s="31"/>
      <c r="M11" s="31"/>
      <c r="N11" s="31"/>
      <c r="O11" s="31"/>
      <c r="P11" s="29"/>
      <c r="Q11" s="32"/>
      <c r="R11" s="29"/>
      <c r="S11" s="29"/>
      <c r="T11" s="29"/>
      <c r="U11" s="29"/>
      <c r="V11" s="29"/>
      <c r="W11" s="29"/>
    </row>
    <row r="12" customFormat="false" ht="15" hidden="false" customHeight="false" outlineLevel="0" collapsed="false">
      <c r="A12" s="29"/>
      <c r="B12" s="29"/>
      <c r="C12" s="29"/>
      <c r="D12" s="29"/>
      <c r="E12" s="29"/>
      <c r="F12" s="29"/>
      <c r="G12" s="29"/>
      <c r="H12" s="29"/>
      <c r="I12" s="29"/>
      <c r="J12" s="29"/>
      <c r="K12" s="29"/>
      <c r="L12" s="31"/>
      <c r="M12" s="31"/>
      <c r="N12" s="31"/>
      <c r="O12" s="31"/>
      <c r="P12" s="29"/>
      <c r="Q12" s="32"/>
      <c r="R12" s="29"/>
      <c r="S12" s="29"/>
      <c r="T12" s="29"/>
      <c r="U12" s="29"/>
      <c r="V12" s="29"/>
      <c r="W12" s="29"/>
    </row>
    <row r="13" customFormat="false" ht="15" hidden="false" customHeight="false" outlineLevel="0" collapsed="false">
      <c r="A13" s="29"/>
      <c r="B13" s="29"/>
      <c r="C13" s="29"/>
      <c r="D13" s="29"/>
      <c r="E13" s="29"/>
      <c r="F13" s="29"/>
      <c r="G13" s="29"/>
      <c r="H13" s="29"/>
      <c r="I13" s="29"/>
      <c r="J13" s="29"/>
      <c r="K13" s="29"/>
      <c r="L13" s="31"/>
      <c r="M13" s="31"/>
      <c r="N13" s="31"/>
      <c r="O13" s="31"/>
      <c r="P13" s="29"/>
      <c r="Q13" s="32"/>
      <c r="R13" s="29"/>
      <c r="S13" s="29"/>
      <c r="T13" s="29"/>
      <c r="U13" s="29"/>
      <c r="V13" s="29"/>
      <c r="W13" s="29"/>
    </row>
    <row r="14" customFormat="false" ht="15" hidden="false" customHeight="false" outlineLevel="0" collapsed="false">
      <c r="A14" s="29"/>
      <c r="B14" s="29"/>
      <c r="C14" s="29"/>
      <c r="D14" s="29"/>
      <c r="E14" s="29"/>
      <c r="F14" s="29"/>
      <c r="G14" s="29"/>
      <c r="H14" s="29"/>
      <c r="I14" s="29"/>
      <c r="J14" s="29"/>
      <c r="K14" s="29"/>
      <c r="L14" s="31"/>
      <c r="M14" s="31"/>
      <c r="N14" s="31"/>
      <c r="O14" s="31"/>
      <c r="P14" s="29"/>
      <c r="Q14" s="32"/>
      <c r="R14" s="29"/>
      <c r="S14" s="29"/>
      <c r="T14" s="29"/>
      <c r="U14" s="29"/>
      <c r="V14" s="29"/>
      <c r="W14" s="29"/>
    </row>
    <row r="15" customFormat="false" ht="15" hidden="false" customHeight="false" outlineLevel="0" collapsed="false">
      <c r="A15" s="29"/>
      <c r="B15" s="29"/>
      <c r="C15" s="29"/>
      <c r="D15" s="29"/>
      <c r="E15" s="29"/>
      <c r="F15" s="29"/>
      <c r="G15" s="29"/>
      <c r="H15" s="29"/>
      <c r="I15" s="29"/>
      <c r="J15" s="29"/>
      <c r="K15" s="29"/>
      <c r="L15" s="31"/>
      <c r="M15" s="31"/>
      <c r="N15" s="31"/>
      <c r="O15" s="31"/>
      <c r="P15" s="29"/>
      <c r="Q15" s="32"/>
      <c r="R15" s="29"/>
      <c r="S15" s="29"/>
      <c r="T15" s="29"/>
      <c r="U15" s="29"/>
      <c r="V15" s="29"/>
      <c r="W15" s="29"/>
    </row>
    <row r="16" customFormat="false" ht="15" hidden="false" customHeight="false" outlineLevel="0" collapsed="false">
      <c r="A16" s="29"/>
      <c r="B16" s="29"/>
      <c r="C16" s="29"/>
      <c r="D16" s="29"/>
      <c r="E16" s="29"/>
      <c r="F16" s="29"/>
      <c r="G16" s="29"/>
      <c r="H16" s="29"/>
      <c r="I16" s="29"/>
      <c r="J16" s="29"/>
      <c r="K16" s="29"/>
      <c r="L16" s="31"/>
      <c r="M16" s="31"/>
      <c r="N16" s="31"/>
      <c r="O16" s="31"/>
      <c r="P16" s="29"/>
      <c r="Q16" s="32"/>
      <c r="R16" s="29"/>
      <c r="S16" s="29"/>
      <c r="T16" s="29"/>
      <c r="U16" s="29"/>
      <c r="V16" s="29"/>
      <c r="W16" s="29"/>
    </row>
    <row r="17" customFormat="false" ht="15" hidden="false" customHeight="false" outlineLevel="0" collapsed="false">
      <c r="A17" s="29"/>
      <c r="B17" s="29"/>
      <c r="C17" s="29"/>
      <c r="D17" s="29"/>
      <c r="E17" s="29"/>
      <c r="F17" s="29"/>
      <c r="G17" s="29"/>
      <c r="H17" s="29"/>
      <c r="I17" s="29"/>
      <c r="J17" s="29"/>
      <c r="K17" s="29"/>
      <c r="L17" s="31"/>
      <c r="M17" s="31"/>
      <c r="N17" s="31"/>
      <c r="O17" s="31"/>
      <c r="P17" s="29"/>
      <c r="Q17" s="32"/>
      <c r="R17" s="29"/>
      <c r="S17" s="29"/>
      <c r="T17" s="29"/>
      <c r="U17" s="29"/>
      <c r="V17" s="29"/>
      <c r="W17" s="29"/>
    </row>
    <row r="18" customFormat="false" ht="15" hidden="false" customHeight="false" outlineLevel="0" collapsed="false">
      <c r="A18" s="29"/>
      <c r="B18" s="29"/>
      <c r="C18" s="29"/>
      <c r="D18" s="29"/>
      <c r="E18" s="29"/>
      <c r="F18" s="29"/>
      <c r="G18" s="29"/>
      <c r="H18" s="29"/>
      <c r="I18" s="29"/>
      <c r="J18" s="29"/>
      <c r="K18" s="29"/>
      <c r="L18" s="31"/>
      <c r="M18" s="31"/>
      <c r="N18" s="31"/>
      <c r="O18" s="31"/>
      <c r="P18" s="29"/>
      <c r="Q18" s="32"/>
      <c r="R18" s="29"/>
      <c r="S18" s="29"/>
      <c r="T18" s="29"/>
      <c r="U18" s="29"/>
      <c r="V18" s="29"/>
      <c r="W18" s="29"/>
    </row>
    <row r="19" customFormat="false" ht="15" hidden="false" customHeight="false" outlineLevel="0" collapsed="false">
      <c r="A19" s="29"/>
      <c r="B19" s="29"/>
      <c r="C19" s="29"/>
      <c r="D19" s="29"/>
      <c r="E19" s="29"/>
      <c r="F19" s="29"/>
      <c r="G19" s="29"/>
      <c r="H19" s="29"/>
      <c r="I19" s="29"/>
      <c r="J19" s="29"/>
      <c r="K19" s="29"/>
      <c r="L19" s="31"/>
      <c r="M19" s="31"/>
      <c r="N19" s="31"/>
      <c r="O19" s="31"/>
      <c r="P19" s="29"/>
      <c r="Q19" s="32"/>
      <c r="R19" s="29"/>
      <c r="S19" s="29"/>
      <c r="T19" s="29"/>
      <c r="U19" s="29"/>
      <c r="V19" s="29"/>
      <c r="W19" s="29"/>
    </row>
    <row r="20" customFormat="false" ht="15" hidden="false" customHeight="false" outlineLevel="0" collapsed="false">
      <c r="A20" s="29"/>
      <c r="B20" s="29"/>
      <c r="C20" s="29"/>
      <c r="D20" s="29"/>
      <c r="E20" s="29"/>
      <c r="F20" s="29"/>
      <c r="G20" s="29"/>
      <c r="H20" s="29"/>
      <c r="I20" s="29"/>
      <c r="J20" s="29"/>
      <c r="K20" s="29"/>
      <c r="L20" s="31"/>
      <c r="M20" s="31"/>
      <c r="N20" s="31"/>
      <c r="O20" s="31"/>
      <c r="P20" s="29"/>
      <c r="Q20" s="32"/>
      <c r="R20" s="29"/>
      <c r="S20" s="29"/>
      <c r="T20" s="29"/>
      <c r="U20" s="29"/>
      <c r="V20" s="29"/>
      <c r="W20" s="29"/>
    </row>
    <row r="21" customFormat="false" ht="15" hidden="false" customHeight="false" outlineLevel="0" collapsed="false">
      <c r="A21" s="29"/>
      <c r="B21" s="29"/>
      <c r="C21" s="29"/>
      <c r="D21" s="29"/>
      <c r="E21" s="29"/>
      <c r="F21" s="29"/>
      <c r="G21" s="29"/>
      <c r="H21" s="29"/>
      <c r="I21" s="29"/>
      <c r="J21" s="29"/>
      <c r="K21" s="29"/>
      <c r="L21" s="31"/>
      <c r="M21" s="31"/>
      <c r="N21" s="31"/>
      <c r="O21" s="31"/>
      <c r="P21" s="29"/>
      <c r="Q21" s="32"/>
      <c r="R21" s="29"/>
      <c r="S21" s="29"/>
      <c r="T21" s="29"/>
      <c r="U21" s="29"/>
      <c r="V21" s="29"/>
      <c r="W21" s="29"/>
    </row>
    <row r="22" customFormat="false" ht="15" hidden="false" customHeight="false" outlineLevel="0" collapsed="false">
      <c r="A22" s="29"/>
      <c r="B22" s="29"/>
      <c r="C22" s="29"/>
      <c r="D22" s="29"/>
      <c r="E22" s="29"/>
      <c r="F22" s="29"/>
      <c r="G22" s="29"/>
      <c r="H22" s="29"/>
      <c r="I22" s="29"/>
      <c r="J22" s="29"/>
      <c r="K22" s="29"/>
      <c r="L22" s="31"/>
      <c r="M22" s="31"/>
      <c r="N22" s="31"/>
      <c r="O22" s="31"/>
      <c r="P22" s="29"/>
      <c r="Q22" s="32"/>
      <c r="R22" s="29"/>
      <c r="S22" s="29"/>
      <c r="T22" s="29"/>
      <c r="U22" s="29"/>
      <c r="V22" s="29"/>
      <c r="W22" s="29"/>
    </row>
    <row r="23" customFormat="false" ht="15" hidden="false" customHeight="false" outlineLevel="0" collapsed="false">
      <c r="A23" s="29"/>
      <c r="B23" s="29"/>
      <c r="C23" s="29"/>
      <c r="D23" s="29"/>
      <c r="E23" s="29"/>
      <c r="F23" s="29"/>
      <c r="G23" s="29"/>
      <c r="H23" s="29"/>
      <c r="I23" s="29"/>
      <c r="J23" s="29"/>
      <c r="K23" s="29"/>
      <c r="L23" s="31"/>
      <c r="M23" s="31"/>
      <c r="N23" s="31"/>
      <c r="O23" s="31"/>
      <c r="P23" s="29"/>
      <c r="Q23" s="32"/>
      <c r="R23" s="29"/>
      <c r="S23" s="29"/>
      <c r="T23" s="29"/>
      <c r="U23" s="29"/>
      <c r="V23" s="29"/>
      <c r="W23" s="29"/>
    </row>
    <row r="24" customFormat="false" ht="15" hidden="false" customHeight="false" outlineLevel="0" collapsed="false">
      <c r="A24" s="29"/>
      <c r="B24" s="29"/>
      <c r="C24" s="29"/>
      <c r="D24" s="29"/>
      <c r="E24" s="29"/>
      <c r="F24" s="29"/>
      <c r="G24" s="29"/>
      <c r="H24" s="29"/>
      <c r="I24" s="29"/>
      <c r="J24" s="29"/>
      <c r="K24" s="29"/>
      <c r="L24" s="31"/>
      <c r="M24" s="31"/>
      <c r="N24" s="31"/>
      <c r="O24" s="31"/>
      <c r="P24" s="29"/>
      <c r="Q24" s="32"/>
      <c r="R24" s="29"/>
      <c r="S24" s="29"/>
      <c r="T24" s="29"/>
      <c r="U24" s="29"/>
      <c r="V24" s="29"/>
      <c r="W24" s="29"/>
    </row>
    <row r="25" customFormat="false" ht="15" hidden="false" customHeight="false" outlineLevel="0" collapsed="false">
      <c r="A25" s="29"/>
      <c r="B25" s="29"/>
      <c r="C25" s="29"/>
      <c r="D25" s="29"/>
      <c r="E25" s="29"/>
      <c r="F25" s="29"/>
      <c r="G25" s="29"/>
      <c r="H25" s="29"/>
      <c r="I25" s="29"/>
      <c r="J25" s="29"/>
      <c r="K25" s="29"/>
      <c r="L25" s="31"/>
      <c r="M25" s="31"/>
      <c r="N25" s="31"/>
      <c r="O25" s="31"/>
      <c r="P25" s="29"/>
      <c r="Q25" s="32"/>
      <c r="R25" s="29"/>
      <c r="S25" s="29"/>
      <c r="T25" s="29"/>
      <c r="U25" s="29"/>
      <c r="V25" s="29"/>
      <c r="W25" s="29"/>
    </row>
    <row r="26" customFormat="false" ht="15" hidden="false" customHeight="false" outlineLevel="0" collapsed="false">
      <c r="A26" s="33"/>
      <c r="B26" s="33"/>
      <c r="C26" s="33"/>
      <c r="D26" s="33"/>
      <c r="E26" s="33"/>
      <c r="F26" s="33"/>
      <c r="G26" s="33"/>
      <c r="H26" s="33"/>
      <c r="I26" s="33"/>
      <c r="J26" s="33"/>
      <c r="K26" s="33"/>
      <c r="L26" s="34"/>
      <c r="M26" s="34"/>
      <c r="N26" s="34"/>
      <c r="O26" s="34"/>
      <c r="P26" s="33"/>
      <c r="Q26" s="35"/>
      <c r="R26" s="33"/>
      <c r="S26" s="33"/>
      <c r="T26" s="33"/>
      <c r="U26" s="33"/>
      <c r="V26" s="33"/>
      <c r="W26" s="33"/>
    </row>
    <row r="27" customFormat="false" ht="15" hidden="false" customHeight="false" outlineLevel="0" collapsed="false">
      <c r="A27" s="33"/>
      <c r="B27" s="33"/>
      <c r="C27" s="33"/>
      <c r="D27" s="33"/>
      <c r="E27" s="33"/>
      <c r="F27" s="33"/>
      <c r="G27" s="33"/>
      <c r="H27" s="33"/>
      <c r="I27" s="33"/>
      <c r="J27" s="33"/>
      <c r="K27" s="33"/>
      <c r="L27" s="34"/>
      <c r="M27" s="34"/>
      <c r="N27" s="34"/>
      <c r="O27" s="34"/>
      <c r="P27" s="33"/>
      <c r="Q27" s="35"/>
      <c r="R27" s="33"/>
      <c r="S27" s="33"/>
      <c r="T27" s="33"/>
      <c r="U27" s="33"/>
      <c r="V27" s="33"/>
      <c r="W27" s="33"/>
    </row>
    <row r="28" customFormat="false" ht="15" hidden="false" customHeight="false" outlineLevel="0" collapsed="false">
      <c r="A28" s="33"/>
      <c r="B28" s="33"/>
      <c r="C28" s="33"/>
      <c r="D28" s="33"/>
      <c r="E28" s="33"/>
      <c r="F28" s="33"/>
      <c r="G28" s="33"/>
      <c r="H28" s="33"/>
      <c r="I28" s="33"/>
      <c r="J28" s="33"/>
      <c r="K28" s="33"/>
      <c r="L28" s="34"/>
      <c r="M28" s="34"/>
      <c r="N28" s="34"/>
      <c r="O28" s="34"/>
      <c r="P28" s="33"/>
      <c r="Q28" s="35"/>
      <c r="R28" s="33"/>
      <c r="S28" s="33"/>
      <c r="T28" s="33"/>
      <c r="U28" s="33"/>
      <c r="V28" s="33"/>
      <c r="W28" s="33"/>
    </row>
    <row r="29" customFormat="false" ht="15" hidden="false" customHeight="false" outlineLevel="0" collapsed="false">
      <c r="A29" s="33"/>
      <c r="B29" s="33"/>
      <c r="C29" s="33"/>
      <c r="D29" s="33"/>
      <c r="E29" s="33"/>
      <c r="F29" s="33"/>
      <c r="G29" s="33"/>
      <c r="H29" s="33"/>
      <c r="I29" s="33"/>
      <c r="J29" s="33"/>
      <c r="K29" s="33"/>
      <c r="L29" s="34"/>
      <c r="M29" s="34"/>
      <c r="N29" s="34"/>
      <c r="O29" s="34"/>
      <c r="P29" s="33"/>
      <c r="Q29" s="35"/>
      <c r="R29" s="33"/>
      <c r="S29" s="33"/>
      <c r="T29" s="33"/>
      <c r="U29" s="33"/>
      <c r="V29" s="33"/>
      <c r="W29" s="33"/>
    </row>
    <row r="30" customFormat="false" ht="15" hidden="false" customHeight="false" outlineLevel="0" collapsed="false">
      <c r="A30" s="33"/>
      <c r="B30" s="33"/>
      <c r="C30" s="33"/>
      <c r="D30" s="33"/>
      <c r="E30" s="33"/>
      <c r="F30" s="33"/>
      <c r="G30" s="33"/>
      <c r="H30" s="33"/>
      <c r="I30" s="33"/>
      <c r="J30" s="33"/>
      <c r="K30" s="33"/>
      <c r="L30" s="34"/>
      <c r="M30" s="34"/>
      <c r="N30" s="34"/>
      <c r="O30" s="34"/>
      <c r="P30" s="33"/>
      <c r="Q30" s="35"/>
      <c r="R30" s="33"/>
      <c r="S30" s="33"/>
      <c r="T30" s="33"/>
      <c r="U30" s="33"/>
      <c r="V30" s="33"/>
      <c r="W30" s="33"/>
    </row>
    <row r="31" customFormat="false" ht="15" hidden="false" customHeight="false" outlineLevel="0" collapsed="false">
      <c r="A31" s="33"/>
      <c r="B31" s="33"/>
      <c r="C31" s="33"/>
      <c r="D31" s="33"/>
      <c r="E31" s="33"/>
      <c r="F31" s="33"/>
      <c r="G31" s="33"/>
      <c r="H31" s="33"/>
      <c r="I31" s="33"/>
      <c r="J31" s="33"/>
      <c r="K31" s="33"/>
      <c r="L31" s="34"/>
      <c r="M31" s="34"/>
      <c r="N31" s="34"/>
      <c r="O31" s="34"/>
      <c r="P31" s="33"/>
      <c r="Q31" s="35"/>
      <c r="R31" s="33"/>
      <c r="S31" s="33"/>
      <c r="T31" s="33"/>
      <c r="U31" s="33"/>
      <c r="V31" s="33"/>
      <c r="W31" s="33"/>
    </row>
    <row r="32" customFormat="false" ht="15" hidden="false" customHeight="false" outlineLevel="0" collapsed="false">
      <c r="A32" s="33"/>
      <c r="B32" s="33"/>
      <c r="C32" s="33"/>
      <c r="D32" s="33"/>
      <c r="E32" s="33"/>
      <c r="F32" s="33"/>
      <c r="G32" s="33"/>
      <c r="H32" s="33"/>
      <c r="I32" s="33"/>
      <c r="J32" s="33"/>
      <c r="K32" s="33"/>
      <c r="L32" s="34"/>
      <c r="M32" s="34"/>
      <c r="N32" s="34"/>
      <c r="O32" s="34"/>
      <c r="P32" s="33"/>
      <c r="Q32" s="35"/>
      <c r="R32" s="33"/>
      <c r="S32" s="33"/>
      <c r="T32" s="33"/>
      <c r="U32" s="33"/>
      <c r="V32" s="33"/>
      <c r="W32" s="33"/>
    </row>
    <row r="33" customFormat="false" ht="15" hidden="false" customHeight="false" outlineLevel="0" collapsed="false">
      <c r="A33" s="33"/>
      <c r="B33" s="33"/>
      <c r="C33" s="33"/>
      <c r="D33" s="33"/>
      <c r="E33" s="33"/>
      <c r="F33" s="33"/>
      <c r="G33" s="33"/>
      <c r="H33" s="33"/>
      <c r="I33" s="33"/>
      <c r="J33" s="33"/>
      <c r="K33" s="33"/>
      <c r="L33" s="34"/>
      <c r="M33" s="34"/>
      <c r="N33" s="34"/>
      <c r="O33" s="34"/>
      <c r="P33" s="33"/>
      <c r="Q33" s="35"/>
      <c r="R33" s="33"/>
      <c r="S33" s="33"/>
      <c r="T33" s="33"/>
      <c r="U33" s="33"/>
      <c r="V33" s="33"/>
      <c r="W33" s="33"/>
    </row>
    <row r="34" customFormat="false" ht="15" hidden="false" customHeight="false" outlineLevel="0" collapsed="false">
      <c r="A34" s="33"/>
      <c r="B34" s="33"/>
      <c r="C34" s="33"/>
      <c r="D34" s="33"/>
      <c r="E34" s="33"/>
      <c r="F34" s="33"/>
      <c r="G34" s="33"/>
      <c r="H34" s="33"/>
      <c r="I34" s="33"/>
      <c r="J34" s="33"/>
      <c r="K34" s="33"/>
      <c r="L34" s="34"/>
      <c r="M34" s="34"/>
      <c r="N34" s="34"/>
      <c r="O34" s="34"/>
      <c r="P34" s="33"/>
      <c r="Q34" s="35"/>
      <c r="R34" s="33"/>
      <c r="S34" s="33"/>
      <c r="T34" s="33"/>
      <c r="U34" s="33"/>
      <c r="V34" s="33"/>
      <c r="W34" s="33"/>
    </row>
    <row r="35" customFormat="false" ht="15" hidden="false" customHeight="false" outlineLevel="0" collapsed="false">
      <c r="A35" s="33"/>
      <c r="B35" s="33"/>
      <c r="C35" s="33"/>
      <c r="D35" s="33"/>
      <c r="E35" s="33"/>
      <c r="F35" s="33"/>
      <c r="G35" s="33"/>
      <c r="H35" s="33"/>
      <c r="I35" s="33"/>
      <c r="J35" s="33"/>
      <c r="K35" s="33"/>
      <c r="L35" s="34"/>
      <c r="M35" s="34"/>
      <c r="N35" s="34"/>
      <c r="O35" s="34"/>
      <c r="P35" s="33"/>
      <c r="Q35" s="35"/>
      <c r="R35" s="33"/>
      <c r="S35" s="33"/>
      <c r="T35" s="33"/>
      <c r="U35" s="33"/>
      <c r="V35" s="33"/>
      <c r="W35" s="33"/>
    </row>
    <row r="36" customFormat="false" ht="15" hidden="false" customHeight="false" outlineLevel="0" collapsed="false">
      <c r="A36" s="33"/>
      <c r="B36" s="33"/>
      <c r="C36" s="33"/>
      <c r="D36" s="33"/>
      <c r="E36" s="33"/>
      <c r="F36" s="33"/>
      <c r="G36" s="33"/>
      <c r="H36" s="33"/>
      <c r="I36" s="33"/>
      <c r="J36" s="33"/>
      <c r="K36" s="33"/>
      <c r="L36" s="34"/>
      <c r="M36" s="34"/>
      <c r="N36" s="34"/>
      <c r="O36" s="34"/>
      <c r="P36" s="33"/>
      <c r="Q36" s="35"/>
      <c r="R36" s="33"/>
      <c r="S36" s="33"/>
      <c r="T36" s="33"/>
      <c r="U36" s="33"/>
      <c r="V36" s="33"/>
      <c r="W36" s="33"/>
    </row>
    <row r="37" customFormat="false" ht="15" hidden="false" customHeight="false" outlineLevel="0" collapsed="false">
      <c r="A37" s="33"/>
      <c r="B37" s="33"/>
      <c r="C37" s="33"/>
      <c r="D37" s="33"/>
      <c r="E37" s="33"/>
      <c r="F37" s="33"/>
      <c r="G37" s="33"/>
      <c r="H37" s="33"/>
      <c r="I37" s="33"/>
      <c r="J37" s="33"/>
      <c r="K37" s="33"/>
      <c r="L37" s="34"/>
      <c r="M37" s="34"/>
      <c r="N37" s="34"/>
      <c r="O37" s="34"/>
      <c r="P37" s="33"/>
      <c r="Q37" s="35"/>
      <c r="R37" s="33"/>
      <c r="S37" s="33"/>
      <c r="T37" s="33"/>
      <c r="U37" s="33"/>
      <c r="V37" s="33"/>
      <c r="W37" s="33"/>
    </row>
    <row r="38" customFormat="false" ht="15" hidden="false" customHeight="false" outlineLevel="0" collapsed="false">
      <c r="A38" s="33"/>
      <c r="B38" s="33"/>
      <c r="C38" s="33"/>
      <c r="D38" s="33"/>
      <c r="E38" s="33"/>
      <c r="F38" s="33"/>
      <c r="G38" s="33"/>
      <c r="H38" s="33"/>
      <c r="I38" s="33"/>
      <c r="J38" s="33"/>
      <c r="K38" s="33"/>
      <c r="L38" s="34"/>
      <c r="M38" s="34"/>
      <c r="N38" s="34"/>
      <c r="O38" s="34"/>
      <c r="P38" s="33"/>
      <c r="Q38" s="35"/>
      <c r="R38" s="33"/>
      <c r="S38" s="33"/>
      <c r="T38" s="33"/>
      <c r="U38" s="33"/>
      <c r="V38" s="33"/>
      <c r="W38" s="33"/>
    </row>
    <row r="39" customFormat="false" ht="15" hidden="false" customHeight="false" outlineLevel="0" collapsed="false">
      <c r="A39" s="33"/>
      <c r="B39" s="33"/>
      <c r="C39" s="33"/>
      <c r="D39" s="33"/>
      <c r="E39" s="33"/>
      <c r="F39" s="33"/>
      <c r="G39" s="33"/>
      <c r="H39" s="33"/>
      <c r="I39" s="33"/>
      <c r="J39" s="33"/>
      <c r="K39" s="33"/>
      <c r="L39" s="34"/>
      <c r="M39" s="34"/>
      <c r="N39" s="34"/>
      <c r="O39" s="34"/>
      <c r="P39" s="33"/>
      <c r="Q39" s="35"/>
      <c r="R39" s="33"/>
      <c r="S39" s="33"/>
      <c r="T39" s="33"/>
      <c r="U39" s="33"/>
      <c r="V39" s="33"/>
      <c r="W39" s="33"/>
    </row>
    <row r="40" customFormat="false" ht="15" hidden="false" customHeight="false" outlineLevel="0" collapsed="false">
      <c r="A40" s="33"/>
      <c r="B40" s="33"/>
      <c r="C40" s="33"/>
      <c r="D40" s="33"/>
      <c r="E40" s="33"/>
      <c r="F40" s="33"/>
      <c r="G40" s="33"/>
      <c r="H40" s="33"/>
      <c r="I40" s="33"/>
      <c r="J40" s="33"/>
      <c r="K40" s="33"/>
      <c r="L40" s="34"/>
      <c r="M40" s="34"/>
      <c r="N40" s="34"/>
      <c r="O40" s="34"/>
      <c r="P40" s="33"/>
      <c r="Q40" s="35"/>
      <c r="R40" s="33"/>
      <c r="S40" s="33"/>
      <c r="T40" s="33"/>
      <c r="U40" s="33"/>
      <c r="V40" s="33"/>
      <c r="W40" s="33"/>
    </row>
    <row r="41" customFormat="false" ht="15" hidden="false" customHeight="false" outlineLevel="0" collapsed="false">
      <c r="A41" s="33"/>
      <c r="B41" s="33"/>
      <c r="C41" s="33"/>
      <c r="D41" s="33"/>
      <c r="E41" s="33"/>
      <c r="F41" s="33"/>
      <c r="G41" s="33"/>
      <c r="H41" s="33"/>
      <c r="I41" s="33"/>
      <c r="J41" s="33"/>
      <c r="K41" s="33"/>
      <c r="L41" s="34"/>
      <c r="M41" s="34"/>
      <c r="N41" s="34"/>
      <c r="O41" s="34"/>
      <c r="P41" s="33"/>
      <c r="Q41" s="35"/>
      <c r="R41" s="33"/>
      <c r="S41" s="33"/>
      <c r="T41" s="33"/>
      <c r="U41" s="33"/>
      <c r="V41" s="33"/>
      <c r="W41" s="33"/>
    </row>
    <row r="42" customFormat="false" ht="15" hidden="false" customHeight="false" outlineLevel="0" collapsed="false">
      <c r="A42" s="33"/>
      <c r="B42" s="33"/>
      <c r="C42" s="33"/>
      <c r="D42" s="33"/>
      <c r="E42" s="33"/>
      <c r="F42" s="33"/>
      <c r="G42" s="33"/>
      <c r="H42" s="33"/>
      <c r="I42" s="33"/>
      <c r="J42" s="33"/>
      <c r="K42" s="33"/>
      <c r="L42" s="34"/>
      <c r="M42" s="34"/>
      <c r="N42" s="34"/>
      <c r="O42" s="34"/>
      <c r="P42" s="33"/>
      <c r="Q42" s="35"/>
      <c r="R42" s="33"/>
      <c r="S42" s="33"/>
      <c r="T42" s="33"/>
      <c r="U42" s="33"/>
      <c r="V42" s="33"/>
      <c r="W42" s="33"/>
    </row>
    <row r="43" customFormat="false" ht="15" hidden="false" customHeight="false" outlineLevel="0" collapsed="false">
      <c r="A43" s="33"/>
      <c r="B43" s="33"/>
      <c r="C43" s="33"/>
      <c r="D43" s="33"/>
      <c r="E43" s="33"/>
      <c r="F43" s="33"/>
      <c r="G43" s="33"/>
      <c r="H43" s="33"/>
      <c r="I43" s="33"/>
      <c r="J43" s="33"/>
      <c r="K43" s="33"/>
      <c r="L43" s="34"/>
      <c r="M43" s="34"/>
      <c r="N43" s="34"/>
      <c r="O43" s="34"/>
      <c r="P43" s="33"/>
      <c r="Q43" s="35"/>
      <c r="R43" s="33"/>
      <c r="S43" s="33"/>
      <c r="T43" s="33"/>
      <c r="U43" s="33"/>
      <c r="V43" s="33"/>
      <c r="W43" s="33"/>
    </row>
    <row r="44" customFormat="false" ht="15" hidden="false" customHeight="false" outlineLevel="0" collapsed="false">
      <c r="A44" s="33"/>
      <c r="B44" s="33"/>
      <c r="C44" s="33"/>
      <c r="D44" s="33"/>
      <c r="E44" s="33"/>
      <c r="F44" s="33"/>
      <c r="G44" s="33"/>
      <c r="H44" s="33"/>
      <c r="I44" s="33"/>
      <c r="J44" s="33"/>
      <c r="K44" s="33"/>
      <c r="L44" s="34"/>
      <c r="M44" s="34"/>
      <c r="N44" s="34"/>
      <c r="O44" s="34"/>
      <c r="P44" s="33"/>
      <c r="Q44" s="35"/>
      <c r="R44" s="33"/>
      <c r="S44" s="33"/>
      <c r="T44" s="33"/>
      <c r="U44" s="33"/>
      <c r="V44" s="33"/>
      <c r="W44" s="33"/>
    </row>
    <row r="45" customFormat="false" ht="15" hidden="false" customHeight="false" outlineLevel="0" collapsed="false">
      <c r="A45" s="33"/>
      <c r="B45" s="33"/>
      <c r="C45" s="33"/>
      <c r="D45" s="33"/>
      <c r="E45" s="33"/>
      <c r="F45" s="33"/>
      <c r="G45" s="33"/>
      <c r="H45" s="33"/>
      <c r="I45" s="33"/>
      <c r="J45" s="33"/>
      <c r="K45" s="33"/>
      <c r="L45" s="34"/>
      <c r="M45" s="34"/>
      <c r="N45" s="34"/>
      <c r="O45" s="34"/>
      <c r="P45" s="33"/>
      <c r="Q45" s="35"/>
      <c r="R45" s="33"/>
      <c r="S45" s="33"/>
      <c r="T45" s="33"/>
      <c r="U45" s="33"/>
      <c r="V45" s="33"/>
      <c r="W45" s="33"/>
    </row>
    <row r="46" customFormat="false" ht="15" hidden="false" customHeight="false" outlineLevel="0" collapsed="false">
      <c r="A46" s="33"/>
      <c r="B46" s="33"/>
      <c r="C46" s="33"/>
      <c r="D46" s="33"/>
      <c r="E46" s="33"/>
      <c r="F46" s="33"/>
      <c r="G46" s="33"/>
      <c r="H46" s="33"/>
      <c r="I46" s="33"/>
      <c r="J46" s="33"/>
      <c r="K46" s="33"/>
      <c r="L46" s="34"/>
      <c r="M46" s="34"/>
      <c r="N46" s="34"/>
      <c r="O46" s="34"/>
      <c r="P46" s="33"/>
      <c r="Q46" s="35"/>
      <c r="R46" s="33"/>
      <c r="S46" s="33"/>
      <c r="T46" s="33"/>
      <c r="U46" s="33"/>
      <c r="V46" s="33"/>
      <c r="W46" s="33"/>
    </row>
    <row r="47" customFormat="false" ht="15" hidden="false" customHeight="false" outlineLevel="0" collapsed="false">
      <c r="A47" s="33"/>
      <c r="B47" s="33"/>
      <c r="C47" s="33"/>
      <c r="D47" s="33"/>
      <c r="E47" s="33"/>
      <c r="F47" s="33"/>
      <c r="G47" s="33"/>
      <c r="H47" s="33"/>
      <c r="I47" s="33"/>
      <c r="J47" s="33"/>
      <c r="K47" s="33"/>
      <c r="L47" s="34"/>
      <c r="M47" s="34"/>
      <c r="N47" s="34"/>
      <c r="O47" s="34"/>
      <c r="P47" s="33"/>
      <c r="Q47" s="35"/>
      <c r="R47" s="33"/>
      <c r="S47" s="33"/>
      <c r="T47" s="33"/>
      <c r="U47" s="33"/>
      <c r="V47" s="33"/>
      <c r="W47" s="33"/>
    </row>
    <row r="48" customFormat="false" ht="15" hidden="false" customHeight="false" outlineLevel="0" collapsed="false">
      <c r="A48" s="33"/>
      <c r="B48" s="33"/>
      <c r="C48" s="33"/>
      <c r="D48" s="33"/>
      <c r="E48" s="33"/>
      <c r="F48" s="33"/>
      <c r="G48" s="33"/>
      <c r="H48" s="33"/>
      <c r="I48" s="33"/>
      <c r="J48" s="33"/>
      <c r="K48" s="33"/>
      <c r="L48" s="34"/>
      <c r="M48" s="34"/>
      <c r="N48" s="34"/>
      <c r="O48" s="34"/>
      <c r="P48" s="33"/>
      <c r="Q48" s="35"/>
      <c r="R48" s="33"/>
      <c r="S48" s="33"/>
      <c r="T48" s="33"/>
      <c r="U48" s="33"/>
      <c r="V48" s="33"/>
      <c r="W48" s="33"/>
    </row>
    <row r="49" customFormat="false" ht="15" hidden="false" customHeight="false" outlineLevel="0" collapsed="false">
      <c r="A49" s="33"/>
      <c r="B49" s="33"/>
      <c r="C49" s="33"/>
      <c r="D49" s="33"/>
      <c r="E49" s="33"/>
      <c r="F49" s="33"/>
      <c r="G49" s="33"/>
      <c r="H49" s="33"/>
      <c r="I49" s="33"/>
      <c r="J49" s="33"/>
      <c r="K49" s="33"/>
      <c r="L49" s="34"/>
      <c r="M49" s="34"/>
      <c r="N49" s="34"/>
      <c r="O49" s="34"/>
      <c r="P49" s="33"/>
      <c r="Q49" s="35"/>
      <c r="R49" s="33"/>
      <c r="S49" s="33"/>
      <c r="T49" s="33"/>
      <c r="U49" s="33"/>
      <c r="V49" s="33"/>
      <c r="W49" s="33"/>
    </row>
    <row r="50" customFormat="false" ht="15" hidden="false" customHeight="false" outlineLevel="0" collapsed="false">
      <c r="A50" s="33"/>
      <c r="B50" s="33"/>
      <c r="C50" s="33"/>
      <c r="D50" s="33"/>
      <c r="E50" s="33"/>
      <c r="F50" s="33"/>
      <c r="G50" s="33"/>
      <c r="H50" s="33"/>
      <c r="I50" s="33"/>
      <c r="J50" s="33"/>
      <c r="K50" s="33"/>
      <c r="L50" s="34"/>
      <c r="M50" s="34"/>
      <c r="N50" s="34"/>
      <c r="O50" s="34"/>
      <c r="P50" s="33"/>
      <c r="Q50" s="35"/>
      <c r="R50" s="33"/>
      <c r="S50" s="33"/>
      <c r="T50" s="33"/>
      <c r="U50" s="33"/>
      <c r="V50" s="33"/>
      <c r="W50" s="33"/>
    </row>
    <row r="51" customFormat="false" ht="15" hidden="false" customHeight="false" outlineLevel="0" collapsed="false">
      <c r="A51" s="33"/>
      <c r="B51" s="33"/>
      <c r="C51" s="33"/>
      <c r="D51" s="33"/>
      <c r="E51" s="33"/>
      <c r="F51" s="33"/>
      <c r="G51" s="33"/>
      <c r="H51" s="33"/>
      <c r="I51" s="33"/>
      <c r="J51" s="33"/>
      <c r="K51" s="33"/>
      <c r="L51" s="34"/>
      <c r="M51" s="34"/>
      <c r="N51" s="34"/>
      <c r="O51" s="34"/>
      <c r="P51" s="33"/>
      <c r="Q51" s="35"/>
      <c r="R51" s="33"/>
      <c r="S51" s="33"/>
      <c r="T51" s="33"/>
      <c r="U51" s="33"/>
      <c r="V51" s="33"/>
      <c r="W51" s="33"/>
    </row>
    <row r="52" customFormat="false" ht="15" hidden="false" customHeight="false" outlineLevel="0" collapsed="false">
      <c r="A52" s="33"/>
      <c r="B52" s="33"/>
      <c r="C52" s="33"/>
      <c r="D52" s="33"/>
      <c r="E52" s="33"/>
      <c r="F52" s="33"/>
      <c r="G52" s="33"/>
      <c r="H52" s="33"/>
      <c r="I52" s="33"/>
      <c r="J52" s="33"/>
      <c r="K52" s="33"/>
      <c r="L52" s="34"/>
      <c r="M52" s="34"/>
      <c r="N52" s="34"/>
      <c r="O52" s="34"/>
      <c r="P52" s="33"/>
      <c r="Q52" s="35"/>
      <c r="R52" s="33"/>
      <c r="S52" s="33"/>
      <c r="T52" s="33"/>
      <c r="U52" s="33"/>
      <c r="V52" s="33"/>
      <c r="W52" s="33"/>
    </row>
    <row r="53" customFormat="false" ht="15" hidden="false" customHeight="false" outlineLevel="0" collapsed="false">
      <c r="A53" s="33"/>
      <c r="B53" s="33"/>
      <c r="C53" s="33"/>
      <c r="D53" s="33"/>
      <c r="E53" s="33"/>
      <c r="F53" s="33"/>
      <c r="G53" s="33"/>
      <c r="H53" s="33"/>
      <c r="I53" s="33"/>
      <c r="J53" s="33"/>
      <c r="K53" s="33"/>
      <c r="L53" s="34"/>
      <c r="M53" s="34"/>
      <c r="N53" s="34"/>
      <c r="O53" s="34"/>
      <c r="P53" s="33"/>
      <c r="Q53" s="35"/>
      <c r="R53" s="33"/>
      <c r="S53" s="33"/>
      <c r="T53" s="33"/>
      <c r="U53" s="33"/>
      <c r="V53" s="33"/>
      <c r="W53" s="33"/>
    </row>
    <row r="54" customFormat="false" ht="15" hidden="false" customHeight="false" outlineLevel="0" collapsed="false">
      <c r="A54" s="33"/>
      <c r="B54" s="33"/>
      <c r="C54" s="33"/>
      <c r="D54" s="33"/>
      <c r="E54" s="33"/>
      <c r="F54" s="33"/>
      <c r="G54" s="33"/>
      <c r="H54" s="33"/>
      <c r="I54" s="33"/>
      <c r="J54" s="33"/>
      <c r="K54" s="33"/>
      <c r="L54" s="34"/>
      <c r="M54" s="34"/>
      <c r="N54" s="34"/>
      <c r="O54" s="34"/>
      <c r="P54" s="33"/>
      <c r="Q54" s="35"/>
      <c r="R54" s="33"/>
      <c r="S54" s="33"/>
      <c r="T54" s="33"/>
      <c r="U54" s="33"/>
      <c r="V54" s="33"/>
      <c r="W54" s="33"/>
    </row>
    <row r="55" customFormat="false" ht="15" hidden="false" customHeight="false" outlineLevel="0" collapsed="false">
      <c r="A55" s="33"/>
      <c r="B55" s="33"/>
      <c r="C55" s="33"/>
      <c r="D55" s="33"/>
      <c r="E55" s="33"/>
      <c r="F55" s="33"/>
      <c r="G55" s="33"/>
      <c r="H55" s="33"/>
      <c r="I55" s="33"/>
      <c r="J55" s="33"/>
      <c r="K55" s="33"/>
      <c r="L55" s="34"/>
      <c r="M55" s="34"/>
      <c r="N55" s="34"/>
      <c r="O55" s="34"/>
      <c r="P55" s="33"/>
      <c r="Q55" s="35"/>
      <c r="R55" s="33"/>
      <c r="S55" s="33"/>
      <c r="T55" s="33"/>
      <c r="U55" s="33"/>
      <c r="V55" s="33"/>
      <c r="W55" s="33"/>
    </row>
    <row r="56" customFormat="false" ht="15" hidden="false" customHeight="false" outlineLevel="0" collapsed="false">
      <c r="A56" s="33"/>
      <c r="B56" s="33"/>
      <c r="C56" s="33"/>
      <c r="D56" s="33"/>
      <c r="E56" s="33"/>
      <c r="F56" s="33"/>
      <c r="G56" s="33"/>
      <c r="H56" s="33"/>
      <c r="I56" s="33"/>
      <c r="J56" s="33"/>
      <c r="K56" s="33"/>
      <c r="L56" s="34"/>
      <c r="M56" s="34"/>
      <c r="N56" s="34"/>
      <c r="O56" s="34"/>
      <c r="P56" s="33"/>
      <c r="Q56" s="35"/>
      <c r="R56" s="33"/>
      <c r="S56" s="33"/>
      <c r="T56" s="33"/>
      <c r="U56" s="33"/>
      <c r="V56" s="33"/>
      <c r="W56" s="33"/>
    </row>
    <row r="57" customFormat="false" ht="15" hidden="false" customHeight="false" outlineLevel="0" collapsed="false">
      <c r="A57" s="33"/>
      <c r="B57" s="33"/>
      <c r="C57" s="33"/>
      <c r="D57" s="33"/>
      <c r="E57" s="33"/>
      <c r="F57" s="33"/>
      <c r="G57" s="33"/>
      <c r="H57" s="33"/>
      <c r="I57" s="33"/>
      <c r="J57" s="33"/>
      <c r="K57" s="33"/>
      <c r="L57" s="34"/>
      <c r="M57" s="34"/>
      <c r="N57" s="34"/>
      <c r="O57" s="34"/>
      <c r="P57" s="33"/>
      <c r="Q57" s="35"/>
      <c r="R57" s="33"/>
      <c r="S57" s="33"/>
      <c r="T57" s="33"/>
      <c r="U57" s="33"/>
      <c r="V57" s="33"/>
      <c r="W57" s="33"/>
    </row>
    <row r="58" customFormat="false" ht="15" hidden="false" customHeight="false" outlineLevel="0" collapsed="false">
      <c r="A58" s="33"/>
      <c r="B58" s="33"/>
      <c r="C58" s="33"/>
      <c r="D58" s="33"/>
      <c r="E58" s="33"/>
      <c r="F58" s="33"/>
      <c r="G58" s="33"/>
      <c r="H58" s="33"/>
      <c r="I58" s="33"/>
      <c r="J58" s="33"/>
      <c r="K58" s="33"/>
      <c r="L58" s="34"/>
      <c r="M58" s="34"/>
      <c r="N58" s="34"/>
      <c r="O58" s="34"/>
      <c r="P58" s="33"/>
      <c r="Q58" s="35"/>
      <c r="R58" s="33"/>
      <c r="S58" s="33"/>
      <c r="T58" s="33"/>
      <c r="U58" s="33"/>
      <c r="V58" s="33"/>
      <c r="W58" s="33"/>
    </row>
    <row r="59" customFormat="false" ht="15" hidden="false" customHeight="false" outlineLevel="0" collapsed="false">
      <c r="A59" s="33"/>
      <c r="B59" s="33"/>
      <c r="C59" s="33"/>
      <c r="D59" s="33"/>
      <c r="E59" s="33"/>
      <c r="F59" s="33"/>
      <c r="G59" s="33"/>
      <c r="H59" s="33"/>
      <c r="I59" s="33"/>
      <c r="J59" s="33"/>
      <c r="K59" s="33"/>
      <c r="L59" s="34"/>
      <c r="M59" s="34"/>
      <c r="N59" s="34"/>
      <c r="O59" s="34"/>
      <c r="P59" s="33"/>
      <c r="Q59" s="35"/>
      <c r="R59" s="33"/>
      <c r="S59" s="33"/>
      <c r="T59" s="33"/>
      <c r="U59" s="33"/>
      <c r="V59" s="33"/>
      <c r="W59" s="33"/>
    </row>
    <row r="60" customFormat="false" ht="15" hidden="false" customHeight="false" outlineLevel="0" collapsed="false">
      <c r="A60" s="33"/>
      <c r="B60" s="33"/>
      <c r="C60" s="33"/>
      <c r="D60" s="33"/>
      <c r="E60" s="33"/>
      <c r="F60" s="33"/>
      <c r="G60" s="33"/>
      <c r="H60" s="33"/>
      <c r="I60" s="33"/>
      <c r="J60" s="33"/>
      <c r="K60" s="33"/>
      <c r="L60" s="34"/>
      <c r="M60" s="34"/>
      <c r="N60" s="34"/>
      <c r="O60" s="34"/>
      <c r="P60" s="33"/>
      <c r="Q60" s="35"/>
      <c r="R60" s="33"/>
      <c r="S60" s="33"/>
      <c r="T60" s="33"/>
      <c r="U60" s="33"/>
      <c r="V60" s="33"/>
      <c r="W60" s="33"/>
    </row>
    <row r="61" customFormat="false" ht="15" hidden="false" customHeight="false" outlineLevel="0" collapsed="false">
      <c r="A61" s="33"/>
      <c r="B61" s="33"/>
      <c r="C61" s="33"/>
      <c r="D61" s="33"/>
      <c r="E61" s="33"/>
      <c r="F61" s="33"/>
      <c r="G61" s="33"/>
      <c r="H61" s="33"/>
      <c r="I61" s="33"/>
      <c r="J61" s="33"/>
      <c r="K61" s="33"/>
      <c r="L61" s="34"/>
      <c r="M61" s="34"/>
      <c r="N61" s="34"/>
      <c r="O61" s="34"/>
      <c r="P61" s="33"/>
      <c r="Q61" s="35"/>
      <c r="R61" s="33"/>
      <c r="S61" s="33"/>
      <c r="T61" s="33"/>
      <c r="U61" s="33"/>
      <c r="V61" s="33"/>
      <c r="W61" s="33"/>
    </row>
    <row r="62" customFormat="false" ht="15" hidden="false" customHeight="false" outlineLevel="0" collapsed="false">
      <c r="A62" s="33"/>
      <c r="B62" s="33"/>
      <c r="C62" s="33"/>
      <c r="D62" s="33"/>
      <c r="E62" s="33"/>
      <c r="F62" s="33"/>
      <c r="G62" s="33"/>
      <c r="H62" s="33"/>
      <c r="I62" s="33"/>
      <c r="J62" s="33"/>
      <c r="K62" s="33"/>
      <c r="L62" s="34"/>
      <c r="M62" s="34"/>
      <c r="N62" s="34"/>
      <c r="O62" s="34"/>
      <c r="P62" s="33"/>
      <c r="Q62" s="35"/>
      <c r="R62" s="33"/>
      <c r="S62" s="33"/>
      <c r="T62" s="33"/>
      <c r="U62" s="33"/>
      <c r="V62" s="33"/>
      <c r="W62" s="33"/>
    </row>
    <row r="63" customFormat="false" ht="15" hidden="false" customHeight="false" outlineLevel="0" collapsed="false">
      <c r="A63" s="33"/>
      <c r="B63" s="33"/>
      <c r="C63" s="33"/>
      <c r="D63" s="33"/>
      <c r="E63" s="33"/>
      <c r="F63" s="33"/>
      <c r="G63" s="33"/>
      <c r="H63" s="33"/>
      <c r="I63" s="33"/>
      <c r="J63" s="33"/>
      <c r="K63" s="33"/>
      <c r="L63" s="34"/>
      <c r="M63" s="34"/>
      <c r="N63" s="34"/>
      <c r="O63" s="34"/>
      <c r="P63" s="33"/>
      <c r="Q63" s="35"/>
      <c r="R63" s="33"/>
      <c r="S63" s="33"/>
      <c r="T63" s="33"/>
      <c r="U63" s="33"/>
      <c r="V63" s="33"/>
      <c r="W63" s="33"/>
    </row>
    <row r="64" customFormat="false" ht="15" hidden="false" customHeight="false" outlineLevel="0" collapsed="false">
      <c r="A64" s="33"/>
      <c r="B64" s="33"/>
      <c r="C64" s="33"/>
      <c r="D64" s="33"/>
      <c r="E64" s="33"/>
      <c r="F64" s="33"/>
      <c r="G64" s="33"/>
      <c r="H64" s="33"/>
      <c r="I64" s="33"/>
      <c r="J64" s="33"/>
      <c r="K64" s="33"/>
      <c r="L64" s="34"/>
      <c r="M64" s="34"/>
      <c r="N64" s="34"/>
      <c r="O64" s="34"/>
      <c r="P64" s="33"/>
      <c r="Q64" s="35"/>
      <c r="R64" s="33"/>
      <c r="S64" s="33"/>
      <c r="T64" s="33"/>
      <c r="U64" s="33"/>
      <c r="V64" s="33"/>
      <c r="W64" s="33"/>
    </row>
    <row r="65" customFormat="false" ht="15" hidden="false" customHeight="false" outlineLevel="0" collapsed="false">
      <c r="A65" s="33"/>
      <c r="B65" s="33"/>
      <c r="C65" s="33"/>
      <c r="D65" s="33"/>
      <c r="E65" s="33"/>
      <c r="F65" s="33"/>
      <c r="G65" s="33"/>
      <c r="H65" s="33"/>
      <c r="I65" s="33"/>
      <c r="J65" s="33"/>
      <c r="K65" s="33"/>
      <c r="L65" s="34"/>
      <c r="M65" s="34"/>
      <c r="N65" s="34"/>
      <c r="O65" s="34"/>
      <c r="P65" s="33"/>
      <c r="Q65" s="35"/>
      <c r="R65" s="33"/>
      <c r="S65" s="33"/>
      <c r="T65" s="33"/>
      <c r="U65" s="33"/>
      <c r="V65" s="33"/>
      <c r="W65" s="33"/>
    </row>
    <row r="66" customFormat="false" ht="15" hidden="false" customHeight="false" outlineLevel="0" collapsed="false">
      <c r="A66" s="33"/>
      <c r="B66" s="33"/>
      <c r="C66" s="33"/>
      <c r="D66" s="33"/>
      <c r="E66" s="33"/>
      <c r="F66" s="33"/>
      <c r="G66" s="33"/>
      <c r="H66" s="33"/>
      <c r="I66" s="33"/>
      <c r="J66" s="33"/>
      <c r="K66" s="33"/>
      <c r="L66" s="34"/>
      <c r="M66" s="34"/>
      <c r="N66" s="34"/>
      <c r="O66" s="34"/>
      <c r="P66" s="33"/>
      <c r="Q66" s="35"/>
      <c r="R66" s="33"/>
      <c r="S66" s="33"/>
      <c r="T66" s="33"/>
      <c r="U66" s="33"/>
      <c r="V66" s="33"/>
      <c r="W66" s="33"/>
    </row>
    <row r="67" customFormat="false" ht="15" hidden="false" customHeight="false" outlineLevel="0" collapsed="false">
      <c r="A67" s="33"/>
      <c r="B67" s="33"/>
      <c r="C67" s="33"/>
      <c r="D67" s="33"/>
      <c r="E67" s="33"/>
      <c r="F67" s="33"/>
      <c r="G67" s="33"/>
      <c r="H67" s="33"/>
      <c r="I67" s="33"/>
      <c r="J67" s="33"/>
      <c r="K67" s="33"/>
      <c r="L67" s="34"/>
      <c r="M67" s="34"/>
      <c r="N67" s="34"/>
      <c r="O67" s="34"/>
      <c r="P67" s="33"/>
      <c r="Q67" s="35"/>
      <c r="R67" s="33"/>
      <c r="S67" s="33"/>
      <c r="T67" s="33"/>
      <c r="U67" s="33"/>
      <c r="V67" s="33"/>
      <c r="W67" s="33"/>
    </row>
    <row r="68" customFormat="false" ht="15" hidden="false" customHeight="false" outlineLevel="0" collapsed="false">
      <c r="A68" s="33"/>
      <c r="B68" s="33"/>
      <c r="C68" s="33"/>
      <c r="D68" s="33"/>
      <c r="E68" s="33"/>
      <c r="F68" s="33"/>
      <c r="G68" s="33"/>
      <c r="H68" s="33"/>
      <c r="I68" s="33"/>
      <c r="J68" s="33"/>
      <c r="K68" s="33"/>
      <c r="L68" s="34"/>
      <c r="M68" s="34"/>
      <c r="N68" s="34"/>
      <c r="O68" s="34"/>
      <c r="P68" s="33"/>
      <c r="Q68" s="35"/>
      <c r="R68" s="33"/>
      <c r="S68" s="33"/>
      <c r="T68" s="33"/>
      <c r="U68" s="33"/>
      <c r="V68" s="33"/>
      <c r="W68" s="33"/>
    </row>
    <row r="69" customFormat="false" ht="15" hidden="false" customHeight="false" outlineLevel="0" collapsed="false">
      <c r="A69" s="33"/>
      <c r="B69" s="33"/>
      <c r="C69" s="33"/>
      <c r="D69" s="33"/>
      <c r="E69" s="33"/>
      <c r="F69" s="33"/>
      <c r="G69" s="33"/>
      <c r="H69" s="33"/>
      <c r="I69" s="33"/>
      <c r="J69" s="33"/>
      <c r="K69" s="33"/>
      <c r="L69" s="34"/>
      <c r="M69" s="34"/>
      <c r="N69" s="34"/>
      <c r="O69" s="34"/>
      <c r="P69" s="33"/>
      <c r="Q69" s="35"/>
      <c r="R69" s="33"/>
      <c r="S69" s="33"/>
      <c r="T69" s="33"/>
      <c r="U69" s="33"/>
      <c r="V69" s="33"/>
      <c r="W69" s="33"/>
    </row>
    <row r="70" customFormat="false" ht="15" hidden="false" customHeight="false" outlineLevel="0" collapsed="false">
      <c r="A70" s="33"/>
      <c r="B70" s="33"/>
      <c r="C70" s="33"/>
      <c r="D70" s="33"/>
      <c r="E70" s="33"/>
      <c r="F70" s="33"/>
      <c r="G70" s="33"/>
      <c r="H70" s="33"/>
      <c r="I70" s="33"/>
      <c r="J70" s="33"/>
      <c r="K70" s="33"/>
      <c r="L70" s="34"/>
      <c r="M70" s="34"/>
      <c r="N70" s="34"/>
      <c r="O70" s="34"/>
      <c r="P70" s="33"/>
      <c r="Q70" s="35"/>
      <c r="R70" s="33"/>
      <c r="S70" s="33"/>
      <c r="T70" s="33"/>
      <c r="U70" s="33"/>
      <c r="V70" s="33"/>
      <c r="W70" s="33"/>
    </row>
    <row r="71" customFormat="false" ht="15" hidden="false" customHeight="false" outlineLevel="0" collapsed="false">
      <c r="A71" s="33"/>
      <c r="B71" s="33"/>
      <c r="C71" s="33"/>
      <c r="D71" s="33"/>
      <c r="E71" s="33"/>
      <c r="F71" s="33"/>
      <c r="G71" s="33"/>
      <c r="H71" s="33"/>
      <c r="I71" s="33"/>
      <c r="J71" s="33"/>
      <c r="K71" s="33"/>
      <c r="L71" s="34"/>
      <c r="M71" s="34"/>
      <c r="N71" s="34"/>
      <c r="O71" s="34"/>
      <c r="P71" s="33"/>
      <c r="Q71" s="35"/>
      <c r="R71" s="33"/>
      <c r="S71" s="33"/>
      <c r="T71" s="33"/>
      <c r="U71" s="33"/>
      <c r="V71" s="33"/>
      <c r="W71" s="33"/>
    </row>
    <row r="72" customFormat="false" ht="15" hidden="false" customHeight="false" outlineLevel="0" collapsed="false">
      <c r="A72" s="33"/>
      <c r="B72" s="33"/>
      <c r="C72" s="33"/>
      <c r="D72" s="33"/>
      <c r="E72" s="33"/>
      <c r="F72" s="33"/>
      <c r="G72" s="33"/>
      <c r="H72" s="33"/>
      <c r="I72" s="33"/>
      <c r="J72" s="33"/>
      <c r="K72" s="33"/>
      <c r="L72" s="34"/>
      <c r="M72" s="34"/>
      <c r="N72" s="34"/>
      <c r="O72" s="34"/>
      <c r="P72" s="33"/>
      <c r="Q72" s="35"/>
      <c r="R72" s="33"/>
      <c r="S72" s="33"/>
      <c r="T72" s="33"/>
      <c r="U72" s="33"/>
      <c r="V72" s="33"/>
      <c r="W72" s="33"/>
    </row>
    <row r="73" customFormat="false" ht="15" hidden="false" customHeight="false" outlineLevel="0" collapsed="false">
      <c r="A73" s="33"/>
      <c r="B73" s="33"/>
      <c r="C73" s="33"/>
      <c r="D73" s="33"/>
      <c r="E73" s="33"/>
      <c r="F73" s="33"/>
      <c r="G73" s="33"/>
      <c r="H73" s="33"/>
      <c r="I73" s="33"/>
      <c r="J73" s="33"/>
      <c r="K73" s="33"/>
      <c r="L73" s="34"/>
      <c r="M73" s="34"/>
      <c r="N73" s="34"/>
      <c r="O73" s="34"/>
      <c r="P73" s="33"/>
      <c r="Q73" s="35"/>
      <c r="R73" s="33"/>
      <c r="S73" s="33"/>
      <c r="T73" s="33"/>
      <c r="U73" s="33"/>
      <c r="V73" s="33"/>
      <c r="W73" s="33"/>
    </row>
    <row r="74" customFormat="false" ht="15" hidden="false" customHeight="false" outlineLevel="0" collapsed="false">
      <c r="A74" s="33"/>
      <c r="B74" s="33"/>
      <c r="C74" s="33"/>
      <c r="D74" s="33"/>
      <c r="E74" s="33"/>
      <c r="F74" s="33"/>
      <c r="G74" s="33"/>
      <c r="H74" s="33"/>
      <c r="I74" s="33"/>
      <c r="J74" s="33"/>
      <c r="K74" s="33"/>
      <c r="L74" s="34"/>
      <c r="M74" s="34"/>
      <c r="N74" s="34"/>
      <c r="O74" s="34"/>
      <c r="P74" s="33"/>
      <c r="Q74" s="35"/>
      <c r="R74" s="33"/>
      <c r="S74" s="33"/>
      <c r="T74" s="33"/>
      <c r="U74" s="33"/>
      <c r="V74" s="33"/>
      <c r="W74" s="33"/>
    </row>
    <row r="75" customFormat="false" ht="15" hidden="false" customHeight="false" outlineLevel="0" collapsed="false">
      <c r="A75" s="33"/>
      <c r="B75" s="33"/>
      <c r="C75" s="33"/>
      <c r="D75" s="33"/>
      <c r="E75" s="33"/>
      <c r="F75" s="33"/>
      <c r="G75" s="33"/>
      <c r="H75" s="33"/>
      <c r="I75" s="33"/>
      <c r="J75" s="33"/>
      <c r="K75" s="33"/>
      <c r="L75" s="34"/>
      <c r="M75" s="34"/>
      <c r="N75" s="34"/>
      <c r="O75" s="34"/>
      <c r="P75" s="33"/>
      <c r="Q75" s="35"/>
      <c r="R75" s="33"/>
      <c r="S75" s="33"/>
      <c r="T75" s="33"/>
      <c r="U75" s="33"/>
      <c r="V75" s="33"/>
      <c r="W75" s="33"/>
    </row>
    <row r="76" customFormat="false" ht="15" hidden="false" customHeight="false" outlineLevel="0" collapsed="false">
      <c r="A76" s="33"/>
      <c r="B76" s="33"/>
      <c r="C76" s="33"/>
      <c r="D76" s="33"/>
      <c r="E76" s="33"/>
      <c r="F76" s="33"/>
      <c r="G76" s="33"/>
      <c r="H76" s="33"/>
      <c r="I76" s="33"/>
      <c r="J76" s="33"/>
      <c r="K76" s="33"/>
      <c r="L76" s="34"/>
      <c r="M76" s="34"/>
      <c r="N76" s="34"/>
      <c r="O76" s="34"/>
      <c r="P76" s="33"/>
      <c r="Q76" s="35"/>
      <c r="R76" s="33"/>
      <c r="S76" s="33"/>
      <c r="T76" s="33"/>
      <c r="U76" s="33"/>
      <c r="V76" s="33"/>
      <c r="W76" s="33"/>
    </row>
    <row r="77" customFormat="false" ht="15" hidden="false" customHeight="false" outlineLevel="0" collapsed="false">
      <c r="A77" s="33"/>
      <c r="B77" s="33"/>
      <c r="C77" s="33"/>
      <c r="D77" s="33"/>
      <c r="E77" s="33"/>
      <c r="F77" s="33"/>
      <c r="G77" s="33"/>
      <c r="H77" s="33"/>
      <c r="I77" s="33"/>
      <c r="J77" s="33"/>
      <c r="K77" s="33"/>
      <c r="L77" s="34"/>
      <c r="M77" s="34"/>
      <c r="N77" s="34"/>
      <c r="O77" s="34"/>
      <c r="P77" s="33"/>
      <c r="Q77" s="35"/>
      <c r="R77" s="33"/>
      <c r="S77" s="33"/>
      <c r="T77" s="33"/>
      <c r="U77" s="33"/>
      <c r="V77" s="33"/>
      <c r="W77" s="33"/>
    </row>
    <row r="78" customFormat="false" ht="15" hidden="false" customHeight="false" outlineLevel="0" collapsed="false">
      <c r="A78" s="33"/>
      <c r="B78" s="33"/>
      <c r="C78" s="33"/>
      <c r="D78" s="33"/>
      <c r="E78" s="33"/>
      <c r="F78" s="33"/>
      <c r="G78" s="33"/>
      <c r="H78" s="33"/>
      <c r="I78" s="33"/>
      <c r="J78" s="33"/>
      <c r="K78" s="33"/>
      <c r="L78" s="34"/>
      <c r="M78" s="34"/>
      <c r="N78" s="34"/>
      <c r="O78" s="34"/>
      <c r="P78" s="33"/>
      <c r="Q78" s="35"/>
      <c r="R78" s="33"/>
      <c r="S78" s="33"/>
      <c r="T78" s="33"/>
      <c r="U78" s="33"/>
      <c r="V78" s="33"/>
      <c r="W78" s="33"/>
    </row>
    <row r="79" customFormat="false" ht="15" hidden="false" customHeight="false" outlineLevel="0" collapsed="false">
      <c r="A79" s="33"/>
      <c r="B79" s="33"/>
      <c r="C79" s="33"/>
      <c r="D79" s="33"/>
      <c r="E79" s="33"/>
      <c r="F79" s="33"/>
      <c r="G79" s="33"/>
      <c r="H79" s="33"/>
      <c r="I79" s="33"/>
      <c r="J79" s="33"/>
      <c r="K79" s="33"/>
      <c r="L79" s="34"/>
      <c r="M79" s="34"/>
      <c r="N79" s="34"/>
      <c r="O79" s="34"/>
      <c r="P79" s="33"/>
      <c r="Q79" s="35"/>
      <c r="R79" s="33"/>
      <c r="S79" s="33"/>
      <c r="T79" s="33"/>
      <c r="U79" s="33"/>
      <c r="V79" s="33"/>
      <c r="W79" s="33"/>
    </row>
    <row r="80" customFormat="false" ht="15" hidden="false" customHeight="false" outlineLevel="0" collapsed="false">
      <c r="A80" s="33"/>
      <c r="B80" s="33"/>
      <c r="C80" s="33"/>
      <c r="D80" s="33"/>
      <c r="E80" s="33"/>
      <c r="F80" s="33"/>
      <c r="G80" s="33"/>
      <c r="H80" s="33"/>
      <c r="I80" s="33"/>
      <c r="J80" s="33"/>
      <c r="K80" s="33"/>
      <c r="L80" s="34"/>
      <c r="M80" s="34"/>
      <c r="N80" s="34"/>
      <c r="O80" s="34"/>
      <c r="P80" s="33"/>
      <c r="Q80" s="35"/>
      <c r="R80" s="33"/>
      <c r="S80" s="33"/>
      <c r="T80" s="33"/>
      <c r="U80" s="33"/>
      <c r="V80" s="33"/>
      <c r="W80" s="33"/>
    </row>
    <row r="81" customFormat="false" ht="15" hidden="false" customHeight="false" outlineLevel="0" collapsed="false">
      <c r="A81" s="33"/>
      <c r="B81" s="33"/>
      <c r="C81" s="33"/>
      <c r="D81" s="33"/>
      <c r="E81" s="33"/>
      <c r="F81" s="33"/>
      <c r="G81" s="33"/>
      <c r="H81" s="33"/>
      <c r="I81" s="33"/>
      <c r="J81" s="33"/>
      <c r="K81" s="33"/>
      <c r="L81" s="34"/>
      <c r="M81" s="34"/>
      <c r="N81" s="34"/>
      <c r="O81" s="34"/>
      <c r="P81" s="33"/>
      <c r="Q81" s="35"/>
      <c r="R81" s="33"/>
      <c r="S81" s="33"/>
      <c r="T81" s="33"/>
      <c r="U81" s="33"/>
      <c r="V81" s="33"/>
      <c r="W81" s="33"/>
    </row>
    <row r="82" customFormat="false" ht="15" hidden="false" customHeight="false" outlineLevel="0" collapsed="false">
      <c r="A82" s="33"/>
      <c r="B82" s="33"/>
      <c r="C82" s="33"/>
      <c r="D82" s="33"/>
      <c r="E82" s="33"/>
      <c r="F82" s="33"/>
      <c r="G82" s="33"/>
      <c r="H82" s="33"/>
      <c r="I82" s="33"/>
      <c r="J82" s="33"/>
      <c r="K82" s="33"/>
      <c r="L82" s="34"/>
      <c r="M82" s="34"/>
      <c r="N82" s="34"/>
      <c r="O82" s="34"/>
      <c r="P82" s="33"/>
      <c r="Q82" s="35"/>
      <c r="R82" s="33"/>
      <c r="S82" s="33"/>
      <c r="T82" s="33"/>
      <c r="U82" s="33"/>
      <c r="V82" s="33"/>
      <c r="W82" s="33"/>
    </row>
    <row r="83" customFormat="false" ht="15" hidden="false" customHeight="false" outlineLevel="0" collapsed="false">
      <c r="A83" s="33"/>
      <c r="B83" s="33"/>
      <c r="C83" s="33"/>
      <c r="D83" s="33"/>
      <c r="E83" s="33"/>
      <c r="F83" s="33"/>
      <c r="G83" s="33"/>
      <c r="H83" s="33"/>
      <c r="I83" s="33"/>
      <c r="J83" s="33"/>
      <c r="K83" s="33"/>
      <c r="L83" s="34"/>
      <c r="M83" s="34"/>
      <c r="N83" s="34"/>
      <c r="O83" s="34"/>
      <c r="P83" s="33"/>
      <c r="Q83" s="35"/>
      <c r="R83" s="33"/>
      <c r="S83" s="33"/>
      <c r="T83" s="33"/>
      <c r="U83" s="33"/>
      <c r="V83" s="33"/>
      <c r="W83" s="33"/>
    </row>
    <row r="84" customFormat="false" ht="15" hidden="false" customHeight="false" outlineLevel="0" collapsed="false">
      <c r="A84" s="33"/>
      <c r="B84" s="33"/>
      <c r="C84" s="33"/>
      <c r="D84" s="33"/>
      <c r="E84" s="33"/>
      <c r="F84" s="33"/>
      <c r="G84" s="33"/>
      <c r="H84" s="33"/>
      <c r="I84" s="33"/>
      <c r="J84" s="33"/>
      <c r="K84" s="33"/>
      <c r="L84" s="34"/>
      <c r="M84" s="34"/>
      <c r="N84" s="34"/>
      <c r="O84" s="34"/>
      <c r="P84" s="33"/>
      <c r="Q84" s="35"/>
      <c r="R84" s="33"/>
      <c r="S84" s="33"/>
      <c r="T84" s="33"/>
      <c r="U84" s="33"/>
      <c r="V84" s="33"/>
      <c r="W84" s="33"/>
    </row>
    <row r="85" customFormat="false" ht="15" hidden="false" customHeight="false" outlineLevel="0" collapsed="false">
      <c r="A85" s="33"/>
      <c r="B85" s="33"/>
      <c r="C85" s="33"/>
      <c r="D85" s="33"/>
      <c r="E85" s="33"/>
      <c r="F85" s="33"/>
      <c r="G85" s="33"/>
      <c r="H85" s="33"/>
      <c r="I85" s="33"/>
      <c r="J85" s="33"/>
      <c r="K85" s="33"/>
      <c r="L85" s="34"/>
      <c r="M85" s="34"/>
      <c r="N85" s="34"/>
      <c r="O85" s="34"/>
      <c r="P85" s="33"/>
      <c r="Q85" s="35"/>
      <c r="R85" s="33"/>
      <c r="S85" s="33"/>
      <c r="T85" s="33"/>
      <c r="U85" s="33"/>
      <c r="V85" s="33"/>
      <c r="W85" s="33"/>
    </row>
    <row r="86" customFormat="false" ht="15" hidden="false" customHeight="false" outlineLevel="0" collapsed="false">
      <c r="A86" s="33"/>
      <c r="B86" s="33"/>
      <c r="C86" s="33"/>
      <c r="D86" s="33"/>
      <c r="E86" s="33"/>
      <c r="F86" s="33"/>
      <c r="G86" s="33"/>
      <c r="H86" s="33"/>
      <c r="I86" s="33"/>
      <c r="J86" s="33"/>
      <c r="K86" s="33"/>
      <c r="L86" s="34"/>
      <c r="M86" s="34"/>
      <c r="N86" s="34"/>
      <c r="O86" s="34"/>
      <c r="P86" s="33"/>
      <c r="Q86" s="35"/>
      <c r="R86" s="33"/>
      <c r="S86" s="33"/>
      <c r="T86" s="33"/>
      <c r="U86" s="33"/>
      <c r="V86" s="33"/>
      <c r="W86" s="33"/>
    </row>
    <row r="87" customFormat="false" ht="15" hidden="false" customHeight="false" outlineLevel="0" collapsed="false">
      <c r="A87" s="33"/>
      <c r="B87" s="33"/>
      <c r="C87" s="33"/>
      <c r="D87" s="33"/>
      <c r="E87" s="33"/>
      <c r="F87" s="33"/>
      <c r="G87" s="33"/>
      <c r="H87" s="33"/>
      <c r="I87" s="33"/>
      <c r="J87" s="33"/>
      <c r="K87" s="33"/>
      <c r="L87" s="34"/>
      <c r="M87" s="34"/>
      <c r="N87" s="34"/>
      <c r="O87" s="34"/>
      <c r="P87" s="33"/>
      <c r="Q87" s="35"/>
      <c r="R87" s="33"/>
      <c r="S87" s="33"/>
      <c r="T87" s="33"/>
      <c r="U87" s="33"/>
      <c r="V87" s="33"/>
      <c r="W87" s="33"/>
    </row>
    <row r="88" customFormat="false" ht="15" hidden="false" customHeight="false" outlineLevel="0" collapsed="false">
      <c r="A88" s="33"/>
      <c r="B88" s="33"/>
      <c r="C88" s="33"/>
      <c r="D88" s="33"/>
      <c r="E88" s="33"/>
      <c r="F88" s="33"/>
      <c r="G88" s="33"/>
      <c r="H88" s="33"/>
      <c r="I88" s="33"/>
      <c r="J88" s="33"/>
      <c r="K88" s="33"/>
      <c r="L88" s="34"/>
      <c r="M88" s="34"/>
      <c r="N88" s="34"/>
      <c r="O88" s="34"/>
      <c r="P88" s="33"/>
      <c r="Q88" s="35"/>
      <c r="R88" s="33"/>
      <c r="S88" s="33"/>
      <c r="T88" s="33"/>
      <c r="U88" s="33"/>
      <c r="V88" s="33"/>
      <c r="W88" s="33"/>
    </row>
    <row r="89" customFormat="false" ht="15" hidden="false" customHeight="false" outlineLevel="0" collapsed="false">
      <c r="A89" s="33"/>
      <c r="B89" s="33"/>
      <c r="C89" s="33"/>
      <c r="D89" s="33"/>
      <c r="E89" s="33"/>
      <c r="F89" s="33"/>
      <c r="G89" s="33"/>
      <c r="H89" s="33"/>
      <c r="I89" s="33"/>
      <c r="J89" s="33"/>
      <c r="K89" s="33"/>
      <c r="L89" s="34"/>
      <c r="M89" s="34"/>
      <c r="N89" s="34"/>
      <c r="O89" s="34"/>
      <c r="P89" s="33"/>
      <c r="Q89" s="35"/>
      <c r="R89" s="33"/>
      <c r="S89" s="33"/>
      <c r="T89" s="33"/>
      <c r="U89" s="33"/>
      <c r="V89" s="33"/>
      <c r="W89" s="33"/>
    </row>
    <row r="90" customFormat="false" ht="15" hidden="false" customHeight="false" outlineLevel="0" collapsed="false">
      <c r="A90" s="33"/>
      <c r="B90" s="33"/>
      <c r="C90" s="33"/>
      <c r="D90" s="33"/>
      <c r="E90" s="33"/>
      <c r="F90" s="33"/>
      <c r="G90" s="33"/>
      <c r="H90" s="33"/>
      <c r="I90" s="33"/>
      <c r="J90" s="33"/>
      <c r="K90" s="33"/>
      <c r="L90" s="34"/>
      <c r="M90" s="34"/>
      <c r="N90" s="34"/>
      <c r="O90" s="34"/>
      <c r="P90" s="33"/>
      <c r="Q90" s="35"/>
      <c r="R90" s="33"/>
      <c r="S90" s="33"/>
      <c r="T90" s="33"/>
      <c r="U90" s="33"/>
      <c r="V90" s="33"/>
      <c r="W90" s="33"/>
    </row>
    <row r="91" customFormat="false" ht="15" hidden="false" customHeight="false" outlineLevel="0" collapsed="false">
      <c r="A91" s="33"/>
      <c r="B91" s="33"/>
      <c r="C91" s="33"/>
      <c r="D91" s="33"/>
      <c r="E91" s="33"/>
      <c r="F91" s="33"/>
      <c r="G91" s="33"/>
      <c r="H91" s="33"/>
      <c r="I91" s="33"/>
      <c r="J91" s="33"/>
      <c r="K91" s="33"/>
      <c r="L91" s="34"/>
      <c r="M91" s="34"/>
      <c r="N91" s="34"/>
      <c r="O91" s="34"/>
      <c r="P91" s="33"/>
      <c r="Q91" s="35"/>
      <c r="R91" s="33"/>
      <c r="S91" s="33"/>
      <c r="T91" s="33"/>
      <c r="U91" s="33"/>
      <c r="V91" s="33"/>
      <c r="W91" s="33"/>
    </row>
    <row r="92" customFormat="false" ht="15" hidden="false" customHeight="false" outlineLevel="0" collapsed="false">
      <c r="A92" s="33"/>
      <c r="B92" s="33"/>
      <c r="C92" s="33"/>
      <c r="D92" s="33"/>
      <c r="E92" s="33"/>
      <c r="F92" s="33"/>
      <c r="G92" s="33"/>
      <c r="H92" s="33"/>
      <c r="I92" s="33"/>
      <c r="J92" s="33"/>
      <c r="K92" s="33"/>
      <c r="L92" s="34"/>
      <c r="M92" s="34"/>
      <c r="N92" s="34"/>
      <c r="O92" s="34"/>
      <c r="P92" s="33"/>
      <c r="Q92" s="35"/>
      <c r="R92" s="33"/>
      <c r="S92" s="33"/>
      <c r="T92" s="33"/>
      <c r="U92" s="33"/>
      <c r="V92" s="33"/>
      <c r="W92" s="33"/>
    </row>
    <row r="93" customFormat="false" ht="15" hidden="false" customHeight="false" outlineLevel="0" collapsed="false">
      <c r="A93" s="33"/>
      <c r="B93" s="33"/>
      <c r="C93" s="33"/>
      <c r="D93" s="33"/>
      <c r="E93" s="33"/>
      <c r="F93" s="33"/>
      <c r="G93" s="33"/>
      <c r="H93" s="33"/>
      <c r="I93" s="33"/>
      <c r="J93" s="33"/>
      <c r="K93" s="33"/>
      <c r="L93" s="34"/>
      <c r="M93" s="34"/>
      <c r="N93" s="34"/>
      <c r="O93" s="34"/>
      <c r="P93" s="33"/>
      <c r="Q93" s="35"/>
      <c r="R93" s="33"/>
      <c r="S93" s="33"/>
      <c r="T93" s="33"/>
      <c r="U93" s="33"/>
      <c r="V93" s="33"/>
      <c r="W93" s="33"/>
    </row>
    <row r="94" customFormat="false" ht="15" hidden="false" customHeight="false" outlineLevel="0" collapsed="false">
      <c r="A94" s="33"/>
      <c r="B94" s="33"/>
      <c r="C94" s="33"/>
      <c r="D94" s="33"/>
      <c r="E94" s="33"/>
      <c r="F94" s="33"/>
      <c r="G94" s="33"/>
      <c r="H94" s="33"/>
      <c r="I94" s="33"/>
      <c r="J94" s="33"/>
      <c r="K94" s="33"/>
      <c r="L94" s="34"/>
      <c r="M94" s="34"/>
      <c r="N94" s="34"/>
      <c r="O94" s="34"/>
      <c r="P94" s="33"/>
      <c r="Q94" s="35"/>
      <c r="R94" s="33"/>
      <c r="S94" s="33"/>
      <c r="T94" s="33"/>
      <c r="U94" s="33"/>
      <c r="V94" s="33"/>
      <c r="W94" s="33"/>
    </row>
    <row r="95" customFormat="false" ht="15" hidden="false" customHeight="false" outlineLevel="0" collapsed="false">
      <c r="A95" s="33"/>
      <c r="B95" s="33"/>
      <c r="C95" s="33"/>
      <c r="D95" s="33"/>
      <c r="E95" s="33"/>
      <c r="F95" s="33"/>
      <c r="G95" s="33"/>
      <c r="H95" s="33"/>
      <c r="I95" s="33"/>
      <c r="J95" s="33"/>
      <c r="K95" s="33"/>
      <c r="L95" s="34"/>
      <c r="M95" s="34"/>
      <c r="N95" s="34"/>
      <c r="O95" s="34"/>
      <c r="P95" s="33"/>
      <c r="Q95" s="35"/>
      <c r="R95" s="33"/>
      <c r="S95" s="33"/>
      <c r="T95" s="33"/>
      <c r="U95" s="33"/>
      <c r="V95" s="33"/>
      <c r="W95" s="33"/>
    </row>
    <row r="96" customFormat="false" ht="15" hidden="false" customHeight="false" outlineLevel="0" collapsed="false">
      <c r="A96" s="33"/>
      <c r="B96" s="33"/>
      <c r="C96" s="33"/>
      <c r="D96" s="33"/>
      <c r="E96" s="33"/>
      <c r="F96" s="33"/>
      <c r="G96" s="33"/>
      <c r="H96" s="33"/>
      <c r="I96" s="33"/>
      <c r="J96" s="33"/>
      <c r="K96" s="33"/>
      <c r="L96" s="34"/>
      <c r="M96" s="34"/>
      <c r="N96" s="34"/>
      <c r="O96" s="34"/>
      <c r="P96" s="33"/>
      <c r="Q96" s="35"/>
      <c r="R96" s="33"/>
      <c r="S96" s="33"/>
      <c r="T96" s="33"/>
      <c r="U96" s="33"/>
      <c r="V96" s="33"/>
      <c r="W96" s="33"/>
    </row>
    <row r="97" customFormat="false" ht="15" hidden="false" customHeight="false" outlineLevel="0" collapsed="false">
      <c r="A97" s="33"/>
      <c r="B97" s="33"/>
      <c r="C97" s="33"/>
      <c r="D97" s="33"/>
      <c r="E97" s="33"/>
      <c r="F97" s="33"/>
      <c r="G97" s="33"/>
      <c r="H97" s="33"/>
      <c r="I97" s="33"/>
      <c r="J97" s="33"/>
      <c r="K97" s="33"/>
      <c r="L97" s="34"/>
      <c r="M97" s="34"/>
      <c r="N97" s="34"/>
      <c r="O97" s="34"/>
      <c r="P97" s="33"/>
      <c r="Q97" s="35"/>
      <c r="R97" s="33"/>
      <c r="S97" s="33"/>
      <c r="T97" s="33"/>
      <c r="U97" s="33"/>
      <c r="V97" s="33"/>
      <c r="W97" s="33"/>
    </row>
    <row r="98" customFormat="false" ht="15" hidden="false" customHeight="false" outlineLevel="0" collapsed="false">
      <c r="A98" s="33"/>
      <c r="B98" s="33"/>
      <c r="C98" s="33"/>
      <c r="D98" s="33"/>
      <c r="E98" s="33"/>
      <c r="F98" s="33"/>
      <c r="G98" s="33"/>
      <c r="H98" s="33"/>
      <c r="I98" s="33"/>
      <c r="J98" s="33"/>
      <c r="K98" s="33"/>
      <c r="L98" s="34"/>
      <c r="M98" s="34"/>
      <c r="N98" s="34"/>
      <c r="O98" s="34"/>
      <c r="P98" s="33"/>
      <c r="Q98" s="35"/>
      <c r="R98" s="33"/>
      <c r="S98" s="33"/>
      <c r="T98" s="33"/>
      <c r="U98" s="33"/>
      <c r="V98" s="33"/>
      <c r="W98" s="33"/>
    </row>
    <row r="99" customFormat="false" ht="15" hidden="false" customHeight="false" outlineLevel="0" collapsed="false">
      <c r="A99" s="33"/>
      <c r="B99" s="33"/>
      <c r="C99" s="33"/>
      <c r="D99" s="33"/>
      <c r="E99" s="33"/>
      <c r="F99" s="33"/>
      <c r="G99" s="33"/>
      <c r="H99" s="33"/>
      <c r="I99" s="33"/>
      <c r="J99" s="33"/>
      <c r="K99" s="33"/>
      <c r="L99" s="34"/>
      <c r="M99" s="34"/>
      <c r="N99" s="34"/>
      <c r="O99" s="34"/>
      <c r="P99" s="33"/>
      <c r="Q99" s="35"/>
      <c r="R99" s="33"/>
      <c r="S99" s="33"/>
      <c r="T99" s="33"/>
      <c r="U99" s="33"/>
      <c r="V99" s="33"/>
      <c r="W99" s="33"/>
    </row>
    <row r="100" customFormat="false" ht="15" hidden="false" customHeight="false" outlineLevel="0" collapsed="false">
      <c r="A100" s="33"/>
      <c r="B100" s="33"/>
      <c r="C100" s="33"/>
      <c r="D100" s="33"/>
      <c r="E100" s="33"/>
      <c r="F100" s="33"/>
      <c r="G100" s="33"/>
      <c r="H100" s="33"/>
      <c r="I100" s="33"/>
      <c r="J100" s="33"/>
      <c r="K100" s="33"/>
      <c r="L100" s="34"/>
      <c r="M100" s="34"/>
      <c r="N100" s="34"/>
      <c r="O100" s="34"/>
      <c r="P100" s="33"/>
      <c r="Q100" s="35"/>
      <c r="R100" s="33"/>
      <c r="S100" s="33"/>
      <c r="T100" s="33"/>
      <c r="U100" s="33"/>
      <c r="V100" s="33"/>
      <c r="W100" s="33"/>
    </row>
    <row r="101" customFormat="false" ht="15" hidden="false" customHeight="false" outlineLevel="0" collapsed="false">
      <c r="A101" s="33"/>
      <c r="B101" s="33"/>
      <c r="C101" s="33"/>
      <c r="D101" s="33"/>
      <c r="E101" s="33"/>
      <c r="F101" s="33"/>
      <c r="G101" s="33"/>
      <c r="H101" s="33"/>
      <c r="I101" s="33"/>
      <c r="J101" s="33"/>
      <c r="K101" s="33"/>
      <c r="L101" s="34"/>
      <c r="M101" s="34"/>
      <c r="N101" s="34"/>
      <c r="O101" s="34"/>
      <c r="P101" s="33"/>
      <c r="Q101" s="35"/>
      <c r="R101" s="33"/>
      <c r="S101" s="33"/>
      <c r="T101" s="33"/>
      <c r="U101" s="33"/>
      <c r="V101" s="33"/>
      <c r="W101" s="33"/>
    </row>
    <row r="102" customFormat="false" ht="15" hidden="false" customHeight="false" outlineLevel="0" collapsed="false">
      <c r="A102" s="33"/>
      <c r="B102" s="33"/>
      <c r="C102" s="33"/>
      <c r="D102" s="33"/>
      <c r="E102" s="33"/>
      <c r="F102" s="33"/>
      <c r="G102" s="33"/>
      <c r="H102" s="33"/>
      <c r="I102" s="33"/>
      <c r="J102" s="33"/>
      <c r="K102" s="33"/>
      <c r="L102" s="34"/>
      <c r="M102" s="34"/>
      <c r="N102" s="34"/>
      <c r="O102" s="34"/>
      <c r="P102" s="33"/>
      <c r="Q102" s="35"/>
      <c r="R102" s="33"/>
      <c r="S102" s="33"/>
      <c r="T102" s="33"/>
      <c r="U102" s="33"/>
      <c r="V102" s="33"/>
      <c r="W102" s="33"/>
    </row>
    <row r="103" customFormat="false" ht="15" hidden="false" customHeight="false" outlineLevel="0" collapsed="false">
      <c r="A103" s="33"/>
      <c r="B103" s="33"/>
      <c r="C103" s="33"/>
      <c r="D103" s="33"/>
      <c r="E103" s="33"/>
      <c r="F103" s="33"/>
      <c r="G103" s="33"/>
      <c r="H103" s="33"/>
      <c r="I103" s="33"/>
      <c r="J103" s="33"/>
      <c r="K103" s="33"/>
      <c r="L103" s="34"/>
      <c r="M103" s="34"/>
      <c r="N103" s="34"/>
      <c r="O103" s="34"/>
      <c r="P103" s="33"/>
      <c r="Q103" s="35"/>
      <c r="R103" s="33"/>
      <c r="S103" s="33"/>
      <c r="T103" s="33"/>
      <c r="U103" s="33"/>
      <c r="V103" s="33"/>
      <c r="W103" s="33"/>
    </row>
    <row r="104" customFormat="false" ht="15" hidden="false" customHeight="false" outlineLevel="0" collapsed="false">
      <c r="A104" s="33"/>
      <c r="B104" s="33"/>
      <c r="C104" s="33"/>
      <c r="D104" s="33"/>
      <c r="E104" s="33"/>
      <c r="F104" s="33"/>
      <c r="G104" s="33"/>
      <c r="H104" s="33"/>
      <c r="I104" s="33"/>
      <c r="J104" s="33"/>
      <c r="K104" s="33"/>
      <c r="L104" s="34"/>
      <c r="M104" s="34"/>
      <c r="N104" s="34"/>
      <c r="O104" s="34"/>
      <c r="P104" s="33"/>
      <c r="Q104" s="35"/>
      <c r="R104" s="33"/>
      <c r="S104" s="33"/>
      <c r="T104" s="33"/>
      <c r="U104" s="33"/>
      <c r="V104" s="33"/>
      <c r="W104" s="33"/>
    </row>
    <row r="105" customFormat="false" ht="15" hidden="false" customHeight="false" outlineLevel="0" collapsed="false">
      <c r="A105" s="33"/>
      <c r="B105" s="33"/>
      <c r="C105" s="33"/>
      <c r="D105" s="33"/>
      <c r="E105" s="33"/>
      <c r="F105" s="33"/>
      <c r="G105" s="33"/>
      <c r="H105" s="33"/>
      <c r="I105" s="33"/>
      <c r="J105" s="33"/>
      <c r="K105" s="33"/>
      <c r="L105" s="34"/>
      <c r="M105" s="34"/>
      <c r="N105" s="34"/>
      <c r="O105" s="34"/>
      <c r="P105" s="33"/>
      <c r="Q105" s="35"/>
      <c r="R105" s="33"/>
      <c r="S105" s="33"/>
      <c r="T105" s="33"/>
      <c r="U105" s="33"/>
      <c r="V105" s="33"/>
      <c r="W105" s="33"/>
    </row>
    <row r="106" customFormat="false" ht="15" hidden="false" customHeight="false" outlineLevel="0" collapsed="false">
      <c r="A106" s="33"/>
      <c r="B106" s="33"/>
      <c r="C106" s="33"/>
      <c r="D106" s="33"/>
      <c r="E106" s="33"/>
      <c r="F106" s="33"/>
      <c r="G106" s="33"/>
      <c r="H106" s="33"/>
      <c r="I106" s="33"/>
      <c r="J106" s="33"/>
      <c r="K106" s="33"/>
      <c r="L106" s="34"/>
      <c r="M106" s="34"/>
      <c r="N106" s="34"/>
      <c r="O106" s="34"/>
      <c r="P106" s="33"/>
      <c r="Q106" s="35"/>
      <c r="R106" s="33"/>
      <c r="S106" s="33"/>
      <c r="T106" s="33"/>
      <c r="U106" s="33"/>
      <c r="V106" s="33"/>
      <c r="W106" s="33"/>
    </row>
    <row r="107" customFormat="false" ht="15" hidden="false" customHeight="false" outlineLevel="0" collapsed="false">
      <c r="A107" s="33"/>
      <c r="B107" s="33"/>
      <c r="C107" s="33"/>
      <c r="D107" s="33"/>
      <c r="E107" s="33"/>
      <c r="F107" s="33"/>
      <c r="G107" s="33"/>
      <c r="H107" s="33"/>
      <c r="I107" s="33"/>
      <c r="J107" s="33"/>
      <c r="K107" s="33"/>
      <c r="L107" s="34"/>
      <c r="M107" s="34"/>
      <c r="N107" s="34"/>
      <c r="O107" s="34"/>
      <c r="P107" s="33"/>
      <c r="Q107" s="35"/>
      <c r="R107" s="33"/>
      <c r="S107" s="33"/>
      <c r="T107" s="33"/>
      <c r="U107" s="33"/>
      <c r="V107" s="33"/>
      <c r="W107" s="33"/>
    </row>
    <row r="108" customFormat="false" ht="15" hidden="false" customHeight="false" outlineLevel="0" collapsed="false">
      <c r="A108" s="33"/>
      <c r="B108" s="33"/>
      <c r="C108" s="33"/>
      <c r="D108" s="33"/>
      <c r="E108" s="33"/>
      <c r="F108" s="33"/>
      <c r="G108" s="33"/>
      <c r="H108" s="33"/>
      <c r="I108" s="33"/>
      <c r="J108" s="33"/>
      <c r="K108" s="33"/>
      <c r="L108" s="34"/>
      <c r="M108" s="34"/>
      <c r="N108" s="34"/>
      <c r="O108" s="34"/>
      <c r="P108" s="33"/>
      <c r="Q108" s="35"/>
      <c r="R108" s="33"/>
      <c r="S108" s="33"/>
      <c r="T108" s="33"/>
      <c r="U108" s="33"/>
      <c r="V108" s="33"/>
      <c r="W108" s="33"/>
    </row>
    <row r="109" customFormat="false" ht="15" hidden="false" customHeight="false" outlineLevel="0" collapsed="false">
      <c r="A109" s="33"/>
      <c r="B109" s="33"/>
      <c r="C109" s="33"/>
      <c r="D109" s="33"/>
      <c r="E109" s="33"/>
      <c r="F109" s="33"/>
      <c r="G109" s="33"/>
      <c r="H109" s="33"/>
      <c r="I109" s="33"/>
      <c r="J109" s="33"/>
      <c r="K109" s="33"/>
      <c r="L109" s="34"/>
      <c r="M109" s="34"/>
      <c r="N109" s="34"/>
      <c r="O109" s="34"/>
      <c r="P109" s="33"/>
      <c r="Q109" s="35"/>
      <c r="R109" s="33"/>
      <c r="S109" s="33"/>
      <c r="T109" s="33"/>
      <c r="U109" s="33"/>
      <c r="V109" s="33"/>
      <c r="W109" s="33"/>
    </row>
    <row r="110" customFormat="false" ht="15" hidden="false" customHeight="false" outlineLevel="0" collapsed="false">
      <c r="A110" s="33"/>
      <c r="B110" s="33"/>
      <c r="C110" s="33"/>
      <c r="D110" s="33"/>
      <c r="E110" s="33"/>
      <c r="F110" s="33"/>
      <c r="G110" s="33"/>
      <c r="H110" s="33"/>
      <c r="I110" s="33"/>
      <c r="J110" s="33"/>
      <c r="K110" s="33"/>
      <c r="L110" s="34"/>
      <c r="M110" s="34"/>
      <c r="N110" s="34"/>
      <c r="O110" s="34"/>
      <c r="P110" s="33"/>
      <c r="Q110" s="35"/>
      <c r="R110" s="33"/>
      <c r="S110" s="33"/>
      <c r="T110" s="33"/>
      <c r="U110" s="33"/>
      <c r="V110" s="33"/>
      <c r="W110" s="33"/>
    </row>
    <row r="111" customFormat="false" ht="15" hidden="false" customHeight="false" outlineLevel="0" collapsed="false">
      <c r="A111" s="33"/>
      <c r="B111" s="33"/>
      <c r="C111" s="33"/>
      <c r="D111" s="33"/>
      <c r="E111" s="33"/>
      <c r="F111" s="33"/>
      <c r="G111" s="33"/>
      <c r="H111" s="33"/>
      <c r="I111" s="33"/>
      <c r="J111" s="33"/>
      <c r="K111" s="33"/>
      <c r="L111" s="34"/>
      <c r="M111" s="34"/>
      <c r="N111" s="34"/>
      <c r="O111" s="34"/>
      <c r="P111" s="33"/>
      <c r="Q111" s="35"/>
      <c r="R111" s="33"/>
      <c r="S111" s="33"/>
      <c r="T111" s="33"/>
      <c r="U111" s="33"/>
      <c r="V111" s="33"/>
      <c r="W111" s="33"/>
    </row>
    <row r="112" customFormat="false" ht="15" hidden="false" customHeight="false" outlineLevel="0" collapsed="false">
      <c r="A112" s="33"/>
      <c r="B112" s="33"/>
      <c r="C112" s="33"/>
      <c r="D112" s="33"/>
      <c r="E112" s="33"/>
      <c r="F112" s="33"/>
      <c r="G112" s="33"/>
      <c r="H112" s="33"/>
      <c r="I112" s="33"/>
      <c r="J112" s="33"/>
      <c r="K112" s="33"/>
      <c r="L112" s="34"/>
      <c r="M112" s="34"/>
      <c r="N112" s="34"/>
      <c r="O112" s="34"/>
      <c r="P112" s="33"/>
      <c r="Q112" s="35"/>
      <c r="R112" s="33"/>
      <c r="S112" s="33"/>
      <c r="T112" s="33"/>
      <c r="U112" s="33"/>
      <c r="V112" s="33"/>
      <c r="W112" s="33"/>
    </row>
    <row r="113" customFormat="false" ht="15" hidden="false" customHeight="false" outlineLevel="0" collapsed="false">
      <c r="A113" s="33"/>
      <c r="B113" s="33"/>
      <c r="C113" s="33"/>
      <c r="D113" s="33"/>
      <c r="E113" s="33"/>
      <c r="F113" s="33"/>
      <c r="G113" s="33"/>
      <c r="H113" s="33"/>
      <c r="I113" s="33"/>
      <c r="J113" s="33"/>
      <c r="K113" s="33"/>
      <c r="L113" s="34"/>
      <c r="M113" s="34"/>
      <c r="N113" s="34"/>
      <c r="O113" s="34"/>
      <c r="P113" s="33"/>
      <c r="Q113" s="35"/>
      <c r="R113" s="33"/>
      <c r="S113" s="33"/>
      <c r="T113" s="33"/>
      <c r="U113" s="33"/>
      <c r="V113" s="33"/>
      <c r="W113" s="33"/>
    </row>
    <row r="114" customFormat="false" ht="15" hidden="false" customHeight="false" outlineLevel="0" collapsed="false">
      <c r="A114" s="33"/>
      <c r="B114" s="33"/>
      <c r="C114" s="33"/>
      <c r="D114" s="33"/>
      <c r="E114" s="33"/>
      <c r="F114" s="33"/>
      <c r="G114" s="33"/>
      <c r="H114" s="33"/>
      <c r="I114" s="33"/>
      <c r="J114" s="33"/>
      <c r="K114" s="33"/>
      <c r="L114" s="34"/>
      <c r="M114" s="34"/>
      <c r="N114" s="34"/>
      <c r="O114" s="34"/>
      <c r="P114" s="33"/>
      <c r="Q114" s="35"/>
      <c r="R114" s="33"/>
      <c r="S114" s="33"/>
      <c r="T114" s="33"/>
      <c r="U114" s="33"/>
      <c r="V114" s="33"/>
      <c r="W114" s="33"/>
    </row>
    <row r="115" customFormat="false" ht="15" hidden="false" customHeight="false" outlineLevel="0" collapsed="false">
      <c r="A115" s="33"/>
      <c r="B115" s="33"/>
      <c r="C115" s="33"/>
      <c r="D115" s="33"/>
      <c r="E115" s="33"/>
      <c r="F115" s="33"/>
      <c r="G115" s="33"/>
      <c r="H115" s="33"/>
      <c r="I115" s="33"/>
      <c r="J115" s="33"/>
      <c r="K115" s="33"/>
      <c r="L115" s="34"/>
      <c r="M115" s="34"/>
      <c r="N115" s="34"/>
      <c r="O115" s="34"/>
      <c r="P115" s="33"/>
      <c r="Q115" s="35"/>
      <c r="R115" s="33"/>
      <c r="S115" s="33"/>
      <c r="T115" s="33"/>
      <c r="U115" s="33"/>
      <c r="V115" s="33"/>
      <c r="W115" s="33"/>
    </row>
    <row r="116" customFormat="false" ht="15" hidden="false" customHeight="false" outlineLevel="0" collapsed="false">
      <c r="A116" s="33"/>
      <c r="B116" s="33"/>
      <c r="C116" s="33"/>
      <c r="D116" s="33"/>
      <c r="E116" s="33"/>
      <c r="F116" s="33"/>
      <c r="G116" s="33"/>
      <c r="H116" s="33"/>
      <c r="I116" s="33"/>
      <c r="J116" s="33"/>
      <c r="K116" s="33"/>
      <c r="L116" s="34"/>
      <c r="M116" s="34"/>
      <c r="N116" s="34"/>
      <c r="O116" s="34"/>
      <c r="P116" s="33"/>
      <c r="Q116" s="35"/>
      <c r="R116" s="33"/>
      <c r="S116" s="33"/>
      <c r="T116" s="33"/>
      <c r="U116" s="33"/>
      <c r="V116" s="33"/>
      <c r="W116" s="33"/>
    </row>
    <row r="117" customFormat="false" ht="15" hidden="false" customHeight="false" outlineLevel="0" collapsed="false">
      <c r="A117" s="33"/>
      <c r="B117" s="33"/>
      <c r="C117" s="33"/>
      <c r="D117" s="33"/>
      <c r="E117" s="33"/>
      <c r="F117" s="33"/>
      <c r="G117" s="33"/>
      <c r="H117" s="33"/>
      <c r="I117" s="33"/>
      <c r="J117" s="33"/>
      <c r="K117" s="33"/>
      <c r="L117" s="34"/>
      <c r="M117" s="34"/>
      <c r="N117" s="34"/>
      <c r="O117" s="34"/>
      <c r="P117" s="33"/>
      <c r="Q117" s="35"/>
      <c r="R117" s="33"/>
      <c r="S117" s="33"/>
      <c r="T117" s="33"/>
      <c r="U117" s="33"/>
      <c r="V117" s="33"/>
      <c r="W117" s="33"/>
    </row>
    <row r="118" customFormat="false" ht="15" hidden="false" customHeight="false" outlineLevel="0" collapsed="false">
      <c r="A118" s="33"/>
      <c r="B118" s="33"/>
      <c r="C118" s="33"/>
      <c r="D118" s="33"/>
      <c r="E118" s="33"/>
      <c r="F118" s="33"/>
      <c r="G118" s="33"/>
      <c r="H118" s="33"/>
      <c r="I118" s="33"/>
      <c r="J118" s="33"/>
      <c r="K118" s="33"/>
      <c r="L118" s="34"/>
      <c r="M118" s="34"/>
      <c r="N118" s="34"/>
      <c r="O118" s="34"/>
      <c r="P118" s="33"/>
      <c r="Q118" s="35"/>
      <c r="R118" s="33"/>
      <c r="S118" s="33"/>
      <c r="T118" s="33"/>
      <c r="U118" s="33"/>
      <c r="V118" s="33"/>
      <c r="W118" s="33"/>
    </row>
    <row r="119" customFormat="false" ht="15" hidden="false" customHeight="false" outlineLevel="0" collapsed="false">
      <c r="A119" s="33"/>
      <c r="B119" s="33"/>
      <c r="C119" s="33"/>
      <c r="D119" s="33"/>
      <c r="E119" s="33"/>
      <c r="F119" s="33"/>
      <c r="G119" s="33"/>
      <c r="H119" s="33"/>
      <c r="I119" s="33"/>
      <c r="J119" s="33"/>
      <c r="K119" s="33"/>
      <c r="L119" s="34"/>
      <c r="M119" s="34"/>
      <c r="N119" s="34"/>
      <c r="O119" s="34"/>
      <c r="P119" s="33"/>
      <c r="Q119" s="35"/>
      <c r="R119" s="33"/>
      <c r="S119" s="33"/>
      <c r="T119" s="33"/>
      <c r="U119" s="33"/>
      <c r="V119" s="33"/>
      <c r="W119" s="33"/>
    </row>
    <row r="120" customFormat="false" ht="15" hidden="false" customHeight="false" outlineLevel="0" collapsed="false">
      <c r="A120" s="33"/>
      <c r="B120" s="33"/>
      <c r="C120" s="33"/>
      <c r="D120" s="33"/>
      <c r="E120" s="33"/>
      <c r="F120" s="33"/>
      <c r="G120" s="33"/>
      <c r="H120" s="33"/>
      <c r="I120" s="33"/>
      <c r="J120" s="33"/>
      <c r="K120" s="33"/>
      <c r="L120" s="34"/>
      <c r="M120" s="34"/>
      <c r="N120" s="34"/>
      <c r="O120" s="34"/>
      <c r="P120" s="33"/>
      <c r="Q120" s="35"/>
      <c r="R120" s="33"/>
      <c r="S120" s="33"/>
      <c r="T120" s="33"/>
      <c r="U120" s="33"/>
      <c r="V120" s="33"/>
      <c r="W120" s="33"/>
    </row>
    <row r="121" customFormat="false" ht="15" hidden="false" customHeight="false" outlineLevel="0" collapsed="false">
      <c r="A121" s="33"/>
      <c r="B121" s="33"/>
      <c r="C121" s="33"/>
      <c r="D121" s="33"/>
      <c r="E121" s="33"/>
      <c r="F121" s="33"/>
      <c r="G121" s="33"/>
      <c r="H121" s="33"/>
      <c r="I121" s="33"/>
      <c r="J121" s="33"/>
      <c r="K121" s="33"/>
      <c r="L121" s="34"/>
      <c r="M121" s="34"/>
      <c r="N121" s="34"/>
      <c r="O121" s="34"/>
      <c r="P121" s="33"/>
      <c r="Q121" s="35"/>
      <c r="R121" s="33"/>
      <c r="S121" s="33"/>
      <c r="T121" s="33"/>
      <c r="U121" s="33"/>
      <c r="V121" s="33"/>
      <c r="W121" s="33"/>
    </row>
    <row r="122" customFormat="false" ht="15" hidden="false" customHeight="false" outlineLevel="0" collapsed="false">
      <c r="A122" s="33"/>
      <c r="B122" s="33"/>
      <c r="C122" s="33"/>
      <c r="D122" s="33"/>
      <c r="E122" s="33"/>
      <c r="F122" s="33"/>
      <c r="G122" s="33"/>
      <c r="H122" s="33"/>
      <c r="I122" s="33"/>
      <c r="J122" s="33"/>
      <c r="K122" s="33"/>
      <c r="L122" s="34"/>
      <c r="M122" s="34"/>
      <c r="N122" s="34"/>
      <c r="O122" s="34"/>
      <c r="P122" s="33"/>
      <c r="Q122" s="35"/>
      <c r="R122" s="33"/>
      <c r="S122" s="33"/>
      <c r="T122" s="33"/>
      <c r="U122" s="33"/>
      <c r="V122" s="33"/>
      <c r="W122" s="33"/>
    </row>
    <row r="123" customFormat="false" ht="15" hidden="false" customHeight="false" outlineLevel="0" collapsed="false">
      <c r="A123" s="33"/>
      <c r="B123" s="33"/>
      <c r="C123" s="33"/>
      <c r="D123" s="33"/>
      <c r="E123" s="33"/>
      <c r="F123" s="33"/>
      <c r="G123" s="33"/>
      <c r="H123" s="33"/>
      <c r="I123" s="33"/>
      <c r="J123" s="33"/>
      <c r="K123" s="33"/>
      <c r="L123" s="34"/>
      <c r="M123" s="34"/>
      <c r="N123" s="34"/>
      <c r="O123" s="34"/>
      <c r="P123" s="33"/>
      <c r="Q123" s="35"/>
      <c r="R123" s="33"/>
      <c r="S123" s="33"/>
      <c r="T123" s="33"/>
      <c r="U123" s="33"/>
      <c r="V123" s="33"/>
      <c r="W123" s="33"/>
    </row>
    <row r="124" customFormat="false" ht="15" hidden="false" customHeight="false" outlineLevel="0" collapsed="false">
      <c r="A124" s="33"/>
      <c r="B124" s="33"/>
      <c r="C124" s="33"/>
      <c r="D124" s="33"/>
      <c r="E124" s="33"/>
      <c r="F124" s="33"/>
      <c r="G124" s="33"/>
      <c r="H124" s="33"/>
      <c r="I124" s="33"/>
      <c r="J124" s="33"/>
      <c r="K124" s="33"/>
      <c r="L124" s="34"/>
      <c r="M124" s="34"/>
      <c r="N124" s="34"/>
      <c r="O124" s="34"/>
      <c r="P124" s="33"/>
      <c r="Q124" s="35"/>
      <c r="R124" s="33"/>
      <c r="S124" s="33"/>
      <c r="T124" s="33"/>
      <c r="U124" s="33"/>
      <c r="V124" s="33"/>
      <c r="W124" s="33"/>
    </row>
    <row r="125" customFormat="false" ht="15" hidden="false" customHeight="false" outlineLevel="0" collapsed="false">
      <c r="A125" s="33"/>
      <c r="B125" s="33"/>
      <c r="C125" s="33"/>
      <c r="D125" s="33"/>
      <c r="E125" s="33"/>
      <c r="F125" s="33"/>
      <c r="G125" s="33"/>
      <c r="H125" s="33"/>
      <c r="I125" s="33"/>
      <c r="J125" s="33"/>
      <c r="K125" s="33"/>
      <c r="L125" s="34"/>
      <c r="M125" s="34"/>
      <c r="N125" s="34"/>
      <c r="O125" s="34"/>
      <c r="P125" s="33"/>
      <c r="Q125" s="35"/>
      <c r="R125" s="33"/>
      <c r="S125" s="33"/>
      <c r="T125" s="33"/>
      <c r="U125" s="33"/>
      <c r="V125" s="33"/>
      <c r="W125" s="33"/>
    </row>
    <row r="126" customFormat="false" ht="15" hidden="false" customHeight="false" outlineLevel="0" collapsed="false">
      <c r="A126" s="33"/>
      <c r="B126" s="33"/>
      <c r="C126" s="33"/>
      <c r="D126" s="33"/>
      <c r="E126" s="33"/>
      <c r="F126" s="33"/>
      <c r="G126" s="33"/>
      <c r="H126" s="33"/>
      <c r="I126" s="33"/>
      <c r="J126" s="33"/>
      <c r="K126" s="33"/>
      <c r="L126" s="34"/>
      <c r="M126" s="34"/>
      <c r="N126" s="34"/>
      <c r="O126" s="34"/>
      <c r="P126" s="33"/>
      <c r="Q126" s="35"/>
      <c r="R126" s="33"/>
      <c r="S126" s="33"/>
      <c r="T126" s="33"/>
      <c r="U126" s="33"/>
      <c r="V126" s="33"/>
      <c r="W126" s="33"/>
    </row>
    <row r="127" customFormat="false" ht="15" hidden="false" customHeight="false" outlineLevel="0" collapsed="false">
      <c r="A127" s="33"/>
      <c r="B127" s="33"/>
      <c r="C127" s="33"/>
      <c r="D127" s="33"/>
      <c r="E127" s="33"/>
      <c r="F127" s="33"/>
      <c r="G127" s="33"/>
      <c r="H127" s="33"/>
      <c r="I127" s="33"/>
      <c r="J127" s="33"/>
      <c r="K127" s="33"/>
      <c r="L127" s="34"/>
      <c r="M127" s="34"/>
      <c r="N127" s="34"/>
      <c r="O127" s="34"/>
      <c r="P127" s="33"/>
      <c r="Q127" s="35"/>
      <c r="R127" s="33"/>
      <c r="S127" s="33"/>
      <c r="T127" s="33"/>
      <c r="U127" s="33"/>
      <c r="V127" s="33"/>
      <c r="W127" s="33"/>
    </row>
    <row r="128" customFormat="false" ht="15" hidden="false" customHeight="false" outlineLevel="0" collapsed="false">
      <c r="A128" s="33"/>
      <c r="B128" s="33"/>
      <c r="C128" s="33"/>
      <c r="D128" s="33"/>
      <c r="E128" s="33"/>
      <c r="F128" s="33"/>
      <c r="G128" s="33"/>
      <c r="H128" s="33"/>
      <c r="I128" s="33"/>
      <c r="J128" s="33"/>
      <c r="K128" s="33"/>
      <c r="L128" s="34"/>
      <c r="M128" s="34"/>
      <c r="N128" s="34"/>
      <c r="O128" s="34"/>
      <c r="P128" s="33"/>
      <c r="Q128" s="35"/>
      <c r="R128" s="33"/>
      <c r="S128" s="33"/>
      <c r="T128" s="33"/>
      <c r="U128" s="33"/>
      <c r="V128" s="33"/>
      <c r="W128" s="33"/>
    </row>
    <row r="129" customFormat="false" ht="15" hidden="false" customHeight="false" outlineLevel="0" collapsed="false">
      <c r="A129" s="33"/>
      <c r="B129" s="33"/>
      <c r="C129" s="33"/>
      <c r="D129" s="33"/>
      <c r="E129" s="33"/>
      <c r="F129" s="33"/>
      <c r="G129" s="33"/>
      <c r="H129" s="33"/>
      <c r="I129" s="33"/>
      <c r="J129" s="33"/>
      <c r="K129" s="33"/>
      <c r="L129" s="34"/>
      <c r="M129" s="34"/>
      <c r="N129" s="34"/>
      <c r="O129" s="34"/>
      <c r="P129" s="33"/>
      <c r="Q129" s="35"/>
      <c r="R129" s="33"/>
      <c r="S129" s="33"/>
      <c r="T129" s="33"/>
      <c r="U129" s="33"/>
      <c r="V129" s="33"/>
      <c r="W129" s="33"/>
    </row>
    <row r="130" customFormat="false" ht="15" hidden="false" customHeight="false" outlineLevel="0" collapsed="false">
      <c r="A130" s="33"/>
      <c r="B130" s="33"/>
      <c r="C130" s="33"/>
      <c r="D130" s="33"/>
      <c r="E130" s="33"/>
      <c r="F130" s="33"/>
      <c r="G130" s="33"/>
      <c r="H130" s="33"/>
      <c r="I130" s="33"/>
      <c r="J130" s="33"/>
      <c r="K130" s="33"/>
      <c r="L130" s="34"/>
      <c r="M130" s="34"/>
      <c r="N130" s="34"/>
      <c r="O130" s="34"/>
      <c r="P130" s="33"/>
      <c r="Q130" s="35"/>
      <c r="R130" s="33"/>
      <c r="S130" s="33"/>
      <c r="T130" s="33"/>
      <c r="U130" s="33"/>
      <c r="V130" s="33"/>
      <c r="W130" s="33"/>
    </row>
    <row r="131" customFormat="false" ht="15" hidden="false" customHeight="false" outlineLevel="0" collapsed="false">
      <c r="A131" s="33"/>
      <c r="B131" s="33"/>
      <c r="C131" s="33"/>
      <c r="D131" s="33"/>
      <c r="E131" s="33"/>
      <c r="F131" s="33"/>
      <c r="G131" s="33"/>
      <c r="H131" s="33"/>
      <c r="I131" s="33"/>
      <c r="J131" s="33"/>
      <c r="K131" s="33"/>
      <c r="L131" s="34"/>
      <c r="M131" s="34"/>
      <c r="N131" s="34"/>
      <c r="O131" s="34"/>
      <c r="P131" s="33"/>
      <c r="Q131" s="35"/>
      <c r="R131" s="33"/>
      <c r="S131" s="33"/>
      <c r="T131" s="33"/>
      <c r="U131" s="33"/>
      <c r="V131" s="33"/>
      <c r="W131" s="33"/>
    </row>
    <row r="132" customFormat="false" ht="15" hidden="false" customHeight="false" outlineLevel="0" collapsed="false">
      <c r="A132" s="33"/>
      <c r="B132" s="33"/>
      <c r="C132" s="33"/>
      <c r="D132" s="33"/>
      <c r="E132" s="33"/>
      <c r="F132" s="33"/>
      <c r="G132" s="33"/>
      <c r="H132" s="33"/>
      <c r="I132" s="33"/>
      <c r="J132" s="33"/>
      <c r="K132" s="33"/>
      <c r="L132" s="34"/>
      <c r="M132" s="34"/>
      <c r="N132" s="34"/>
      <c r="O132" s="34"/>
      <c r="P132" s="33"/>
      <c r="Q132" s="35"/>
      <c r="R132" s="33"/>
      <c r="S132" s="33"/>
      <c r="T132" s="33"/>
      <c r="U132" s="33"/>
      <c r="V132" s="33"/>
      <c r="W132" s="33"/>
    </row>
    <row r="133" customFormat="false" ht="15" hidden="false" customHeight="false" outlineLevel="0" collapsed="false">
      <c r="A133" s="33"/>
      <c r="B133" s="33"/>
      <c r="C133" s="33"/>
      <c r="D133" s="33"/>
      <c r="E133" s="33"/>
      <c r="F133" s="33"/>
      <c r="G133" s="33"/>
      <c r="H133" s="33"/>
      <c r="I133" s="33"/>
      <c r="J133" s="33"/>
      <c r="K133" s="33"/>
      <c r="L133" s="34"/>
      <c r="M133" s="34"/>
      <c r="N133" s="34"/>
      <c r="O133" s="34"/>
      <c r="P133" s="33"/>
      <c r="Q133" s="35"/>
      <c r="R133" s="33"/>
      <c r="S133" s="33"/>
      <c r="T133" s="33"/>
      <c r="U133" s="33"/>
      <c r="V133" s="33"/>
      <c r="W133" s="33"/>
    </row>
    <row r="134" customFormat="false" ht="15" hidden="false" customHeight="false" outlineLevel="0" collapsed="false">
      <c r="A134" s="33"/>
      <c r="B134" s="33"/>
      <c r="C134" s="33"/>
      <c r="D134" s="33"/>
      <c r="E134" s="33"/>
      <c r="F134" s="33"/>
      <c r="G134" s="33"/>
      <c r="H134" s="33"/>
      <c r="I134" s="33"/>
      <c r="J134" s="33"/>
      <c r="K134" s="33"/>
      <c r="L134" s="34"/>
      <c r="M134" s="34"/>
      <c r="N134" s="34"/>
      <c r="O134" s="34"/>
      <c r="P134" s="33"/>
      <c r="Q134" s="35"/>
      <c r="R134" s="33"/>
      <c r="S134" s="33"/>
      <c r="T134" s="33"/>
      <c r="U134" s="33"/>
      <c r="V134" s="33"/>
      <c r="W134" s="33"/>
    </row>
    <row r="135" customFormat="false" ht="15" hidden="false" customHeight="false" outlineLevel="0" collapsed="false">
      <c r="A135" s="33"/>
      <c r="B135" s="33"/>
      <c r="C135" s="33"/>
      <c r="D135" s="33"/>
      <c r="E135" s="33"/>
      <c r="F135" s="33"/>
      <c r="G135" s="33"/>
      <c r="H135" s="33"/>
      <c r="I135" s="33"/>
      <c r="J135" s="33"/>
      <c r="K135" s="33"/>
      <c r="L135" s="34"/>
      <c r="M135" s="34"/>
      <c r="N135" s="34"/>
      <c r="O135" s="34"/>
      <c r="P135" s="33"/>
      <c r="Q135" s="35"/>
      <c r="R135" s="33"/>
      <c r="S135" s="33"/>
      <c r="T135" s="33"/>
      <c r="U135" s="33"/>
      <c r="V135" s="33"/>
      <c r="W135" s="33"/>
    </row>
    <row r="136" customFormat="false" ht="15" hidden="false" customHeight="false" outlineLevel="0" collapsed="false">
      <c r="A136" s="33"/>
      <c r="B136" s="33"/>
      <c r="C136" s="33"/>
      <c r="D136" s="33"/>
      <c r="E136" s="33"/>
      <c r="F136" s="33"/>
      <c r="G136" s="33"/>
      <c r="H136" s="33"/>
      <c r="I136" s="33"/>
      <c r="J136" s="33"/>
      <c r="K136" s="33"/>
      <c r="L136" s="34"/>
      <c r="M136" s="34"/>
      <c r="N136" s="34"/>
      <c r="O136" s="34"/>
      <c r="P136" s="33"/>
      <c r="Q136" s="35"/>
      <c r="R136" s="33"/>
      <c r="S136" s="33"/>
      <c r="T136" s="33"/>
      <c r="U136" s="33"/>
      <c r="V136" s="33"/>
      <c r="W136" s="33"/>
    </row>
    <row r="137" customFormat="false" ht="15" hidden="false" customHeight="false" outlineLevel="0" collapsed="false">
      <c r="A137" s="33"/>
      <c r="B137" s="33"/>
      <c r="C137" s="33"/>
      <c r="D137" s="33"/>
      <c r="E137" s="33"/>
      <c r="F137" s="33"/>
      <c r="G137" s="33"/>
      <c r="H137" s="33"/>
      <c r="I137" s="33"/>
      <c r="J137" s="33"/>
      <c r="K137" s="33"/>
      <c r="L137" s="34"/>
      <c r="M137" s="34"/>
      <c r="N137" s="34"/>
      <c r="O137" s="34"/>
      <c r="P137" s="33"/>
      <c r="Q137" s="35"/>
      <c r="R137" s="33"/>
      <c r="S137" s="33"/>
      <c r="T137" s="33"/>
      <c r="U137" s="33"/>
      <c r="V137" s="33"/>
      <c r="W137" s="33"/>
    </row>
    <row r="138" customFormat="false" ht="15" hidden="false" customHeight="false" outlineLevel="0" collapsed="false">
      <c r="A138" s="33"/>
      <c r="B138" s="33"/>
      <c r="C138" s="33"/>
      <c r="D138" s="33"/>
      <c r="E138" s="33"/>
      <c r="F138" s="33"/>
      <c r="G138" s="33"/>
      <c r="H138" s="33"/>
      <c r="I138" s="33"/>
      <c r="J138" s="33"/>
      <c r="K138" s="33"/>
      <c r="L138" s="34"/>
      <c r="M138" s="34"/>
      <c r="N138" s="34"/>
      <c r="O138" s="34"/>
      <c r="P138" s="33"/>
      <c r="Q138" s="35"/>
      <c r="R138" s="33"/>
      <c r="S138" s="33"/>
      <c r="T138" s="33"/>
      <c r="U138" s="33"/>
      <c r="V138" s="33"/>
      <c r="W138" s="33"/>
    </row>
    <row r="139" customFormat="false" ht="15" hidden="false" customHeight="false" outlineLevel="0" collapsed="false">
      <c r="A139" s="33"/>
      <c r="B139" s="33"/>
      <c r="C139" s="33"/>
      <c r="D139" s="33"/>
      <c r="E139" s="33"/>
      <c r="F139" s="33"/>
      <c r="G139" s="33"/>
      <c r="H139" s="33"/>
      <c r="I139" s="33"/>
      <c r="J139" s="33"/>
      <c r="K139" s="33"/>
      <c r="L139" s="34"/>
      <c r="M139" s="34"/>
      <c r="N139" s="34"/>
      <c r="O139" s="34"/>
      <c r="P139" s="33"/>
      <c r="Q139" s="35"/>
      <c r="R139" s="33"/>
      <c r="S139" s="33"/>
      <c r="T139" s="33"/>
      <c r="U139" s="33"/>
      <c r="V139" s="33"/>
      <c r="W139" s="33"/>
    </row>
    <row r="140" customFormat="false" ht="15" hidden="false" customHeight="false" outlineLevel="0" collapsed="false">
      <c r="A140" s="33"/>
      <c r="B140" s="33"/>
      <c r="C140" s="33"/>
      <c r="D140" s="33"/>
      <c r="E140" s="33"/>
      <c r="F140" s="33"/>
      <c r="G140" s="33"/>
      <c r="H140" s="33"/>
      <c r="I140" s="33"/>
      <c r="J140" s="33"/>
      <c r="K140" s="33"/>
      <c r="L140" s="34"/>
      <c r="M140" s="34"/>
      <c r="N140" s="34"/>
      <c r="O140" s="34"/>
      <c r="P140" s="33"/>
      <c r="Q140" s="35"/>
      <c r="R140" s="33"/>
      <c r="S140" s="33"/>
      <c r="T140" s="33"/>
      <c r="U140" s="33"/>
      <c r="V140" s="33"/>
      <c r="W140" s="33"/>
    </row>
    <row r="141" customFormat="false" ht="15" hidden="false" customHeight="false" outlineLevel="0" collapsed="false">
      <c r="A141" s="33"/>
      <c r="B141" s="33"/>
      <c r="C141" s="33"/>
      <c r="D141" s="33"/>
      <c r="E141" s="33"/>
      <c r="F141" s="33"/>
      <c r="G141" s="33"/>
      <c r="H141" s="33"/>
      <c r="I141" s="33"/>
      <c r="J141" s="33"/>
      <c r="K141" s="33"/>
      <c r="L141" s="34"/>
      <c r="M141" s="34"/>
      <c r="N141" s="34"/>
      <c r="O141" s="34"/>
      <c r="P141" s="33"/>
      <c r="Q141" s="35"/>
      <c r="R141" s="33"/>
      <c r="S141" s="33"/>
      <c r="T141" s="33"/>
      <c r="U141" s="33"/>
      <c r="V141" s="33"/>
      <c r="W141" s="33"/>
    </row>
    <row r="142" customFormat="false" ht="15" hidden="false" customHeight="false" outlineLevel="0" collapsed="false">
      <c r="A142" s="33"/>
      <c r="B142" s="33"/>
      <c r="C142" s="33"/>
      <c r="D142" s="33"/>
      <c r="E142" s="33"/>
      <c r="F142" s="33"/>
      <c r="G142" s="33"/>
      <c r="H142" s="33"/>
      <c r="I142" s="33"/>
      <c r="J142" s="33"/>
      <c r="K142" s="33"/>
      <c r="L142" s="34"/>
      <c r="M142" s="34"/>
      <c r="N142" s="34"/>
      <c r="O142" s="34"/>
      <c r="P142" s="33"/>
      <c r="Q142" s="35"/>
      <c r="R142" s="33"/>
      <c r="S142" s="33"/>
      <c r="T142" s="33"/>
      <c r="U142" s="33"/>
      <c r="V142" s="33"/>
      <c r="W142" s="33"/>
    </row>
    <row r="143" customFormat="false" ht="15" hidden="false" customHeight="false" outlineLevel="0" collapsed="false">
      <c r="A143" s="33"/>
      <c r="B143" s="33"/>
      <c r="C143" s="33"/>
      <c r="D143" s="33"/>
      <c r="E143" s="33"/>
      <c r="F143" s="33"/>
      <c r="G143" s="33"/>
      <c r="H143" s="33"/>
      <c r="I143" s="33"/>
      <c r="J143" s="33"/>
      <c r="K143" s="33"/>
      <c r="L143" s="34"/>
      <c r="M143" s="34"/>
      <c r="N143" s="34"/>
      <c r="O143" s="34"/>
      <c r="P143" s="33"/>
      <c r="Q143" s="35"/>
      <c r="R143" s="33"/>
      <c r="S143" s="33"/>
      <c r="T143" s="33"/>
      <c r="U143" s="33"/>
      <c r="V143" s="33"/>
      <c r="W143" s="33"/>
    </row>
    <row r="144" customFormat="false" ht="15" hidden="false" customHeight="false" outlineLevel="0" collapsed="false">
      <c r="A144" s="33"/>
      <c r="B144" s="33"/>
      <c r="C144" s="33"/>
      <c r="D144" s="33"/>
      <c r="E144" s="33"/>
      <c r="F144" s="33"/>
      <c r="G144" s="33"/>
      <c r="H144" s="33"/>
      <c r="I144" s="33"/>
      <c r="J144" s="33"/>
      <c r="K144" s="33"/>
      <c r="L144" s="34"/>
      <c r="M144" s="34"/>
      <c r="N144" s="34"/>
      <c r="O144" s="34"/>
      <c r="P144" s="33"/>
      <c r="Q144" s="35"/>
      <c r="R144" s="33"/>
      <c r="S144" s="33"/>
      <c r="T144" s="33"/>
      <c r="U144" s="33"/>
      <c r="V144" s="33"/>
      <c r="W144" s="33"/>
    </row>
    <row r="145" customFormat="false" ht="15" hidden="false" customHeight="false" outlineLevel="0" collapsed="false">
      <c r="A145" s="33"/>
      <c r="B145" s="33"/>
      <c r="C145" s="33"/>
      <c r="D145" s="33"/>
      <c r="E145" s="33"/>
      <c r="F145" s="33"/>
      <c r="G145" s="33"/>
      <c r="H145" s="33"/>
      <c r="I145" s="33"/>
      <c r="J145" s="33"/>
      <c r="K145" s="33"/>
      <c r="L145" s="34"/>
      <c r="M145" s="34"/>
      <c r="N145" s="34"/>
      <c r="O145" s="34"/>
      <c r="P145" s="33"/>
      <c r="Q145" s="35"/>
      <c r="R145" s="33"/>
      <c r="S145" s="33"/>
      <c r="T145" s="33"/>
      <c r="U145" s="33"/>
      <c r="V145" s="33"/>
      <c r="W145" s="33"/>
    </row>
    <row r="146" customFormat="false" ht="15" hidden="false" customHeight="false" outlineLevel="0" collapsed="false">
      <c r="A146" s="33"/>
      <c r="B146" s="33"/>
      <c r="C146" s="33"/>
      <c r="D146" s="33"/>
      <c r="E146" s="33"/>
      <c r="F146" s="33"/>
      <c r="G146" s="33"/>
      <c r="H146" s="33"/>
      <c r="I146" s="33"/>
      <c r="J146" s="33"/>
      <c r="K146" s="33"/>
      <c r="L146" s="34"/>
      <c r="M146" s="34"/>
      <c r="N146" s="34"/>
      <c r="O146" s="34"/>
      <c r="P146" s="33"/>
      <c r="Q146" s="35"/>
      <c r="R146" s="33"/>
      <c r="S146" s="33"/>
      <c r="T146" s="33"/>
      <c r="U146" s="33"/>
      <c r="V146" s="33"/>
      <c r="W146" s="33"/>
    </row>
    <row r="147" customFormat="false" ht="15" hidden="false" customHeight="false" outlineLevel="0" collapsed="false">
      <c r="A147" s="33"/>
      <c r="B147" s="33"/>
      <c r="C147" s="33"/>
      <c r="D147" s="33"/>
      <c r="E147" s="33"/>
      <c r="F147" s="33"/>
      <c r="G147" s="33"/>
      <c r="H147" s="33"/>
      <c r="I147" s="33"/>
      <c r="J147" s="33"/>
      <c r="K147" s="33"/>
      <c r="L147" s="34"/>
      <c r="M147" s="34"/>
      <c r="N147" s="34"/>
      <c r="O147" s="34"/>
      <c r="P147" s="33"/>
      <c r="Q147" s="35"/>
      <c r="R147" s="33"/>
      <c r="S147" s="33"/>
      <c r="T147" s="33"/>
      <c r="U147" s="33"/>
      <c r="V147" s="33"/>
      <c r="W147" s="33"/>
    </row>
    <row r="148" customFormat="false" ht="15" hidden="false" customHeight="false" outlineLevel="0" collapsed="false">
      <c r="A148" s="33"/>
      <c r="B148" s="33"/>
      <c r="C148" s="33"/>
      <c r="D148" s="33"/>
      <c r="E148" s="33"/>
      <c r="F148" s="33"/>
      <c r="G148" s="33"/>
      <c r="H148" s="33"/>
      <c r="I148" s="33"/>
      <c r="J148" s="33"/>
      <c r="K148" s="33"/>
      <c r="L148" s="34"/>
      <c r="M148" s="34"/>
      <c r="N148" s="34"/>
      <c r="O148" s="34"/>
      <c r="P148" s="33"/>
      <c r="Q148" s="35"/>
      <c r="R148" s="33"/>
      <c r="S148" s="33"/>
      <c r="T148" s="33"/>
      <c r="U148" s="33"/>
      <c r="V148" s="33"/>
      <c r="W148" s="33"/>
    </row>
    <row r="149" customFormat="false" ht="15" hidden="false" customHeight="false" outlineLevel="0" collapsed="false">
      <c r="A149" s="33"/>
      <c r="B149" s="33"/>
      <c r="C149" s="33"/>
      <c r="D149" s="33"/>
      <c r="E149" s="33"/>
      <c r="F149" s="33"/>
      <c r="G149" s="33"/>
      <c r="H149" s="33"/>
      <c r="I149" s="33"/>
      <c r="J149" s="33"/>
      <c r="K149" s="33"/>
      <c r="L149" s="34"/>
      <c r="M149" s="34"/>
      <c r="N149" s="34"/>
      <c r="O149" s="34"/>
      <c r="P149" s="33"/>
      <c r="Q149" s="35"/>
      <c r="R149" s="33"/>
      <c r="S149" s="33"/>
      <c r="T149" s="33"/>
      <c r="U149" s="33"/>
      <c r="V149" s="33"/>
      <c r="W149" s="33"/>
    </row>
    <row r="150" customFormat="false" ht="15" hidden="false" customHeight="false" outlineLevel="0" collapsed="false">
      <c r="A150" s="33"/>
      <c r="B150" s="33"/>
      <c r="C150" s="33"/>
      <c r="D150" s="33"/>
      <c r="E150" s="33"/>
      <c r="F150" s="33"/>
      <c r="G150" s="33"/>
      <c r="H150" s="33"/>
      <c r="I150" s="33"/>
      <c r="J150" s="33"/>
      <c r="K150" s="33"/>
      <c r="L150" s="34"/>
      <c r="M150" s="34"/>
      <c r="N150" s="34"/>
      <c r="O150" s="34"/>
      <c r="P150" s="33"/>
      <c r="Q150" s="35"/>
      <c r="R150" s="33"/>
      <c r="S150" s="33"/>
      <c r="T150" s="33"/>
      <c r="U150" s="33"/>
      <c r="V150" s="33"/>
      <c r="W150" s="33"/>
    </row>
    <row r="151" customFormat="false" ht="15" hidden="false" customHeight="false" outlineLevel="0" collapsed="false">
      <c r="A151" s="33"/>
      <c r="B151" s="33"/>
      <c r="C151" s="33"/>
      <c r="D151" s="33"/>
      <c r="E151" s="33"/>
      <c r="F151" s="33"/>
      <c r="G151" s="33"/>
      <c r="H151" s="33"/>
      <c r="I151" s="33"/>
      <c r="J151" s="33"/>
      <c r="K151" s="33"/>
      <c r="L151" s="34"/>
      <c r="M151" s="34"/>
      <c r="N151" s="34"/>
      <c r="O151" s="34"/>
      <c r="P151" s="33"/>
      <c r="Q151" s="35"/>
      <c r="R151" s="33"/>
      <c r="S151" s="33"/>
      <c r="T151" s="33"/>
      <c r="U151" s="33"/>
      <c r="V151" s="33"/>
      <c r="W151" s="33"/>
    </row>
    <row r="152" customFormat="false" ht="15" hidden="false" customHeight="false" outlineLevel="0" collapsed="false">
      <c r="A152" s="33"/>
      <c r="B152" s="33"/>
      <c r="C152" s="33"/>
      <c r="D152" s="33"/>
      <c r="E152" s="33"/>
      <c r="F152" s="33"/>
      <c r="G152" s="33"/>
      <c r="H152" s="33"/>
      <c r="I152" s="33"/>
      <c r="J152" s="33"/>
      <c r="K152" s="33"/>
      <c r="L152" s="34"/>
      <c r="M152" s="34"/>
      <c r="N152" s="34"/>
      <c r="O152" s="34"/>
      <c r="P152" s="33"/>
      <c r="Q152" s="35"/>
      <c r="R152" s="33"/>
      <c r="S152" s="33"/>
      <c r="T152" s="33"/>
      <c r="U152" s="33"/>
      <c r="V152" s="33"/>
      <c r="W152" s="33"/>
    </row>
    <row r="153" customFormat="false" ht="15" hidden="false" customHeight="false" outlineLevel="0" collapsed="false">
      <c r="A153" s="33"/>
      <c r="B153" s="33"/>
      <c r="C153" s="33"/>
      <c r="D153" s="33"/>
      <c r="E153" s="33"/>
      <c r="F153" s="33"/>
      <c r="G153" s="33"/>
      <c r="H153" s="33"/>
      <c r="I153" s="33"/>
      <c r="J153" s="33"/>
      <c r="K153" s="33"/>
      <c r="L153" s="34"/>
      <c r="M153" s="34"/>
      <c r="N153" s="34"/>
      <c r="O153" s="34"/>
      <c r="P153" s="33"/>
      <c r="Q153" s="35"/>
      <c r="R153" s="33"/>
      <c r="S153" s="33"/>
      <c r="T153" s="33"/>
      <c r="U153" s="33"/>
      <c r="V153" s="33"/>
      <c r="W153" s="33"/>
    </row>
    <row r="154" customFormat="false" ht="15" hidden="false" customHeight="false" outlineLevel="0" collapsed="false">
      <c r="A154" s="33"/>
      <c r="B154" s="33"/>
      <c r="C154" s="33"/>
      <c r="D154" s="33"/>
      <c r="E154" s="33"/>
      <c r="F154" s="33"/>
      <c r="G154" s="33"/>
      <c r="H154" s="33"/>
      <c r="I154" s="33"/>
      <c r="J154" s="33"/>
      <c r="K154" s="33"/>
      <c r="L154" s="34"/>
      <c r="M154" s="34"/>
      <c r="N154" s="34"/>
      <c r="O154" s="34"/>
      <c r="P154" s="33"/>
      <c r="Q154" s="35"/>
      <c r="R154" s="33"/>
      <c r="S154" s="33"/>
      <c r="T154" s="33"/>
      <c r="U154" s="33"/>
      <c r="V154" s="33"/>
      <c r="W154" s="33"/>
    </row>
    <row r="155" customFormat="false" ht="15" hidden="false" customHeight="false" outlineLevel="0" collapsed="false">
      <c r="A155" s="33"/>
      <c r="B155" s="33"/>
      <c r="C155" s="33"/>
      <c r="D155" s="33"/>
      <c r="E155" s="33"/>
      <c r="F155" s="33"/>
      <c r="G155" s="33"/>
      <c r="H155" s="33"/>
      <c r="I155" s="33"/>
      <c r="J155" s="33"/>
      <c r="K155" s="33"/>
      <c r="L155" s="34"/>
      <c r="M155" s="34"/>
      <c r="N155" s="34"/>
      <c r="O155" s="34"/>
      <c r="P155" s="33"/>
      <c r="Q155" s="35"/>
      <c r="R155" s="33"/>
      <c r="S155" s="33"/>
      <c r="T155" s="33"/>
      <c r="U155" s="33"/>
      <c r="V155" s="33"/>
      <c r="W155" s="33"/>
    </row>
    <row r="156" customFormat="false" ht="15" hidden="false" customHeight="false" outlineLevel="0" collapsed="false">
      <c r="A156" s="33"/>
      <c r="B156" s="33"/>
      <c r="C156" s="33"/>
      <c r="D156" s="33"/>
      <c r="E156" s="33"/>
      <c r="F156" s="33"/>
      <c r="G156" s="33"/>
      <c r="H156" s="33"/>
      <c r="I156" s="33"/>
      <c r="J156" s="33"/>
      <c r="K156" s="33"/>
      <c r="L156" s="34"/>
      <c r="M156" s="34"/>
      <c r="N156" s="34"/>
      <c r="O156" s="34"/>
      <c r="P156" s="33"/>
      <c r="Q156" s="35"/>
      <c r="R156" s="33"/>
      <c r="S156" s="33"/>
      <c r="T156" s="33"/>
      <c r="U156" s="33"/>
      <c r="V156" s="33"/>
      <c r="W156" s="33"/>
    </row>
    <row r="157" customFormat="false" ht="15" hidden="false" customHeight="false" outlineLevel="0" collapsed="false">
      <c r="A157" s="33"/>
      <c r="B157" s="33"/>
      <c r="C157" s="33"/>
      <c r="D157" s="33"/>
      <c r="E157" s="33"/>
      <c r="F157" s="33"/>
      <c r="G157" s="33"/>
      <c r="H157" s="33"/>
      <c r="I157" s="33"/>
      <c r="J157" s="33"/>
      <c r="K157" s="33"/>
      <c r="L157" s="34"/>
      <c r="M157" s="34"/>
      <c r="N157" s="34"/>
      <c r="O157" s="34"/>
      <c r="P157" s="33"/>
      <c r="Q157" s="35"/>
      <c r="R157" s="33"/>
      <c r="S157" s="33"/>
      <c r="T157" s="33"/>
      <c r="U157" s="33"/>
      <c r="V157" s="33"/>
      <c r="W157" s="33"/>
    </row>
    <row r="158" customFormat="false" ht="15" hidden="false" customHeight="false" outlineLevel="0" collapsed="false">
      <c r="A158" s="33"/>
      <c r="B158" s="33"/>
      <c r="C158" s="33"/>
      <c r="D158" s="33"/>
      <c r="E158" s="33"/>
      <c r="F158" s="33"/>
      <c r="G158" s="33"/>
      <c r="H158" s="33"/>
      <c r="I158" s="33"/>
      <c r="J158" s="33"/>
      <c r="K158" s="33"/>
      <c r="L158" s="34"/>
      <c r="M158" s="34"/>
      <c r="N158" s="34"/>
      <c r="O158" s="34"/>
      <c r="P158" s="33"/>
      <c r="Q158" s="35"/>
      <c r="R158" s="33"/>
      <c r="S158" s="33"/>
      <c r="T158" s="33"/>
      <c r="U158" s="33"/>
      <c r="V158" s="33"/>
      <c r="W158" s="33"/>
    </row>
    <row r="159" customFormat="false" ht="15" hidden="false" customHeight="false" outlineLevel="0" collapsed="false">
      <c r="A159" s="33"/>
      <c r="B159" s="33"/>
      <c r="C159" s="33"/>
      <c r="D159" s="33"/>
      <c r="E159" s="33"/>
      <c r="F159" s="33"/>
      <c r="G159" s="33"/>
      <c r="H159" s="33"/>
      <c r="I159" s="33"/>
      <c r="J159" s="33"/>
      <c r="K159" s="33"/>
      <c r="L159" s="34"/>
      <c r="M159" s="34"/>
      <c r="N159" s="34"/>
      <c r="O159" s="34"/>
      <c r="P159" s="33"/>
      <c r="Q159" s="35"/>
      <c r="R159" s="33"/>
      <c r="S159" s="33"/>
      <c r="T159" s="33"/>
      <c r="U159" s="33"/>
      <c r="V159" s="33"/>
      <c r="W159" s="33"/>
    </row>
    <row r="160" customFormat="false" ht="15" hidden="false" customHeight="false" outlineLevel="0" collapsed="false">
      <c r="A160" s="33"/>
      <c r="B160" s="33"/>
      <c r="C160" s="33"/>
      <c r="D160" s="33"/>
      <c r="E160" s="33"/>
      <c r="F160" s="33"/>
      <c r="G160" s="33"/>
      <c r="H160" s="33"/>
      <c r="I160" s="33"/>
      <c r="J160" s="33"/>
      <c r="K160" s="33"/>
      <c r="L160" s="34"/>
      <c r="M160" s="34"/>
      <c r="N160" s="34"/>
      <c r="O160" s="34"/>
      <c r="P160" s="33"/>
      <c r="Q160" s="35"/>
      <c r="R160" s="33"/>
      <c r="S160" s="33"/>
      <c r="T160" s="33"/>
      <c r="U160" s="33"/>
      <c r="V160" s="33"/>
      <c r="W160" s="33"/>
    </row>
    <row r="161" customFormat="false" ht="15" hidden="false" customHeight="false" outlineLevel="0" collapsed="false">
      <c r="A161" s="33"/>
      <c r="B161" s="33"/>
      <c r="C161" s="33"/>
      <c r="D161" s="33"/>
      <c r="E161" s="33"/>
      <c r="F161" s="33"/>
      <c r="G161" s="33"/>
      <c r="H161" s="33"/>
      <c r="I161" s="33"/>
      <c r="J161" s="33"/>
      <c r="K161" s="33"/>
      <c r="L161" s="34"/>
      <c r="M161" s="34"/>
      <c r="N161" s="34"/>
      <c r="O161" s="34"/>
      <c r="P161" s="33"/>
      <c r="Q161" s="35"/>
      <c r="R161" s="33"/>
      <c r="S161" s="33"/>
      <c r="T161" s="33"/>
      <c r="U161" s="33"/>
      <c r="V161" s="33"/>
      <c r="W161" s="33"/>
    </row>
    <row r="162" customFormat="false" ht="15" hidden="false" customHeight="false" outlineLevel="0" collapsed="false">
      <c r="A162" s="33"/>
      <c r="B162" s="33"/>
      <c r="C162" s="33"/>
      <c r="D162" s="33"/>
      <c r="E162" s="33"/>
      <c r="F162" s="33"/>
      <c r="G162" s="33"/>
      <c r="H162" s="33"/>
      <c r="I162" s="33"/>
      <c r="J162" s="33"/>
      <c r="K162" s="33"/>
      <c r="L162" s="34"/>
      <c r="M162" s="34"/>
      <c r="N162" s="34"/>
      <c r="O162" s="34"/>
      <c r="P162" s="33"/>
      <c r="Q162" s="35"/>
      <c r="R162" s="33"/>
      <c r="S162" s="33"/>
      <c r="T162" s="33"/>
      <c r="U162" s="33"/>
      <c r="V162" s="33"/>
      <c r="W162" s="33"/>
    </row>
    <row r="163" customFormat="false" ht="15" hidden="false" customHeight="false" outlineLevel="0" collapsed="false">
      <c r="A163" s="33"/>
      <c r="B163" s="33"/>
      <c r="C163" s="33"/>
      <c r="D163" s="33"/>
      <c r="E163" s="33"/>
      <c r="F163" s="33"/>
      <c r="G163" s="33"/>
      <c r="H163" s="33"/>
      <c r="I163" s="33"/>
      <c r="J163" s="33"/>
      <c r="K163" s="33"/>
      <c r="L163" s="34"/>
      <c r="M163" s="34"/>
      <c r="N163" s="34"/>
      <c r="O163" s="34"/>
      <c r="P163" s="33"/>
      <c r="Q163" s="35"/>
      <c r="R163" s="33"/>
      <c r="S163" s="33"/>
      <c r="T163" s="33"/>
      <c r="U163" s="33"/>
      <c r="V163" s="33"/>
      <c r="W163" s="33"/>
    </row>
    <row r="164" customFormat="false" ht="15" hidden="false" customHeight="false" outlineLevel="0" collapsed="false">
      <c r="A164" s="33"/>
      <c r="B164" s="33"/>
      <c r="C164" s="33"/>
      <c r="D164" s="33"/>
      <c r="E164" s="33"/>
      <c r="F164" s="33"/>
      <c r="G164" s="33"/>
      <c r="H164" s="33"/>
      <c r="I164" s="33"/>
      <c r="J164" s="33"/>
      <c r="K164" s="33"/>
      <c r="L164" s="34"/>
      <c r="M164" s="34"/>
      <c r="N164" s="34"/>
      <c r="O164" s="34"/>
      <c r="P164" s="33"/>
      <c r="Q164" s="35"/>
      <c r="R164" s="33"/>
      <c r="S164" s="33"/>
      <c r="T164" s="33"/>
      <c r="U164" s="33"/>
      <c r="V164" s="33"/>
      <c r="W164" s="33"/>
    </row>
    <row r="165" customFormat="false" ht="15" hidden="false" customHeight="false" outlineLevel="0" collapsed="false">
      <c r="A165" s="33"/>
      <c r="B165" s="33"/>
      <c r="C165" s="33"/>
      <c r="D165" s="33"/>
      <c r="E165" s="33"/>
      <c r="F165" s="33"/>
      <c r="G165" s="33"/>
      <c r="H165" s="33"/>
      <c r="I165" s="33"/>
      <c r="J165" s="33"/>
      <c r="K165" s="33"/>
      <c r="L165" s="34"/>
      <c r="M165" s="34"/>
      <c r="N165" s="34"/>
      <c r="O165" s="34"/>
      <c r="P165" s="33"/>
      <c r="Q165" s="35"/>
      <c r="R165" s="33"/>
      <c r="S165" s="33"/>
      <c r="T165" s="33"/>
      <c r="U165" s="33"/>
      <c r="V165" s="33"/>
      <c r="W165" s="33"/>
    </row>
    <row r="166" customFormat="false" ht="15" hidden="false" customHeight="false" outlineLevel="0" collapsed="false">
      <c r="A166" s="33"/>
      <c r="B166" s="33"/>
      <c r="C166" s="33"/>
      <c r="D166" s="33"/>
      <c r="E166" s="33"/>
      <c r="F166" s="33"/>
      <c r="G166" s="33"/>
      <c r="H166" s="33"/>
      <c r="I166" s="33"/>
      <c r="J166" s="33"/>
      <c r="K166" s="33"/>
      <c r="L166" s="34"/>
      <c r="M166" s="34"/>
      <c r="N166" s="34"/>
      <c r="O166" s="34"/>
      <c r="P166" s="33"/>
      <c r="Q166" s="35"/>
      <c r="R166" s="33"/>
      <c r="S166" s="33"/>
      <c r="T166" s="33"/>
      <c r="U166" s="33"/>
      <c r="V166" s="33"/>
      <c r="W166" s="33"/>
    </row>
    <row r="167" customFormat="false" ht="15" hidden="false" customHeight="false" outlineLevel="0" collapsed="false">
      <c r="A167" s="33"/>
      <c r="B167" s="33"/>
      <c r="C167" s="33"/>
      <c r="D167" s="33"/>
      <c r="E167" s="33"/>
      <c r="F167" s="33"/>
      <c r="G167" s="33"/>
      <c r="H167" s="33"/>
      <c r="I167" s="33"/>
      <c r="J167" s="33"/>
      <c r="K167" s="33"/>
      <c r="L167" s="34"/>
      <c r="M167" s="34"/>
      <c r="N167" s="34"/>
      <c r="O167" s="34"/>
      <c r="P167" s="33"/>
      <c r="Q167" s="35"/>
      <c r="R167" s="33"/>
      <c r="S167" s="33"/>
      <c r="T167" s="33"/>
      <c r="U167" s="33"/>
      <c r="V167" s="33"/>
      <c r="W167" s="33"/>
    </row>
    <row r="168" customFormat="false" ht="15" hidden="false" customHeight="false" outlineLevel="0" collapsed="false">
      <c r="A168" s="33"/>
      <c r="B168" s="33"/>
      <c r="C168" s="33"/>
      <c r="D168" s="33"/>
      <c r="E168" s="33"/>
      <c r="F168" s="33"/>
      <c r="G168" s="33"/>
      <c r="H168" s="33"/>
      <c r="I168" s="33"/>
      <c r="J168" s="33"/>
      <c r="K168" s="33"/>
      <c r="L168" s="34"/>
      <c r="M168" s="34"/>
      <c r="N168" s="34"/>
      <c r="O168" s="34"/>
      <c r="P168" s="33"/>
      <c r="Q168" s="35"/>
      <c r="R168" s="33"/>
      <c r="S168" s="33"/>
      <c r="T168" s="33"/>
      <c r="U168" s="33"/>
      <c r="V168" s="33"/>
      <c r="W168" s="33"/>
    </row>
    <row r="169" customFormat="false" ht="15" hidden="false" customHeight="false" outlineLevel="0" collapsed="false">
      <c r="A169" s="33"/>
      <c r="B169" s="33"/>
      <c r="C169" s="33"/>
      <c r="D169" s="33"/>
      <c r="E169" s="33"/>
      <c r="F169" s="33"/>
      <c r="G169" s="33"/>
      <c r="H169" s="33"/>
      <c r="I169" s="33"/>
      <c r="J169" s="33"/>
      <c r="K169" s="33"/>
      <c r="L169" s="34"/>
      <c r="M169" s="34"/>
      <c r="N169" s="34"/>
      <c r="O169" s="34"/>
      <c r="P169" s="33"/>
      <c r="Q169" s="35"/>
      <c r="R169" s="33"/>
      <c r="S169" s="33"/>
      <c r="T169" s="33"/>
      <c r="U169" s="33"/>
      <c r="V169" s="33"/>
      <c r="W169" s="33"/>
    </row>
    <row r="170" customFormat="false" ht="15" hidden="false" customHeight="false" outlineLevel="0" collapsed="false">
      <c r="A170" s="33"/>
      <c r="B170" s="33"/>
      <c r="C170" s="33"/>
      <c r="D170" s="33"/>
      <c r="E170" s="33"/>
      <c r="F170" s="33"/>
      <c r="G170" s="33"/>
      <c r="H170" s="33"/>
      <c r="I170" s="33"/>
      <c r="J170" s="33"/>
      <c r="K170" s="33"/>
      <c r="L170" s="34"/>
      <c r="M170" s="34"/>
      <c r="N170" s="34"/>
      <c r="O170" s="34"/>
      <c r="P170" s="33"/>
      <c r="Q170" s="35"/>
      <c r="R170" s="33"/>
      <c r="S170" s="33"/>
      <c r="T170" s="33"/>
      <c r="U170" s="33"/>
      <c r="V170" s="33"/>
      <c r="W170" s="33"/>
    </row>
    <row r="171" customFormat="false" ht="15" hidden="false" customHeight="false" outlineLevel="0" collapsed="false">
      <c r="A171" s="33"/>
      <c r="B171" s="33"/>
      <c r="C171" s="33"/>
      <c r="D171" s="33"/>
      <c r="E171" s="33"/>
      <c r="F171" s="33"/>
      <c r="G171" s="33"/>
      <c r="H171" s="33"/>
      <c r="I171" s="33"/>
      <c r="J171" s="33"/>
      <c r="K171" s="33"/>
      <c r="L171" s="34"/>
      <c r="M171" s="34"/>
      <c r="N171" s="34"/>
      <c r="O171" s="34"/>
      <c r="P171" s="33"/>
      <c r="Q171" s="35"/>
      <c r="R171" s="33"/>
      <c r="S171" s="33"/>
      <c r="T171" s="33"/>
      <c r="U171" s="33"/>
      <c r="V171" s="33"/>
      <c r="W171" s="33"/>
    </row>
    <row r="172" customFormat="false" ht="15" hidden="false" customHeight="false" outlineLevel="0" collapsed="false">
      <c r="A172" s="33"/>
      <c r="B172" s="33"/>
      <c r="C172" s="33"/>
      <c r="D172" s="33"/>
      <c r="E172" s="33"/>
      <c r="F172" s="33"/>
      <c r="G172" s="33"/>
      <c r="H172" s="33"/>
      <c r="I172" s="33"/>
      <c r="J172" s="33"/>
      <c r="K172" s="33"/>
      <c r="L172" s="34"/>
      <c r="M172" s="34"/>
      <c r="N172" s="34"/>
      <c r="O172" s="34"/>
      <c r="P172" s="33"/>
      <c r="Q172" s="35"/>
      <c r="R172" s="33"/>
      <c r="S172" s="33"/>
      <c r="T172" s="33"/>
      <c r="U172" s="33"/>
      <c r="V172" s="33"/>
      <c r="W172" s="33"/>
    </row>
    <row r="173" customFormat="false" ht="15" hidden="false" customHeight="false" outlineLevel="0" collapsed="false">
      <c r="A173" s="33"/>
      <c r="B173" s="33"/>
      <c r="C173" s="33"/>
      <c r="D173" s="33"/>
      <c r="E173" s="33"/>
      <c r="F173" s="33"/>
      <c r="G173" s="33"/>
      <c r="H173" s="33"/>
      <c r="I173" s="33"/>
      <c r="J173" s="33"/>
      <c r="K173" s="33"/>
      <c r="L173" s="34"/>
      <c r="M173" s="34"/>
      <c r="N173" s="34"/>
      <c r="O173" s="34"/>
      <c r="P173" s="33"/>
      <c r="Q173" s="35"/>
      <c r="R173" s="33"/>
      <c r="S173" s="33"/>
      <c r="T173" s="33"/>
      <c r="U173" s="33"/>
      <c r="V173" s="33"/>
      <c r="W173" s="33"/>
    </row>
    <row r="174" customFormat="false" ht="15" hidden="false" customHeight="false" outlineLevel="0" collapsed="false">
      <c r="A174" s="33"/>
      <c r="B174" s="33"/>
      <c r="C174" s="33"/>
      <c r="D174" s="33"/>
      <c r="E174" s="33"/>
      <c r="F174" s="33"/>
      <c r="G174" s="33"/>
      <c r="H174" s="33"/>
      <c r="I174" s="33"/>
      <c r="J174" s="33"/>
      <c r="K174" s="33"/>
      <c r="L174" s="34"/>
      <c r="M174" s="34"/>
      <c r="N174" s="34"/>
      <c r="O174" s="34"/>
      <c r="P174" s="33"/>
      <c r="Q174" s="35"/>
      <c r="R174" s="33"/>
      <c r="S174" s="33"/>
      <c r="T174" s="33"/>
      <c r="U174" s="33"/>
      <c r="V174" s="33"/>
      <c r="W174" s="33"/>
    </row>
    <row r="175" customFormat="false" ht="15" hidden="false" customHeight="false" outlineLevel="0" collapsed="false">
      <c r="A175" s="33"/>
      <c r="B175" s="33"/>
      <c r="C175" s="33"/>
      <c r="D175" s="33"/>
      <c r="E175" s="33"/>
      <c r="F175" s="33"/>
      <c r="G175" s="33"/>
      <c r="H175" s="33"/>
      <c r="I175" s="33"/>
      <c r="J175" s="33"/>
      <c r="K175" s="33"/>
      <c r="L175" s="34"/>
      <c r="M175" s="34"/>
      <c r="N175" s="34"/>
      <c r="O175" s="34"/>
      <c r="P175" s="33"/>
      <c r="Q175" s="35"/>
      <c r="R175" s="33"/>
      <c r="S175" s="33"/>
      <c r="T175" s="33"/>
      <c r="U175" s="33"/>
      <c r="V175" s="33"/>
      <c r="W175" s="33"/>
    </row>
    <row r="176" customFormat="false" ht="15" hidden="false" customHeight="false" outlineLevel="0" collapsed="false">
      <c r="A176" s="33"/>
      <c r="B176" s="33"/>
      <c r="C176" s="33"/>
      <c r="D176" s="33"/>
      <c r="E176" s="33"/>
      <c r="F176" s="33"/>
      <c r="G176" s="33"/>
      <c r="H176" s="33"/>
      <c r="I176" s="33"/>
      <c r="J176" s="33"/>
      <c r="K176" s="33"/>
      <c r="L176" s="34"/>
      <c r="M176" s="34"/>
      <c r="N176" s="34"/>
      <c r="O176" s="34"/>
      <c r="P176" s="33"/>
      <c r="Q176" s="35"/>
      <c r="R176" s="33"/>
      <c r="S176" s="33"/>
      <c r="T176" s="33"/>
      <c r="U176" s="33"/>
      <c r="V176" s="33"/>
      <c r="W176" s="33"/>
    </row>
    <row r="177" customFormat="false" ht="15" hidden="false" customHeight="false" outlineLevel="0" collapsed="false">
      <c r="A177" s="33"/>
      <c r="B177" s="33"/>
      <c r="C177" s="33"/>
      <c r="D177" s="33"/>
      <c r="E177" s="33"/>
      <c r="F177" s="33"/>
      <c r="G177" s="33"/>
      <c r="H177" s="33"/>
      <c r="I177" s="33"/>
      <c r="J177" s="33"/>
      <c r="K177" s="33"/>
      <c r="L177" s="34"/>
      <c r="M177" s="34"/>
      <c r="N177" s="34"/>
      <c r="O177" s="34"/>
      <c r="P177" s="33"/>
      <c r="Q177" s="35"/>
      <c r="R177" s="33"/>
      <c r="S177" s="33"/>
      <c r="T177" s="33"/>
      <c r="U177" s="33"/>
      <c r="V177" s="33"/>
      <c r="W177" s="33"/>
    </row>
    <row r="178" customFormat="false" ht="15" hidden="false" customHeight="false" outlineLevel="0" collapsed="false">
      <c r="A178" s="33"/>
      <c r="B178" s="33"/>
      <c r="C178" s="33"/>
      <c r="D178" s="33"/>
      <c r="E178" s="33"/>
      <c r="F178" s="33"/>
      <c r="G178" s="33"/>
      <c r="H178" s="33"/>
      <c r="I178" s="33"/>
      <c r="J178" s="33"/>
      <c r="K178" s="33"/>
      <c r="L178" s="34"/>
      <c r="M178" s="34"/>
      <c r="N178" s="34"/>
      <c r="O178" s="34"/>
      <c r="P178" s="33"/>
      <c r="Q178" s="35"/>
      <c r="R178" s="33"/>
      <c r="S178" s="33"/>
      <c r="T178" s="33"/>
      <c r="U178" s="33"/>
      <c r="V178" s="33"/>
      <c r="W178" s="33"/>
    </row>
    <row r="179" customFormat="false" ht="15" hidden="false" customHeight="false" outlineLevel="0" collapsed="false">
      <c r="A179" s="33"/>
      <c r="B179" s="33"/>
      <c r="C179" s="33"/>
      <c r="D179" s="33"/>
      <c r="E179" s="33"/>
      <c r="F179" s="33"/>
      <c r="G179" s="33"/>
      <c r="H179" s="33"/>
      <c r="I179" s="33"/>
      <c r="J179" s="33"/>
      <c r="K179" s="33"/>
      <c r="L179" s="34"/>
      <c r="M179" s="34"/>
      <c r="N179" s="34"/>
      <c r="O179" s="34"/>
      <c r="P179" s="33"/>
      <c r="Q179" s="35"/>
      <c r="R179" s="33"/>
      <c r="S179" s="33"/>
      <c r="T179" s="33"/>
      <c r="U179" s="33"/>
      <c r="V179" s="33"/>
      <c r="W179" s="33"/>
    </row>
    <row r="180" customFormat="false" ht="15" hidden="false" customHeight="false" outlineLevel="0" collapsed="false">
      <c r="A180" s="33"/>
      <c r="B180" s="33"/>
      <c r="C180" s="33"/>
      <c r="D180" s="33"/>
      <c r="E180" s="33"/>
      <c r="F180" s="33"/>
      <c r="G180" s="33"/>
      <c r="H180" s="33"/>
      <c r="I180" s="33"/>
      <c r="J180" s="33"/>
      <c r="K180" s="33"/>
      <c r="L180" s="34"/>
      <c r="M180" s="34"/>
      <c r="N180" s="34"/>
      <c r="O180" s="34"/>
      <c r="P180" s="33"/>
      <c r="Q180" s="35"/>
      <c r="R180" s="33"/>
      <c r="S180" s="33"/>
      <c r="T180" s="33"/>
      <c r="U180" s="33"/>
      <c r="V180" s="33"/>
      <c r="W180" s="33"/>
    </row>
    <row r="181" customFormat="false" ht="15" hidden="false" customHeight="false" outlineLevel="0" collapsed="false">
      <c r="A181" s="33"/>
      <c r="B181" s="33"/>
      <c r="C181" s="33"/>
      <c r="D181" s="33"/>
      <c r="E181" s="33"/>
      <c r="F181" s="33"/>
      <c r="G181" s="33"/>
      <c r="H181" s="33"/>
      <c r="I181" s="33"/>
      <c r="J181" s="33"/>
      <c r="K181" s="33"/>
      <c r="L181" s="34"/>
      <c r="M181" s="34"/>
      <c r="N181" s="34"/>
      <c r="O181" s="34"/>
      <c r="P181" s="33"/>
      <c r="Q181" s="35"/>
      <c r="R181" s="33"/>
      <c r="S181" s="33"/>
      <c r="T181" s="33"/>
      <c r="U181" s="33"/>
      <c r="V181" s="33"/>
      <c r="W181" s="33"/>
    </row>
    <row r="182" customFormat="false" ht="15" hidden="false" customHeight="false" outlineLevel="0" collapsed="false">
      <c r="A182" s="33"/>
      <c r="B182" s="33"/>
      <c r="C182" s="33"/>
      <c r="D182" s="33"/>
      <c r="E182" s="33"/>
      <c r="F182" s="33"/>
      <c r="G182" s="33"/>
      <c r="H182" s="33"/>
      <c r="I182" s="33"/>
      <c r="J182" s="33"/>
      <c r="K182" s="33"/>
      <c r="L182" s="34"/>
      <c r="M182" s="34"/>
      <c r="N182" s="34"/>
      <c r="O182" s="34"/>
      <c r="P182" s="33"/>
      <c r="Q182" s="35"/>
      <c r="R182" s="33"/>
      <c r="S182" s="33"/>
      <c r="T182" s="33"/>
      <c r="U182" s="33"/>
      <c r="V182" s="33"/>
      <c r="W182" s="33"/>
    </row>
    <row r="183" customFormat="false" ht="15" hidden="false" customHeight="false" outlineLevel="0" collapsed="false">
      <c r="A183" s="33"/>
      <c r="B183" s="33"/>
      <c r="C183" s="33"/>
      <c r="D183" s="33"/>
      <c r="E183" s="33"/>
      <c r="F183" s="33"/>
      <c r="G183" s="33"/>
      <c r="H183" s="33"/>
      <c r="I183" s="33"/>
      <c r="J183" s="33"/>
      <c r="K183" s="33"/>
      <c r="L183" s="34"/>
      <c r="M183" s="34"/>
      <c r="N183" s="34"/>
      <c r="O183" s="34"/>
      <c r="P183" s="33"/>
      <c r="Q183" s="35"/>
      <c r="R183" s="33"/>
      <c r="S183" s="33"/>
      <c r="T183" s="33"/>
      <c r="U183" s="33"/>
      <c r="V183" s="33"/>
      <c r="W183" s="33"/>
    </row>
    <row r="184" customFormat="false" ht="15" hidden="false" customHeight="false" outlineLevel="0" collapsed="false">
      <c r="A184" s="33"/>
      <c r="B184" s="33"/>
      <c r="C184" s="33"/>
      <c r="D184" s="33"/>
      <c r="E184" s="33"/>
      <c r="F184" s="33"/>
      <c r="G184" s="33"/>
      <c r="H184" s="33"/>
      <c r="I184" s="33"/>
      <c r="J184" s="33"/>
      <c r="K184" s="33"/>
      <c r="L184" s="34"/>
      <c r="M184" s="34"/>
      <c r="N184" s="34"/>
      <c r="O184" s="34"/>
      <c r="P184" s="33"/>
      <c r="Q184" s="35"/>
      <c r="R184" s="33"/>
      <c r="S184" s="33"/>
      <c r="T184" s="33"/>
      <c r="U184" s="33"/>
      <c r="V184" s="33"/>
      <c r="W184" s="33"/>
    </row>
    <row r="185" customFormat="false" ht="15" hidden="false" customHeight="false" outlineLevel="0" collapsed="false">
      <c r="A185" s="33"/>
      <c r="B185" s="33"/>
      <c r="C185" s="33"/>
      <c r="D185" s="33"/>
      <c r="E185" s="33"/>
      <c r="F185" s="33"/>
      <c r="G185" s="33"/>
      <c r="H185" s="33"/>
      <c r="I185" s="33"/>
      <c r="J185" s="33"/>
      <c r="K185" s="33"/>
      <c r="L185" s="34"/>
      <c r="M185" s="34"/>
      <c r="N185" s="34"/>
      <c r="O185" s="34"/>
      <c r="P185" s="33"/>
      <c r="Q185" s="35"/>
      <c r="R185" s="33"/>
      <c r="S185" s="33"/>
      <c r="T185" s="33"/>
      <c r="U185" s="33"/>
      <c r="V185" s="33"/>
      <c r="W185" s="33"/>
    </row>
    <row r="186" customFormat="false" ht="15" hidden="false" customHeight="false" outlineLevel="0" collapsed="false">
      <c r="A186" s="33"/>
      <c r="B186" s="33"/>
      <c r="C186" s="33"/>
      <c r="D186" s="33"/>
      <c r="E186" s="33"/>
      <c r="F186" s="33"/>
      <c r="G186" s="33"/>
      <c r="H186" s="33"/>
      <c r="I186" s="33"/>
      <c r="J186" s="33"/>
      <c r="K186" s="33"/>
      <c r="L186" s="34"/>
      <c r="M186" s="34"/>
      <c r="N186" s="34"/>
      <c r="O186" s="34"/>
      <c r="P186" s="33"/>
      <c r="Q186" s="35"/>
      <c r="R186" s="33"/>
      <c r="S186" s="33"/>
      <c r="T186" s="33"/>
      <c r="U186" s="33"/>
      <c r="V186" s="33"/>
      <c r="W186" s="33"/>
    </row>
    <row r="187" customFormat="false" ht="15" hidden="false" customHeight="false" outlineLevel="0" collapsed="false">
      <c r="A187" s="33"/>
      <c r="B187" s="33"/>
      <c r="C187" s="33"/>
      <c r="D187" s="33"/>
      <c r="E187" s="33"/>
      <c r="F187" s="33"/>
      <c r="G187" s="33"/>
      <c r="H187" s="33"/>
      <c r="I187" s="33"/>
      <c r="J187" s="33"/>
      <c r="K187" s="33"/>
      <c r="L187" s="34"/>
      <c r="M187" s="34"/>
      <c r="N187" s="34"/>
      <c r="O187" s="34"/>
      <c r="P187" s="33"/>
      <c r="Q187" s="35"/>
      <c r="R187" s="33"/>
      <c r="S187" s="33"/>
      <c r="T187" s="33"/>
      <c r="U187" s="33"/>
      <c r="V187" s="33"/>
      <c r="W187" s="33"/>
    </row>
    <row r="188" customFormat="false" ht="15" hidden="false" customHeight="false" outlineLevel="0" collapsed="false">
      <c r="A188" s="33"/>
      <c r="B188" s="33"/>
      <c r="C188" s="33"/>
      <c r="D188" s="33"/>
      <c r="E188" s="33"/>
      <c r="F188" s="33"/>
      <c r="G188" s="33"/>
      <c r="H188" s="33"/>
      <c r="I188" s="33"/>
      <c r="J188" s="33"/>
      <c r="K188" s="33"/>
      <c r="L188" s="34"/>
      <c r="M188" s="34"/>
      <c r="N188" s="34"/>
      <c r="O188" s="34"/>
      <c r="P188" s="33"/>
      <c r="Q188" s="35"/>
      <c r="R188" s="33"/>
      <c r="S188" s="33"/>
      <c r="T188" s="33"/>
      <c r="U188" s="33"/>
      <c r="V188" s="33"/>
      <c r="W188" s="33"/>
    </row>
    <row r="189" customFormat="false" ht="15" hidden="false" customHeight="false" outlineLevel="0" collapsed="false">
      <c r="A189" s="33"/>
      <c r="B189" s="33"/>
      <c r="C189" s="33"/>
      <c r="D189" s="33"/>
      <c r="E189" s="33"/>
      <c r="F189" s="33"/>
      <c r="G189" s="33"/>
      <c r="H189" s="33"/>
      <c r="I189" s="33"/>
      <c r="J189" s="33"/>
      <c r="K189" s="33"/>
      <c r="L189" s="34"/>
      <c r="M189" s="34"/>
      <c r="N189" s="34"/>
      <c r="O189" s="34"/>
      <c r="P189" s="33"/>
      <c r="Q189" s="35"/>
      <c r="R189" s="33"/>
      <c r="S189" s="33"/>
      <c r="T189" s="33"/>
      <c r="U189" s="33"/>
      <c r="V189" s="33"/>
      <c r="W189" s="33"/>
    </row>
    <row r="190" customFormat="false" ht="15" hidden="false" customHeight="false" outlineLevel="0" collapsed="false">
      <c r="A190" s="33"/>
      <c r="B190" s="33"/>
      <c r="C190" s="33"/>
      <c r="D190" s="33"/>
      <c r="E190" s="33"/>
      <c r="F190" s="33"/>
      <c r="G190" s="33"/>
      <c r="H190" s="33"/>
      <c r="I190" s="33"/>
      <c r="J190" s="33"/>
      <c r="K190" s="33"/>
      <c r="L190" s="34"/>
      <c r="M190" s="34"/>
      <c r="N190" s="34"/>
      <c r="O190" s="34"/>
      <c r="P190" s="33"/>
      <c r="Q190" s="35"/>
      <c r="R190" s="33"/>
      <c r="S190" s="33"/>
      <c r="T190" s="33"/>
      <c r="U190" s="33"/>
      <c r="V190" s="33"/>
      <c r="W190" s="33"/>
    </row>
    <row r="191" customFormat="false" ht="15" hidden="false" customHeight="false" outlineLevel="0" collapsed="false">
      <c r="A191" s="33"/>
      <c r="B191" s="33"/>
      <c r="C191" s="33"/>
      <c r="D191" s="33"/>
      <c r="E191" s="33"/>
      <c r="F191" s="33"/>
      <c r="G191" s="33"/>
      <c r="H191" s="33"/>
      <c r="I191" s="33"/>
      <c r="J191" s="33"/>
      <c r="K191" s="33"/>
      <c r="L191" s="34"/>
      <c r="M191" s="34"/>
      <c r="N191" s="34"/>
      <c r="O191" s="34"/>
      <c r="P191" s="33"/>
      <c r="Q191" s="35"/>
      <c r="R191" s="33"/>
      <c r="S191" s="33"/>
      <c r="T191" s="33"/>
      <c r="U191" s="33"/>
      <c r="V191" s="33"/>
      <c r="W191" s="33"/>
    </row>
    <row r="192" customFormat="false" ht="15" hidden="false" customHeight="false" outlineLevel="0" collapsed="false">
      <c r="A192" s="33"/>
      <c r="B192" s="33"/>
      <c r="C192" s="33"/>
      <c r="D192" s="33"/>
      <c r="E192" s="33"/>
      <c r="F192" s="33"/>
      <c r="G192" s="33"/>
      <c r="H192" s="33"/>
      <c r="I192" s="33"/>
      <c r="J192" s="33"/>
      <c r="K192" s="33"/>
      <c r="L192" s="34"/>
      <c r="M192" s="34"/>
      <c r="N192" s="34"/>
      <c r="O192" s="34"/>
      <c r="P192" s="33"/>
      <c r="Q192" s="35"/>
      <c r="R192" s="33"/>
      <c r="S192" s="33"/>
      <c r="T192" s="33"/>
      <c r="U192" s="33"/>
      <c r="V192" s="33"/>
      <c r="W192" s="33"/>
    </row>
    <row r="193" customFormat="false" ht="15" hidden="false" customHeight="false" outlineLevel="0" collapsed="false">
      <c r="A193" s="33"/>
      <c r="B193" s="33"/>
      <c r="C193" s="33"/>
      <c r="D193" s="33"/>
      <c r="E193" s="33"/>
      <c r="F193" s="33"/>
      <c r="G193" s="33"/>
      <c r="H193" s="33"/>
      <c r="I193" s="33"/>
      <c r="J193" s="33"/>
      <c r="K193" s="33"/>
      <c r="L193" s="34"/>
      <c r="M193" s="34"/>
      <c r="N193" s="34"/>
      <c r="O193" s="34"/>
      <c r="P193" s="33"/>
      <c r="Q193" s="35"/>
      <c r="R193" s="33"/>
      <c r="S193" s="33"/>
      <c r="T193" s="33"/>
      <c r="U193" s="33"/>
      <c r="V193" s="33"/>
      <c r="W193" s="33"/>
    </row>
    <row r="194" customFormat="false" ht="15" hidden="false" customHeight="false" outlineLevel="0" collapsed="false">
      <c r="A194" s="33"/>
      <c r="B194" s="33"/>
      <c r="C194" s="33"/>
      <c r="D194" s="33"/>
      <c r="E194" s="33"/>
      <c r="F194" s="33"/>
      <c r="G194" s="33"/>
      <c r="H194" s="33"/>
      <c r="I194" s="33"/>
      <c r="J194" s="33"/>
      <c r="K194" s="33"/>
      <c r="L194" s="34"/>
      <c r="M194" s="34"/>
      <c r="N194" s="34"/>
      <c r="O194" s="34"/>
      <c r="P194" s="33"/>
      <c r="Q194" s="35"/>
      <c r="R194" s="33"/>
      <c r="S194" s="33"/>
      <c r="T194" s="33"/>
      <c r="U194" s="33"/>
      <c r="V194" s="33"/>
      <c r="W194" s="33"/>
    </row>
    <row r="195" customFormat="false" ht="15" hidden="false" customHeight="false" outlineLevel="0" collapsed="false">
      <c r="A195" s="33"/>
      <c r="B195" s="33"/>
      <c r="C195" s="33"/>
      <c r="D195" s="33"/>
      <c r="E195" s="33"/>
      <c r="F195" s="33"/>
      <c r="G195" s="33"/>
      <c r="H195" s="33"/>
      <c r="I195" s="33"/>
      <c r="J195" s="33"/>
      <c r="K195" s="33"/>
      <c r="L195" s="34"/>
      <c r="M195" s="34"/>
      <c r="N195" s="34"/>
      <c r="O195" s="34"/>
      <c r="P195" s="33"/>
      <c r="Q195" s="35"/>
      <c r="R195" s="33"/>
      <c r="S195" s="33"/>
      <c r="T195" s="33"/>
      <c r="U195" s="33"/>
      <c r="V195" s="33"/>
      <c r="W195" s="33"/>
    </row>
    <row r="196" customFormat="false" ht="15" hidden="false" customHeight="false" outlineLevel="0" collapsed="false">
      <c r="A196" s="33"/>
      <c r="B196" s="33"/>
      <c r="C196" s="33"/>
      <c r="D196" s="33"/>
      <c r="E196" s="33"/>
      <c r="F196" s="33"/>
      <c r="G196" s="33"/>
      <c r="H196" s="33"/>
      <c r="I196" s="33"/>
      <c r="J196" s="33"/>
      <c r="K196" s="33"/>
      <c r="L196" s="34"/>
      <c r="M196" s="34"/>
      <c r="N196" s="34"/>
      <c r="O196" s="34"/>
      <c r="P196" s="33"/>
      <c r="Q196" s="35"/>
      <c r="R196" s="33"/>
      <c r="S196" s="33"/>
      <c r="T196" s="33"/>
      <c r="U196" s="33"/>
      <c r="V196" s="33"/>
      <c r="W196" s="33"/>
    </row>
    <row r="197" customFormat="false" ht="15" hidden="false" customHeight="false" outlineLevel="0" collapsed="false">
      <c r="A197" s="33"/>
      <c r="B197" s="33"/>
      <c r="C197" s="33"/>
      <c r="D197" s="33"/>
      <c r="E197" s="33"/>
      <c r="F197" s="33"/>
      <c r="G197" s="33"/>
      <c r="H197" s="33"/>
      <c r="I197" s="33"/>
      <c r="J197" s="33"/>
      <c r="K197" s="33"/>
      <c r="L197" s="34"/>
      <c r="M197" s="34"/>
      <c r="N197" s="34"/>
      <c r="O197" s="34"/>
      <c r="P197" s="33"/>
      <c r="Q197" s="35"/>
      <c r="R197" s="33"/>
      <c r="S197" s="33"/>
      <c r="T197" s="33"/>
      <c r="U197" s="33"/>
      <c r="V197" s="33"/>
      <c r="W197" s="33"/>
    </row>
    <row r="198" customFormat="false" ht="15" hidden="false" customHeight="false" outlineLevel="0" collapsed="false">
      <c r="A198" s="33"/>
      <c r="B198" s="33"/>
      <c r="C198" s="33"/>
      <c r="D198" s="33"/>
      <c r="E198" s="33"/>
      <c r="F198" s="33"/>
      <c r="G198" s="33"/>
      <c r="H198" s="33"/>
      <c r="I198" s="33"/>
      <c r="J198" s="33"/>
      <c r="K198" s="33"/>
      <c r="L198" s="34"/>
      <c r="M198" s="34"/>
      <c r="N198" s="34"/>
      <c r="O198" s="34"/>
      <c r="P198" s="33"/>
      <c r="Q198" s="35"/>
      <c r="R198" s="33"/>
      <c r="S198" s="33"/>
      <c r="T198" s="33"/>
      <c r="U198" s="33"/>
      <c r="V198" s="33"/>
      <c r="W198" s="33"/>
    </row>
    <row r="199" customFormat="false" ht="15" hidden="false" customHeight="false" outlineLevel="0" collapsed="false">
      <c r="A199" s="33"/>
      <c r="B199" s="33"/>
      <c r="C199" s="33"/>
      <c r="D199" s="33"/>
      <c r="E199" s="33"/>
      <c r="F199" s="33"/>
      <c r="G199" s="33"/>
      <c r="H199" s="33"/>
      <c r="I199" s="33"/>
      <c r="J199" s="33"/>
      <c r="K199" s="33"/>
      <c r="L199" s="34"/>
      <c r="M199" s="34"/>
      <c r="N199" s="34"/>
      <c r="O199" s="34"/>
      <c r="P199" s="33"/>
      <c r="Q199" s="35"/>
      <c r="R199" s="33"/>
      <c r="S199" s="33"/>
      <c r="T199" s="33"/>
      <c r="U199" s="33"/>
      <c r="V199" s="33"/>
      <c r="W199" s="33"/>
    </row>
    <row r="200" customFormat="false" ht="15" hidden="false" customHeight="false" outlineLevel="0" collapsed="false">
      <c r="A200" s="33"/>
      <c r="B200" s="33"/>
      <c r="C200" s="33"/>
      <c r="D200" s="33"/>
      <c r="E200" s="33"/>
      <c r="F200" s="33"/>
      <c r="G200" s="33"/>
      <c r="H200" s="33"/>
      <c r="I200" s="33"/>
      <c r="J200" s="33"/>
      <c r="K200" s="33"/>
      <c r="L200" s="34"/>
      <c r="M200" s="34"/>
      <c r="N200" s="34"/>
      <c r="O200" s="34"/>
      <c r="P200" s="33"/>
      <c r="Q200" s="35"/>
      <c r="R200" s="33"/>
      <c r="S200" s="33"/>
      <c r="T200" s="33"/>
      <c r="U200" s="33"/>
      <c r="V200" s="33"/>
      <c r="W200" s="33"/>
    </row>
    <row r="201" customFormat="false" ht="15" hidden="false" customHeight="false" outlineLevel="0" collapsed="false">
      <c r="A201" s="33"/>
      <c r="B201" s="33"/>
      <c r="C201" s="33"/>
      <c r="D201" s="33"/>
      <c r="E201" s="33"/>
      <c r="F201" s="33"/>
      <c r="G201" s="33"/>
      <c r="H201" s="33"/>
      <c r="I201" s="33"/>
      <c r="J201" s="33"/>
      <c r="K201" s="33"/>
      <c r="L201" s="34"/>
      <c r="M201" s="34"/>
      <c r="N201" s="34"/>
      <c r="O201" s="34"/>
      <c r="P201" s="33"/>
      <c r="Q201" s="35"/>
      <c r="R201" s="33"/>
      <c r="S201" s="33"/>
      <c r="T201" s="33"/>
      <c r="U201" s="33"/>
      <c r="V201" s="33"/>
      <c r="W201" s="33"/>
    </row>
    <row r="202" customFormat="false" ht="15" hidden="false" customHeight="false" outlineLevel="0" collapsed="false">
      <c r="A202" s="33"/>
      <c r="B202" s="33"/>
      <c r="C202" s="33"/>
      <c r="D202" s="33"/>
      <c r="E202" s="33"/>
      <c r="F202" s="33"/>
      <c r="G202" s="33"/>
      <c r="H202" s="33"/>
      <c r="I202" s="33"/>
      <c r="J202" s="33"/>
      <c r="K202" s="33"/>
      <c r="L202" s="34"/>
      <c r="M202" s="34"/>
      <c r="N202" s="34"/>
      <c r="O202" s="34"/>
      <c r="P202" s="33"/>
      <c r="Q202" s="35"/>
      <c r="R202" s="33"/>
      <c r="S202" s="33"/>
      <c r="T202" s="33"/>
      <c r="U202" s="33"/>
      <c r="V202" s="33"/>
      <c r="W202" s="33"/>
    </row>
    <row r="203" customFormat="false" ht="15" hidden="false" customHeight="false" outlineLevel="0" collapsed="false">
      <c r="A203" s="33"/>
      <c r="B203" s="33"/>
      <c r="C203" s="33"/>
      <c r="D203" s="33"/>
      <c r="E203" s="33"/>
      <c r="F203" s="33"/>
      <c r="G203" s="33"/>
      <c r="H203" s="33"/>
      <c r="I203" s="33"/>
      <c r="J203" s="33"/>
      <c r="K203" s="33"/>
      <c r="L203" s="34"/>
      <c r="M203" s="34"/>
      <c r="N203" s="34"/>
      <c r="O203" s="34"/>
      <c r="P203" s="33"/>
      <c r="Q203" s="35"/>
      <c r="R203" s="33"/>
      <c r="S203" s="33"/>
      <c r="T203" s="33"/>
      <c r="U203" s="33"/>
      <c r="V203" s="33"/>
      <c r="W203" s="33"/>
    </row>
    <row r="204" customFormat="false" ht="15" hidden="false" customHeight="false" outlineLevel="0" collapsed="false">
      <c r="A204" s="33"/>
      <c r="B204" s="33"/>
      <c r="C204" s="33"/>
      <c r="D204" s="33"/>
      <c r="E204" s="33"/>
      <c r="F204" s="33"/>
      <c r="G204" s="33"/>
      <c r="H204" s="33"/>
      <c r="I204" s="33"/>
      <c r="J204" s="33"/>
      <c r="K204" s="33"/>
      <c r="L204" s="34"/>
      <c r="M204" s="34"/>
      <c r="N204" s="34"/>
      <c r="O204" s="34"/>
      <c r="P204" s="33"/>
      <c r="Q204" s="35"/>
      <c r="R204" s="33"/>
      <c r="S204" s="33"/>
      <c r="T204" s="33"/>
      <c r="U204" s="33"/>
      <c r="V204" s="33"/>
      <c r="W204" s="33"/>
    </row>
    <row r="205" customFormat="false" ht="15" hidden="false" customHeight="false" outlineLevel="0" collapsed="false">
      <c r="A205" s="33"/>
      <c r="B205" s="33"/>
      <c r="C205" s="33"/>
      <c r="D205" s="33"/>
      <c r="E205" s="33"/>
      <c r="F205" s="33"/>
      <c r="G205" s="33"/>
      <c r="H205" s="33"/>
      <c r="I205" s="33"/>
      <c r="J205" s="33"/>
      <c r="K205" s="33"/>
      <c r="L205" s="34"/>
      <c r="M205" s="34"/>
      <c r="N205" s="34"/>
      <c r="O205" s="34"/>
      <c r="P205" s="33"/>
      <c r="Q205" s="35"/>
      <c r="R205" s="33"/>
      <c r="S205" s="33"/>
      <c r="T205" s="33"/>
      <c r="U205" s="33"/>
      <c r="V205" s="33"/>
      <c r="W205" s="33"/>
    </row>
    <row r="206" customFormat="false" ht="15" hidden="false" customHeight="false" outlineLevel="0" collapsed="false">
      <c r="A206" s="33"/>
      <c r="B206" s="33"/>
      <c r="C206" s="33"/>
      <c r="D206" s="33"/>
      <c r="E206" s="33"/>
      <c r="F206" s="33"/>
      <c r="G206" s="33"/>
      <c r="H206" s="33"/>
      <c r="I206" s="33"/>
      <c r="J206" s="33"/>
      <c r="K206" s="33"/>
      <c r="L206" s="34"/>
      <c r="M206" s="34"/>
      <c r="N206" s="34"/>
      <c r="O206" s="34"/>
      <c r="P206" s="33"/>
      <c r="Q206" s="35"/>
      <c r="R206" s="33"/>
      <c r="S206" s="33"/>
      <c r="T206" s="33"/>
      <c r="U206" s="33"/>
      <c r="V206" s="33"/>
      <c r="W206" s="33"/>
    </row>
    <row r="207" customFormat="false" ht="15" hidden="false" customHeight="false" outlineLevel="0" collapsed="false">
      <c r="A207" s="33"/>
      <c r="B207" s="33"/>
      <c r="C207" s="33"/>
      <c r="D207" s="33"/>
      <c r="E207" s="33"/>
      <c r="F207" s="33"/>
      <c r="G207" s="33"/>
      <c r="H207" s="33"/>
      <c r="I207" s="33"/>
      <c r="J207" s="33"/>
      <c r="K207" s="33"/>
      <c r="L207" s="34"/>
      <c r="M207" s="34"/>
      <c r="N207" s="34"/>
      <c r="O207" s="34"/>
      <c r="P207" s="33"/>
      <c r="Q207" s="35"/>
      <c r="R207" s="33"/>
      <c r="S207" s="33"/>
      <c r="T207" s="33"/>
      <c r="U207" s="33"/>
      <c r="V207" s="33"/>
      <c r="W207" s="33"/>
    </row>
    <row r="208" customFormat="false" ht="15" hidden="false" customHeight="false" outlineLevel="0" collapsed="false">
      <c r="A208" s="33"/>
      <c r="B208" s="33"/>
      <c r="C208" s="33"/>
      <c r="D208" s="33"/>
      <c r="E208" s="33"/>
      <c r="F208" s="33"/>
      <c r="G208" s="33"/>
      <c r="H208" s="33"/>
      <c r="I208" s="33"/>
      <c r="J208" s="33"/>
      <c r="K208" s="33"/>
      <c r="L208" s="34"/>
      <c r="M208" s="34"/>
      <c r="N208" s="34"/>
      <c r="O208" s="34"/>
      <c r="P208" s="33"/>
      <c r="Q208" s="35"/>
      <c r="R208" s="33"/>
      <c r="S208" s="33"/>
      <c r="T208" s="33"/>
      <c r="U208" s="33"/>
      <c r="V208" s="33"/>
      <c r="W208" s="33"/>
    </row>
    <row r="209" customFormat="false" ht="15" hidden="false" customHeight="false" outlineLevel="0" collapsed="false">
      <c r="A209" s="33"/>
      <c r="B209" s="33"/>
      <c r="C209" s="33"/>
      <c r="D209" s="33"/>
      <c r="E209" s="33"/>
      <c r="F209" s="33"/>
      <c r="G209" s="33"/>
      <c r="H209" s="33"/>
      <c r="I209" s="33"/>
      <c r="J209" s="33"/>
      <c r="K209" s="33"/>
      <c r="L209" s="34"/>
      <c r="M209" s="34"/>
      <c r="N209" s="34"/>
      <c r="O209" s="34"/>
      <c r="P209" s="33"/>
      <c r="Q209" s="35"/>
      <c r="R209" s="33"/>
      <c r="S209" s="33"/>
      <c r="T209" s="33"/>
      <c r="U209" s="33"/>
      <c r="V209" s="33"/>
      <c r="W209" s="33"/>
    </row>
    <row r="210" customFormat="false" ht="15" hidden="false" customHeight="false" outlineLevel="0" collapsed="false">
      <c r="A210" s="33"/>
      <c r="B210" s="33"/>
      <c r="C210" s="33"/>
      <c r="D210" s="33"/>
      <c r="E210" s="33"/>
      <c r="F210" s="33"/>
      <c r="G210" s="33"/>
      <c r="H210" s="33"/>
      <c r="I210" s="33"/>
      <c r="J210" s="33"/>
      <c r="K210" s="33"/>
      <c r="L210" s="34"/>
      <c r="M210" s="34"/>
      <c r="N210" s="34"/>
      <c r="O210" s="34"/>
      <c r="P210" s="33"/>
      <c r="Q210" s="35"/>
      <c r="R210" s="33"/>
      <c r="S210" s="33"/>
      <c r="T210" s="33"/>
      <c r="U210" s="33"/>
      <c r="V210" s="33"/>
      <c r="W210" s="33"/>
    </row>
    <row r="211" customFormat="false" ht="15" hidden="false" customHeight="false" outlineLevel="0" collapsed="false">
      <c r="A211" s="33"/>
      <c r="B211" s="33"/>
      <c r="C211" s="33"/>
      <c r="D211" s="33"/>
      <c r="E211" s="33"/>
      <c r="F211" s="33"/>
      <c r="G211" s="33"/>
      <c r="H211" s="33"/>
      <c r="I211" s="33"/>
      <c r="J211" s="33"/>
      <c r="K211" s="33"/>
      <c r="L211" s="34"/>
      <c r="M211" s="34"/>
      <c r="N211" s="34"/>
      <c r="O211" s="34"/>
      <c r="P211" s="33"/>
      <c r="Q211" s="35"/>
      <c r="R211" s="33"/>
      <c r="S211" s="33"/>
      <c r="T211" s="33"/>
      <c r="U211" s="33"/>
      <c r="V211" s="33"/>
      <c r="W211" s="33"/>
    </row>
    <row r="212" customFormat="false" ht="15" hidden="false" customHeight="false" outlineLevel="0" collapsed="false">
      <c r="A212" s="33"/>
      <c r="B212" s="33"/>
      <c r="C212" s="33"/>
      <c r="D212" s="33"/>
      <c r="E212" s="33"/>
      <c r="F212" s="33"/>
      <c r="G212" s="33"/>
      <c r="H212" s="33"/>
      <c r="I212" s="33"/>
      <c r="J212" s="33"/>
      <c r="K212" s="33"/>
      <c r="L212" s="34"/>
      <c r="M212" s="34"/>
      <c r="N212" s="34"/>
      <c r="O212" s="34"/>
      <c r="P212" s="33"/>
      <c r="Q212" s="35"/>
      <c r="R212" s="33"/>
      <c r="S212" s="33"/>
      <c r="T212" s="33"/>
      <c r="U212" s="33"/>
      <c r="V212" s="33"/>
      <c r="W212" s="33"/>
    </row>
    <row r="213" customFormat="false" ht="15" hidden="false" customHeight="false" outlineLevel="0" collapsed="false">
      <c r="A213" s="33"/>
      <c r="B213" s="33"/>
      <c r="C213" s="33"/>
      <c r="D213" s="33"/>
      <c r="E213" s="33"/>
      <c r="F213" s="33"/>
      <c r="G213" s="33"/>
      <c r="H213" s="33"/>
      <c r="I213" s="33"/>
      <c r="J213" s="33"/>
      <c r="K213" s="33"/>
      <c r="L213" s="34"/>
      <c r="M213" s="34"/>
      <c r="N213" s="34"/>
      <c r="O213" s="34"/>
      <c r="P213" s="33"/>
      <c r="Q213" s="35"/>
      <c r="R213" s="33"/>
      <c r="S213" s="33"/>
      <c r="T213" s="33"/>
      <c r="U213" s="33"/>
      <c r="V213" s="33"/>
      <c r="W213" s="33"/>
    </row>
    <row r="214" customFormat="false" ht="15" hidden="false" customHeight="false" outlineLevel="0" collapsed="false">
      <c r="A214" s="33"/>
      <c r="B214" s="33"/>
      <c r="C214" s="33"/>
      <c r="D214" s="33"/>
      <c r="E214" s="33"/>
      <c r="F214" s="33"/>
      <c r="G214" s="33"/>
      <c r="H214" s="33"/>
      <c r="I214" s="33"/>
      <c r="J214" s="33"/>
      <c r="K214" s="33"/>
      <c r="L214" s="34"/>
      <c r="M214" s="34"/>
      <c r="N214" s="34"/>
      <c r="O214" s="34"/>
      <c r="P214" s="33"/>
      <c r="Q214" s="35"/>
      <c r="R214" s="33"/>
      <c r="S214" s="33"/>
      <c r="T214" s="33"/>
      <c r="U214" s="33"/>
      <c r="V214" s="33"/>
      <c r="W214" s="33"/>
    </row>
    <row r="215" customFormat="false" ht="15" hidden="false" customHeight="false" outlineLevel="0" collapsed="false">
      <c r="A215" s="33"/>
      <c r="B215" s="33"/>
      <c r="C215" s="33"/>
      <c r="D215" s="33"/>
      <c r="E215" s="33"/>
      <c r="F215" s="33"/>
      <c r="G215" s="33"/>
      <c r="H215" s="33"/>
      <c r="I215" s="33"/>
      <c r="J215" s="33"/>
      <c r="K215" s="33"/>
      <c r="L215" s="34"/>
      <c r="M215" s="34"/>
      <c r="N215" s="34"/>
      <c r="O215" s="34"/>
      <c r="P215" s="33"/>
      <c r="Q215" s="35"/>
      <c r="R215" s="33"/>
      <c r="S215" s="33"/>
      <c r="T215" s="33"/>
      <c r="U215" s="33"/>
      <c r="V215" s="33"/>
      <c r="W215" s="33"/>
    </row>
    <row r="216" customFormat="false" ht="15" hidden="false" customHeight="false" outlineLevel="0" collapsed="false">
      <c r="A216" s="33"/>
      <c r="B216" s="33"/>
      <c r="C216" s="33"/>
      <c r="D216" s="33"/>
      <c r="E216" s="33"/>
      <c r="F216" s="33"/>
      <c r="G216" s="33"/>
      <c r="H216" s="33"/>
      <c r="I216" s="33"/>
      <c r="J216" s="33"/>
      <c r="K216" s="33"/>
      <c r="L216" s="34"/>
      <c r="M216" s="34"/>
      <c r="N216" s="34"/>
      <c r="O216" s="34"/>
      <c r="P216" s="33"/>
      <c r="Q216" s="35"/>
      <c r="R216" s="33"/>
      <c r="S216" s="33"/>
      <c r="T216" s="33"/>
      <c r="U216" s="33"/>
      <c r="V216" s="33"/>
      <c r="W216" s="33"/>
    </row>
    <row r="217" customFormat="false" ht="15" hidden="false" customHeight="false" outlineLevel="0" collapsed="false">
      <c r="A217" s="33"/>
      <c r="B217" s="33"/>
      <c r="C217" s="33"/>
      <c r="D217" s="33"/>
      <c r="E217" s="33"/>
      <c r="F217" s="33"/>
      <c r="G217" s="33"/>
      <c r="H217" s="33"/>
      <c r="I217" s="33"/>
      <c r="J217" s="33"/>
      <c r="K217" s="33"/>
      <c r="L217" s="34"/>
      <c r="M217" s="34"/>
      <c r="N217" s="34"/>
      <c r="O217" s="34"/>
      <c r="P217" s="33"/>
      <c r="Q217" s="35"/>
      <c r="R217" s="33"/>
      <c r="S217" s="33"/>
      <c r="T217" s="33"/>
      <c r="U217" s="33"/>
      <c r="V217" s="33"/>
      <c r="W217" s="33"/>
    </row>
    <row r="218" customFormat="false" ht="15" hidden="false" customHeight="false" outlineLevel="0" collapsed="false">
      <c r="A218" s="33"/>
      <c r="B218" s="33"/>
      <c r="C218" s="33"/>
      <c r="D218" s="33"/>
      <c r="E218" s="33"/>
      <c r="F218" s="33"/>
      <c r="G218" s="33"/>
      <c r="H218" s="33"/>
      <c r="I218" s="33"/>
      <c r="J218" s="33"/>
      <c r="K218" s="33"/>
      <c r="L218" s="34"/>
      <c r="M218" s="34"/>
      <c r="N218" s="34"/>
      <c r="O218" s="34"/>
      <c r="P218" s="33"/>
      <c r="Q218" s="35"/>
      <c r="R218" s="33"/>
      <c r="S218" s="33"/>
      <c r="T218" s="33"/>
      <c r="U218" s="33"/>
      <c r="V218" s="33"/>
      <c r="W218" s="33"/>
    </row>
    <row r="219" customFormat="false" ht="15" hidden="false" customHeight="false" outlineLevel="0" collapsed="false">
      <c r="A219" s="33"/>
      <c r="B219" s="33"/>
      <c r="C219" s="33"/>
      <c r="D219" s="33"/>
      <c r="E219" s="33"/>
      <c r="F219" s="33"/>
      <c r="G219" s="33"/>
      <c r="H219" s="33"/>
      <c r="I219" s="33"/>
      <c r="J219" s="33"/>
      <c r="K219" s="33"/>
      <c r="L219" s="34"/>
      <c r="M219" s="34"/>
      <c r="N219" s="34"/>
      <c r="O219" s="34"/>
      <c r="P219" s="33"/>
      <c r="Q219" s="35"/>
      <c r="R219" s="33"/>
      <c r="S219" s="33"/>
      <c r="T219" s="33"/>
      <c r="U219" s="33"/>
      <c r="V219" s="33"/>
      <c r="W219" s="33"/>
    </row>
    <row r="220" customFormat="false" ht="15" hidden="false" customHeight="false" outlineLevel="0" collapsed="false">
      <c r="A220" s="33"/>
      <c r="B220" s="33"/>
      <c r="C220" s="33"/>
      <c r="D220" s="33"/>
      <c r="E220" s="33"/>
      <c r="F220" s="33"/>
      <c r="G220" s="33"/>
      <c r="H220" s="33"/>
      <c r="I220" s="33"/>
      <c r="J220" s="33"/>
      <c r="K220" s="33"/>
      <c r="L220" s="34"/>
      <c r="M220" s="34"/>
      <c r="N220" s="34"/>
      <c r="O220" s="34"/>
      <c r="P220" s="33"/>
      <c r="Q220" s="35"/>
      <c r="R220" s="33"/>
      <c r="S220" s="33"/>
      <c r="T220" s="33"/>
      <c r="U220" s="33"/>
      <c r="V220" s="33"/>
      <c r="W220" s="33"/>
    </row>
    <row r="221" customFormat="false" ht="15" hidden="false" customHeight="false" outlineLevel="0" collapsed="false">
      <c r="A221" s="33"/>
      <c r="B221" s="33"/>
      <c r="C221" s="33"/>
      <c r="D221" s="33"/>
      <c r="E221" s="33"/>
      <c r="F221" s="33"/>
      <c r="G221" s="33"/>
      <c r="H221" s="33"/>
      <c r="I221" s="33"/>
      <c r="J221" s="33"/>
      <c r="K221" s="33"/>
      <c r="L221" s="34"/>
      <c r="M221" s="34"/>
      <c r="N221" s="34"/>
      <c r="O221" s="34"/>
      <c r="P221" s="33"/>
      <c r="Q221" s="35"/>
      <c r="R221" s="33"/>
      <c r="S221" s="33"/>
      <c r="T221" s="33"/>
      <c r="U221" s="33"/>
      <c r="V221" s="33"/>
      <c r="W221" s="33"/>
    </row>
    <row r="222" customFormat="false" ht="15" hidden="false" customHeight="false" outlineLevel="0" collapsed="false">
      <c r="A222" s="33"/>
      <c r="B222" s="33"/>
      <c r="C222" s="33"/>
      <c r="D222" s="33"/>
      <c r="E222" s="33"/>
      <c r="F222" s="33"/>
      <c r="G222" s="33"/>
      <c r="H222" s="33"/>
      <c r="I222" s="33"/>
      <c r="J222" s="33"/>
      <c r="K222" s="33"/>
      <c r="L222" s="34"/>
      <c r="M222" s="34"/>
      <c r="N222" s="34"/>
      <c r="O222" s="34"/>
      <c r="P222" s="33"/>
      <c r="Q222" s="35"/>
      <c r="R222" s="33"/>
      <c r="S222" s="33"/>
      <c r="T222" s="33"/>
      <c r="U222" s="33"/>
      <c r="V222" s="33"/>
      <c r="W222" s="33"/>
    </row>
    <row r="223" customFormat="false" ht="15" hidden="false" customHeight="false" outlineLevel="0" collapsed="false">
      <c r="A223" s="33"/>
      <c r="B223" s="33"/>
      <c r="C223" s="33"/>
      <c r="D223" s="33"/>
      <c r="E223" s="33"/>
      <c r="F223" s="33"/>
      <c r="G223" s="33"/>
      <c r="H223" s="33"/>
      <c r="I223" s="33"/>
      <c r="J223" s="33"/>
      <c r="K223" s="33"/>
      <c r="L223" s="34"/>
      <c r="M223" s="34"/>
      <c r="N223" s="34"/>
      <c r="O223" s="34"/>
      <c r="P223" s="33"/>
      <c r="Q223" s="35"/>
      <c r="R223" s="33"/>
      <c r="S223" s="33"/>
      <c r="T223" s="33"/>
      <c r="U223" s="33"/>
      <c r="V223" s="33"/>
      <c r="W223" s="33"/>
    </row>
    <row r="224" customFormat="false" ht="15" hidden="false" customHeight="false" outlineLevel="0" collapsed="false">
      <c r="A224" s="33"/>
      <c r="B224" s="33"/>
      <c r="C224" s="33"/>
      <c r="D224" s="33"/>
      <c r="E224" s="33"/>
      <c r="F224" s="33"/>
      <c r="G224" s="33"/>
      <c r="H224" s="33"/>
      <c r="I224" s="33"/>
      <c r="J224" s="33"/>
      <c r="K224" s="33"/>
      <c r="L224" s="34"/>
      <c r="M224" s="34"/>
      <c r="N224" s="34"/>
      <c r="O224" s="34"/>
      <c r="P224" s="33"/>
      <c r="Q224" s="35"/>
      <c r="R224" s="33"/>
      <c r="S224" s="33"/>
      <c r="T224" s="33"/>
      <c r="U224" s="33"/>
      <c r="V224" s="33"/>
      <c r="W224" s="33"/>
    </row>
    <row r="225" customFormat="false" ht="15" hidden="false" customHeight="false" outlineLevel="0" collapsed="false">
      <c r="A225" s="33"/>
      <c r="B225" s="33"/>
      <c r="C225" s="33"/>
      <c r="D225" s="33"/>
      <c r="E225" s="33"/>
      <c r="F225" s="33"/>
      <c r="G225" s="33"/>
      <c r="H225" s="33"/>
      <c r="I225" s="33"/>
      <c r="J225" s="33"/>
      <c r="K225" s="33"/>
      <c r="L225" s="34"/>
      <c r="M225" s="34"/>
      <c r="N225" s="34"/>
      <c r="O225" s="34"/>
      <c r="P225" s="33"/>
      <c r="Q225" s="35"/>
      <c r="R225" s="33"/>
      <c r="S225" s="33"/>
      <c r="T225" s="33"/>
      <c r="U225" s="33"/>
      <c r="V225" s="33"/>
      <c r="W225" s="33"/>
    </row>
    <row r="226" customFormat="false" ht="15" hidden="false" customHeight="false" outlineLevel="0" collapsed="false">
      <c r="A226" s="33"/>
      <c r="B226" s="33"/>
      <c r="C226" s="33"/>
      <c r="D226" s="33"/>
      <c r="E226" s="33"/>
      <c r="F226" s="33"/>
      <c r="G226" s="33"/>
      <c r="H226" s="33"/>
      <c r="I226" s="33"/>
      <c r="J226" s="33"/>
      <c r="K226" s="33"/>
      <c r="L226" s="34"/>
      <c r="M226" s="34"/>
      <c r="N226" s="34"/>
      <c r="O226" s="34"/>
      <c r="P226" s="33"/>
      <c r="Q226" s="35"/>
      <c r="R226" s="33"/>
      <c r="S226" s="33"/>
      <c r="T226" s="33"/>
      <c r="U226" s="33"/>
      <c r="V226" s="33"/>
      <c r="W226" s="33"/>
    </row>
    <row r="227" customFormat="false" ht="15" hidden="false" customHeight="false" outlineLevel="0" collapsed="false">
      <c r="A227" s="33"/>
      <c r="B227" s="33"/>
      <c r="C227" s="33"/>
      <c r="D227" s="33"/>
      <c r="E227" s="33"/>
      <c r="F227" s="33"/>
      <c r="G227" s="33"/>
      <c r="H227" s="33"/>
      <c r="I227" s="33"/>
      <c r="J227" s="33"/>
      <c r="K227" s="33"/>
      <c r="L227" s="34"/>
      <c r="M227" s="34"/>
      <c r="N227" s="34"/>
      <c r="O227" s="34"/>
      <c r="P227" s="33"/>
      <c r="Q227" s="35"/>
      <c r="R227" s="33"/>
      <c r="S227" s="33"/>
      <c r="T227" s="33"/>
      <c r="U227" s="33"/>
      <c r="V227" s="33"/>
      <c r="W227" s="33"/>
    </row>
    <row r="228" customFormat="false" ht="15" hidden="false" customHeight="false" outlineLevel="0" collapsed="false">
      <c r="A228" s="33"/>
      <c r="B228" s="33"/>
      <c r="C228" s="33"/>
      <c r="D228" s="33"/>
      <c r="E228" s="33"/>
      <c r="F228" s="33"/>
      <c r="G228" s="33"/>
      <c r="H228" s="33"/>
      <c r="I228" s="33"/>
      <c r="J228" s="33"/>
      <c r="K228" s="33"/>
      <c r="L228" s="34"/>
      <c r="M228" s="34"/>
      <c r="N228" s="34"/>
      <c r="O228" s="34"/>
      <c r="P228" s="33"/>
      <c r="Q228" s="35"/>
      <c r="R228" s="33"/>
      <c r="S228" s="33"/>
      <c r="T228" s="33"/>
      <c r="U228" s="33"/>
      <c r="V228" s="33"/>
      <c r="W228" s="33"/>
    </row>
    <row r="229" customFormat="false" ht="15" hidden="false" customHeight="false" outlineLevel="0" collapsed="false">
      <c r="A229" s="33"/>
      <c r="B229" s="33"/>
      <c r="C229" s="33"/>
      <c r="D229" s="33"/>
      <c r="E229" s="33"/>
      <c r="F229" s="33"/>
      <c r="G229" s="33"/>
      <c r="H229" s="33"/>
      <c r="I229" s="33"/>
      <c r="J229" s="33"/>
      <c r="K229" s="33"/>
      <c r="L229" s="34"/>
      <c r="M229" s="34"/>
      <c r="N229" s="34"/>
      <c r="O229" s="34"/>
      <c r="P229" s="33"/>
      <c r="Q229" s="35"/>
      <c r="R229" s="33"/>
      <c r="S229" s="33"/>
      <c r="T229" s="33"/>
      <c r="U229" s="33"/>
      <c r="V229" s="33"/>
      <c r="W229" s="33"/>
    </row>
    <row r="230" customFormat="false" ht="15" hidden="false" customHeight="false" outlineLevel="0" collapsed="false">
      <c r="A230" s="33"/>
      <c r="B230" s="33"/>
      <c r="C230" s="33"/>
      <c r="D230" s="33"/>
      <c r="E230" s="33"/>
      <c r="F230" s="33"/>
      <c r="G230" s="33"/>
      <c r="H230" s="33"/>
      <c r="I230" s="33"/>
      <c r="J230" s="33"/>
      <c r="K230" s="33"/>
      <c r="L230" s="34"/>
      <c r="M230" s="34"/>
      <c r="N230" s="34"/>
      <c r="O230" s="34"/>
      <c r="P230" s="33"/>
      <c r="Q230" s="35"/>
      <c r="R230" s="33"/>
      <c r="S230" s="33"/>
      <c r="T230" s="33"/>
      <c r="U230" s="33"/>
      <c r="V230" s="33"/>
      <c r="W230" s="33"/>
    </row>
    <row r="231" customFormat="false" ht="15" hidden="false" customHeight="false" outlineLevel="0" collapsed="false">
      <c r="A231" s="33"/>
      <c r="B231" s="33"/>
      <c r="C231" s="33"/>
      <c r="D231" s="33"/>
      <c r="E231" s="33"/>
      <c r="F231" s="33"/>
      <c r="G231" s="33"/>
      <c r="H231" s="33"/>
      <c r="I231" s="33"/>
      <c r="J231" s="33"/>
      <c r="K231" s="33"/>
      <c r="L231" s="34"/>
      <c r="M231" s="34"/>
      <c r="N231" s="34"/>
      <c r="O231" s="34"/>
      <c r="P231" s="33"/>
      <c r="Q231" s="35"/>
      <c r="R231" s="33"/>
      <c r="S231" s="33"/>
      <c r="T231" s="33"/>
      <c r="U231" s="33"/>
      <c r="V231" s="33"/>
      <c r="W231" s="33"/>
    </row>
    <row r="232" customFormat="false" ht="15" hidden="false" customHeight="false" outlineLevel="0" collapsed="false">
      <c r="A232" s="33"/>
      <c r="B232" s="33"/>
      <c r="C232" s="33"/>
      <c r="D232" s="33"/>
      <c r="E232" s="33"/>
      <c r="F232" s="33"/>
      <c r="G232" s="33"/>
      <c r="H232" s="33"/>
      <c r="I232" s="33"/>
      <c r="J232" s="33"/>
      <c r="K232" s="33"/>
      <c r="L232" s="34"/>
      <c r="M232" s="34"/>
      <c r="N232" s="34"/>
      <c r="O232" s="34"/>
      <c r="P232" s="33"/>
      <c r="Q232" s="35"/>
      <c r="R232" s="33"/>
      <c r="S232" s="33"/>
      <c r="T232" s="33"/>
      <c r="U232" s="33"/>
      <c r="V232" s="33"/>
      <c r="W232" s="33"/>
    </row>
    <row r="233" customFormat="false" ht="15" hidden="false" customHeight="false" outlineLevel="0" collapsed="false">
      <c r="A233" s="33"/>
      <c r="B233" s="33"/>
      <c r="C233" s="33"/>
      <c r="D233" s="33"/>
      <c r="E233" s="33"/>
      <c r="F233" s="33"/>
      <c r="G233" s="33"/>
      <c r="H233" s="33"/>
      <c r="I233" s="33"/>
      <c r="J233" s="33"/>
      <c r="K233" s="33"/>
      <c r="L233" s="34"/>
      <c r="M233" s="34"/>
      <c r="N233" s="34"/>
      <c r="O233" s="34"/>
      <c r="P233" s="33"/>
      <c r="Q233" s="35"/>
      <c r="R233" s="33"/>
      <c r="S233" s="33"/>
      <c r="T233" s="33"/>
      <c r="U233" s="33"/>
      <c r="V233" s="33"/>
      <c r="W233" s="33"/>
    </row>
    <row r="234" customFormat="false" ht="15" hidden="false" customHeight="false" outlineLevel="0" collapsed="false">
      <c r="A234" s="33"/>
      <c r="B234" s="33"/>
      <c r="C234" s="33"/>
      <c r="D234" s="33"/>
      <c r="E234" s="33"/>
      <c r="F234" s="33"/>
      <c r="G234" s="33"/>
      <c r="H234" s="33"/>
      <c r="I234" s="33"/>
      <c r="J234" s="33"/>
      <c r="K234" s="33"/>
      <c r="L234" s="34"/>
      <c r="M234" s="34"/>
      <c r="N234" s="34"/>
      <c r="O234" s="34"/>
      <c r="P234" s="33"/>
      <c r="Q234" s="35"/>
      <c r="R234" s="33"/>
      <c r="S234" s="33"/>
      <c r="T234" s="33"/>
      <c r="U234" s="33"/>
      <c r="V234" s="33"/>
      <c r="W234" s="33"/>
    </row>
    <row r="235" customFormat="false" ht="15" hidden="false" customHeight="false" outlineLevel="0" collapsed="false">
      <c r="A235" s="33"/>
      <c r="B235" s="33"/>
      <c r="C235" s="33"/>
      <c r="D235" s="33"/>
      <c r="E235" s="33"/>
      <c r="F235" s="33"/>
      <c r="G235" s="33"/>
      <c r="H235" s="33"/>
      <c r="I235" s="33"/>
      <c r="J235" s="33"/>
      <c r="K235" s="33"/>
      <c r="L235" s="34"/>
      <c r="M235" s="34"/>
      <c r="N235" s="34"/>
      <c r="O235" s="34"/>
      <c r="P235" s="33"/>
      <c r="Q235" s="35"/>
      <c r="R235" s="33"/>
      <c r="S235" s="33"/>
      <c r="T235" s="33"/>
      <c r="U235" s="33"/>
      <c r="V235" s="33"/>
      <c r="W235" s="33"/>
    </row>
    <row r="236" customFormat="false" ht="15" hidden="false" customHeight="false" outlineLevel="0" collapsed="false">
      <c r="A236" s="33"/>
      <c r="B236" s="33"/>
      <c r="C236" s="33"/>
      <c r="D236" s="33"/>
      <c r="E236" s="33"/>
      <c r="F236" s="33"/>
      <c r="G236" s="33"/>
      <c r="H236" s="33"/>
      <c r="I236" s="33"/>
      <c r="J236" s="33"/>
      <c r="K236" s="33"/>
      <c r="L236" s="34"/>
      <c r="M236" s="34"/>
      <c r="N236" s="34"/>
      <c r="O236" s="34"/>
      <c r="P236" s="33"/>
      <c r="Q236" s="35"/>
      <c r="R236" s="33"/>
      <c r="S236" s="33"/>
      <c r="T236" s="33"/>
      <c r="U236" s="33"/>
      <c r="V236" s="33"/>
      <c r="W236" s="33"/>
    </row>
    <row r="237" customFormat="false" ht="15" hidden="false" customHeight="false" outlineLevel="0" collapsed="false">
      <c r="A237" s="33"/>
      <c r="B237" s="33"/>
      <c r="C237" s="33"/>
      <c r="D237" s="33"/>
      <c r="E237" s="33"/>
      <c r="F237" s="33"/>
      <c r="G237" s="33"/>
      <c r="H237" s="33"/>
      <c r="I237" s="33"/>
      <c r="J237" s="33"/>
      <c r="K237" s="33"/>
      <c r="L237" s="34"/>
      <c r="M237" s="34"/>
      <c r="N237" s="34"/>
      <c r="O237" s="34"/>
      <c r="P237" s="33"/>
      <c r="Q237" s="35"/>
      <c r="R237" s="33"/>
      <c r="S237" s="33"/>
      <c r="T237" s="33"/>
      <c r="U237" s="33"/>
      <c r="V237" s="33"/>
      <c r="W237" s="33"/>
    </row>
    <row r="238" customFormat="false" ht="15" hidden="false" customHeight="false" outlineLevel="0" collapsed="false">
      <c r="A238" s="33"/>
      <c r="B238" s="33"/>
      <c r="C238" s="33"/>
      <c r="D238" s="33"/>
      <c r="E238" s="33"/>
      <c r="F238" s="33"/>
      <c r="G238" s="33"/>
      <c r="H238" s="33"/>
      <c r="I238" s="33"/>
      <c r="J238" s="33"/>
      <c r="K238" s="33"/>
      <c r="L238" s="34"/>
      <c r="M238" s="34"/>
      <c r="N238" s="34"/>
      <c r="O238" s="34"/>
      <c r="P238" s="33"/>
      <c r="Q238" s="35"/>
      <c r="R238" s="33"/>
      <c r="S238" s="33"/>
      <c r="T238" s="33"/>
      <c r="U238" s="33"/>
      <c r="V238" s="33"/>
      <c r="W238" s="33"/>
    </row>
    <row r="239" customFormat="false" ht="15" hidden="false" customHeight="false" outlineLevel="0" collapsed="false">
      <c r="A239" s="33"/>
      <c r="B239" s="33"/>
      <c r="C239" s="33"/>
      <c r="D239" s="33"/>
      <c r="E239" s="33"/>
      <c r="F239" s="33"/>
      <c r="G239" s="33"/>
      <c r="H239" s="33"/>
      <c r="I239" s="33"/>
      <c r="J239" s="33"/>
      <c r="K239" s="33"/>
      <c r="L239" s="34"/>
      <c r="M239" s="34"/>
      <c r="N239" s="34"/>
      <c r="O239" s="34"/>
      <c r="P239" s="33"/>
      <c r="Q239" s="35"/>
      <c r="R239" s="33"/>
      <c r="S239" s="33"/>
      <c r="T239" s="33"/>
      <c r="U239" s="33"/>
      <c r="V239" s="33"/>
      <c r="W239" s="33"/>
    </row>
    <row r="240" customFormat="false" ht="15" hidden="false" customHeight="false" outlineLevel="0" collapsed="false">
      <c r="A240" s="33"/>
      <c r="B240" s="33"/>
      <c r="C240" s="33"/>
      <c r="D240" s="33"/>
      <c r="E240" s="33"/>
      <c r="F240" s="33"/>
      <c r="G240" s="33"/>
      <c r="H240" s="33"/>
      <c r="I240" s="33"/>
      <c r="J240" s="33"/>
      <c r="K240" s="33"/>
      <c r="L240" s="34"/>
      <c r="M240" s="34"/>
      <c r="N240" s="34"/>
      <c r="O240" s="34"/>
      <c r="P240" s="33"/>
      <c r="Q240" s="35"/>
      <c r="R240" s="33"/>
      <c r="S240" s="33"/>
      <c r="T240" s="33"/>
      <c r="U240" s="33"/>
      <c r="V240" s="33"/>
      <c r="W240" s="33"/>
    </row>
    <row r="241" customFormat="false" ht="15" hidden="false" customHeight="false" outlineLevel="0" collapsed="false">
      <c r="A241" s="33"/>
      <c r="B241" s="33"/>
      <c r="C241" s="33"/>
      <c r="D241" s="33"/>
      <c r="E241" s="33"/>
      <c r="F241" s="33"/>
      <c r="G241" s="33"/>
      <c r="H241" s="33"/>
      <c r="I241" s="33"/>
      <c r="J241" s="33"/>
      <c r="K241" s="33"/>
      <c r="L241" s="34"/>
      <c r="M241" s="34"/>
      <c r="N241" s="34"/>
      <c r="O241" s="34"/>
      <c r="P241" s="33"/>
      <c r="Q241" s="35"/>
      <c r="R241" s="33"/>
      <c r="S241" s="33"/>
      <c r="T241" s="33"/>
      <c r="U241" s="33"/>
      <c r="V241" s="33"/>
      <c r="W241" s="33"/>
    </row>
    <row r="242" customFormat="false" ht="15" hidden="false" customHeight="false" outlineLevel="0" collapsed="false">
      <c r="A242" s="33"/>
      <c r="B242" s="33"/>
      <c r="C242" s="33"/>
      <c r="D242" s="33"/>
      <c r="E242" s="33"/>
      <c r="F242" s="33"/>
      <c r="G242" s="33"/>
      <c r="H242" s="33"/>
      <c r="I242" s="33"/>
      <c r="J242" s="33"/>
      <c r="K242" s="33"/>
      <c r="L242" s="34"/>
      <c r="M242" s="34"/>
      <c r="N242" s="34"/>
      <c r="O242" s="34"/>
      <c r="P242" s="33"/>
      <c r="Q242" s="35"/>
      <c r="R242" s="33"/>
      <c r="S242" s="33"/>
      <c r="T242" s="33"/>
      <c r="U242" s="33"/>
      <c r="V242" s="33"/>
      <c r="W242" s="33"/>
    </row>
    <row r="243" customFormat="false" ht="15" hidden="false" customHeight="false" outlineLevel="0" collapsed="false">
      <c r="A243" s="33"/>
      <c r="B243" s="33"/>
      <c r="C243" s="33"/>
      <c r="D243" s="33"/>
      <c r="E243" s="33"/>
      <c r="F243" s="33"/>
      <c r="G243" s="33"/>
      <c r="H243" s="33"/>
      <c r="I243" s="33"/>
      <c r="J243" s="33"/>
      <c r="K243" s="33"/>
      <c r="L243" s="34"/>
      <c r="M243" s="34"/>
      <c r="N243" s="34"/>
      <c r="O243" s="34"/>
      <c r="P243" s="33"/>
      <c r="Q243" s="35"/>
      <c r="R243" s="33"/>
      <c r="S243" s="33"/>
      <c r="T243" s="33"/>
      <c r="U243" s="33"/>
      <c r="V243" s="33"/>
      <c r="W243" s="33"/>
    </row>
    <row r="244" customFormat="false" ht="15" hidden="false" customHeight="false" outlineLevel="0" collapsed="false">
      <c r="A244" s="33"/>
      <c r="B244" s="33"/>
      <c r="C244" s="33"/>
      <c r="D244" s="33"/>
      <c r="E244" s="33"/>
      <c r="F244" s="33"/>
      <c r="G244" s="33"/>
      <c r="H244" s="33"/>
      <c r="I244" s="33"/>
      <c r="J244" s="33"/>
      <c r="K244" s="33"/>
      <c r="L244" s="34"/>
      <c r="M244" s="34"/>
      <c r="N244" s="34"/>
      <c r="O244" s="34"/>
      <c r="P244" s="33"/>
      <c r="Q244" s="35"/>
      <c r="R244" s="33"/>
      <c r="S244" s="33"/>
      <c r="T244" s="33"/>
      <c r="U244" s="33"/>
      <c r="V244" s="33"/>
      <c r="W244" s="33"/>
    </row>
    <row r="245" customFormat="false" ht="15" hidden="false" customHeight="false" outlineLevel="0" collapsed="false">
      <c r="A245" s="33"/>
      <c r="B245" s="33"/>
      <c r="C245" s="33"/>
      <c r="D245" s="33"/>
      <c r="E245" s="33"/>
      <c r="F245" s="33"/>
      <c r="G245" s="33"/>
      <c r="H245" s="33"/>
      <c r="I245" s="33"/>
      <c r="J245" s="33"/>
      <c r="K245" s="33"/>
      <c r="L245" s="34"/>
      <c r="M245" s="34"/>
      <c r="N245" s="34"/>
      <c r="O245" s="34"/>
      <c r="P245" s="33"/>
      <c r="Q245" s="35"/>
      <c r="R245" s="33"/>
      <c r="S245" s="33"/>
      <c r="T245" s="33"/>
      <c r="U245" s="33"/>
      <c r="V245" s="33"/>
      <c r="W245" s="33"/>
    </row>
    <row r="246" customFormat="false" ht="15" hidden="false" customHeight="false" outlineLevel="0" collapsed="false">
      <c r="A246" s="33"/>
      <c r="B246" s="33"/>
      <c r="C246" s="33"/>
      <c r="D246" s="33"/>
      <c r="E246" s="33"/>
      <c r="F246" s="33"/>
      <c r="G246" s="33"/>
      <c r="H246" s="33"/>
      <c r="I246" s="33"/>
      <c r="J246" s="33"/>
      <c r="K246" s="33"/>
      <c r="L246" s="34"/>
      <c r="M246" s="34"/>
      <c r="N246" s="34"/>
      <c r="O246" s="34"/>
      <c r="P246" s="33"/>
      <c r="Q246" s="35"/>
      <c r="R246" s="33"/>
      <c r="S246" s="33"/>
      <c r="T246" s="33"/>
      <c r="U246" s="33"/>
      <c r="V246" s="33"/>
      <c r="W246" s="33"/>
    </row>
    <row r="247" customFormat="false" ht="15" hidden="false" customHeight="false" outlineLevel="0" collapsed="false">
      <c r="A247" s="33"/>
      <c r="B247" s="33"/>
      <c r="C247" s="33"/>
      <c r="D247" s="33"/>
      <c r="E247" s="33"/>
      <c r="F247" s="33"/>
      <c r="G247" s="33"/>
      <c r="H247" s="33"/>
      <c r="I247" s="33"/>
      <c r="J247" s="33"/>
      <c r="K247" s="33"/>
      <c r="L247" s="34"/>
      <c r="M247" s="34"/>
      <c r="N247" s="34"/>
      <c r="O247" s="34"/>
      <c r="P247" s="33"/>
      <c r="Q247" s="35"/>
      <c r="R247" s="33"/>
      <c r="S247" s="33"/>
      <c r="T247" s="33"/>
      <c r="U247" s="33"/>
      <c r="V247" s="33"/>
      <c r="W247" s="33"/>
    </row>
    <row r="248" customFormat="false" ht="15" hidden="false" customHeight="false" outlineLevel="0" collapsed="false">
      <c r="A248" s="33"/>
      <c r="B248" s="33"/>
      <c r="C248" s="33"/>
      <c r="D248" s="33"/>
      <c r="E248" s="33"/>
      <c r="F248" s="33"/>
      <c r="G248" s="33"/>
      <c r="H248" s="33"/>
      <c r="I248" s="33"/>
      <c r="J248" s="33"/>
      <c r="K248" s="33"/>
      <c r="L248" s="34"/>
      <c r="M248" s="34"/>
      <c r="N248" s="34"/>
      <c r="O248" s="34"/>
      <c r="P248" s="33"/>
      <c r="Q248" s="35"/>
      <c r="R248" s="33"/>
      <c r="S248" s="33"/>
      <c r="T248" s="33"/>
      <c r="U248" s="33"/>
      <c r="V248" s="33"/>
      <c r="W248" s="33"/>
    </row>
    <row r="249" customFormat="false" ht="15" hidden="false" customHeight="false" outlineLevel="0" collapsed="false">
      <c r="A249" s="33"/>
      <c r="B249" s="33"/>
      <c r="C249" s="33"/>
      <c r="D249" s="33"/>
      <c r="E249" s="33"/>
      <c r="F249" s="33"/>
      <c r="G249" s="33"/>
      <c r="H249" s="33"/>
      <c r="I249" s="33"/>
      <c r="J249" s="33"/>
      <c r="K249" s="33"/>
      <c r="L249" s="34"/>
      <c r="M249" s="34"/>
      <c r="N249" s="34"/>
      <c r="O249" s="34"/>
      <c r="P249" s="33"/>
      <c r="Q249" s="35"/>
      <c r="R249" s="33"/>
      <c r="S249" s="33"/>
      <c r="T249" s="33"/>
      <c r="U249" s="33"/>
      <c r="V249" s="33"/>
      <c r="W249" s="33"/>
    </row>
    <row r="250" customFormat="false" ht="15" hidden="false" customHeight="false" outlineLevel="0" collapsed="false">
      <c r="A250" s="33"/>
      <c r="B250" s="33"/>
      <c r="C250" s="33"/>
      <c r="D250" s="33"/>
      <c r="E250" s="33"/>
      <c r="F250" s="33"/>
      <c r="G250" s="33"/>
      <c r="H250" s="33"/>
      <c r="I250" s="33"/>
      <c r="J250" s="33"/>
      <c r="K250" s="33"/>
      <c r="L250" s="34"/>
      <c r="M250" s="34"/>
      <c r="N250" s="34"/>
      <c r="O250" s="34"/>
      <c r="P250" s="33"/>
      <c r="Q250" s="35"/>
      <c r="R250" s="33"/>
      <c r="S250" s="33"/>
      <c r="T250" s="33"/>
      <c r="U250" s="33"/>
      <c r="V250" s="33"/>
      <c r="W250" s="33"/>
    </row>
    <row r="251" customFormat="false" ht="15" hidden="false" customHeight="false" outlineLevel="0" collapsed="false">
      <c r="A251" s="33"/>
      <c r="B251" s="33"/>
      <c r="C251" s="33"/>
      <c r="D251" s="33"/>
      <c r="E251" s="33"/>
      <c r="F251" s="33"/>
      <c r="G251" s="33"/>
      <c r="H251" s="33"/>
      <c r="I251" s="33"/>
      <c r="J251" s="33"/>
      <c r="K251" s="33"/>
      <c r="L251" s="34"/>
      <c r="M251" s="34"/>
      <c r="N251" s="34"/>
      <c r="O251" s="34"/>
      <c r="P251" s="33"/>
      <c r="Q251" s="35"/>
      <c r="R251" s="33"/>
      <c r="S251" s="33"/>
      <c r="T251" s="33"/>
      <c r="U251" s="33"/>
      <c r="V251" s="33"/>
      <c r="W251" s="33"/>
    </row>
    <row r="252" customFormat="false" ht="15" hidden="false" customHeight="false" outlineLevel="0" collapsed="false">
      <c r="A252" s="33"/>
      <c r="B252" s="33"/>
      <c r="C252" s="33"/>
      <c r="D252" s="33"/>
      <c r="E252" s="33"/>
      <c r="F252" s="33"/>
      <c r="G252" s="33"/>
      <c r="H252" s="33"/>
      <c r="I252" s="33"/>
      <c r="J252" s="33"/>
      <c r="K252" s="33"/>
      <c r="L252" s="34"/>
      <c r="M252" s="34"/>
      <c r="N252" s="34"/>
      <c r="O252" s="34"/>
      <c r="P252" s="33"/>
      <c r="Q252" s="35"/>
      <c r="R252" s="33"/>
      <c r="S252" s="33"/>
      <c r="T252" s="33"/>
      <c r="U252" s="33"/>
      <c r="V252" s="33"/>
      <c r="W252" s="33"/>
    </row>
    <row r="253" customFormat="false" ht="15" hidden="false" customHeight="false" outlineLevel="0" collapsed="false">
      <c r="A253" s="33"/>
      <c r="B253" s="33"/>
      <c r="C253" s="33"/>
      <c r="D253" s="33"/>
      <c r="E253" s="33"/>
      <c r="F253" s="33"/>
      <c r="G253" s="33"/>
      <c r="H253" s="33"/>
      <c r="I253" s="33"/>
      <c r="J253" s="33"/>
      <c r="K253" s="33"/>
      <c r="L253" s="34"/>
      <c r="M253" s="34"/>
      <c r="N253" s="34"/>
      <c r="O253" s="34"/>
      <c r="P253" s="33"/>
      <c r="Q253" s="35"/>
      <c r="R253" s="33"/>
      <c r="S253" s="33"/>
      <c r="T253" s="33"/>
      <c r="U253" s="33"/>
      <c r="V253" s="33"/>
      <c r="W253" s="33"/>
    </row>
    <row r="254" customFormat="false" ht="15" hidden="false" customHeight="false" outlineLevel="0" collapsed="false">
      <c r="A254" s="33"/>
      <c r="B254" s="33"/>
      <c r="C254" s="33"/>
      <c r="D254" s="33"/>
      <c r="E254" s="33"/>
      <c r="F254" s="33"/>
      <c r="G254" s="33"/>
      <c r="H254" s="33"/>
      <c r="I254" s="33"/>
      <c r="J254" s="33"/>
      <c r="K254" s="33"/>
      <c r="L254" s="34"/>
      <c r="M254" s="34"/>
      <c r="N254" s="34"/>
      <c r="O254" s="34"/>
      <c r="P254" s="33"/>
      <c r="Q254" s="35"/>
      <c r="R254" s="33"/>
      <c r="S254" s="33"/>
      <c r="T254" s="33"/>
      <c r="U254" s="33"/>
      <c r="V254" s="33"/>
      <c r="W254" s="33"/>
    </row>
    <row r="255" customFormat="false" ht="15" hidden="false" customHeight="false" outlineLevel="0" collapsed="false">
      <c r="A255" s="33"/>
      <c r="B255" s="33"/>
      <c r="C255" s="33"/>
      <c r="D255" s="33"/>
      <c r="E255" s="33"/>
      <c r="F255" s="33"/>
      <c r="G255" s="33"/>
      <c r="H255" s="33"/>
      <c r="I255" s="33"/>
      <c r="J255" s="33"/>
      <c r="K255" s="33"/>
      <c r="L255" s="34"/>
      <c r="M255" s="34"/>
      <c r="N255" s="34"/>
      <c r="O255" s="34"/>
      <c r="P255" s="33"/>
      <c r="Q255" s="35"/>
      <c r="R255" s="33"/>
      <c r="S255" s="33"/>
      <c r="T255" s="33"/>
      <c r="U255" s="33"/>
      <c r="V255" s="33"/>
      <c r="W255" s="33"/>
    </row>
    <row r="256" customFormat="false" ht="15" hidden="false" customHeight="false" outlineLevel="0" collapsed="false">
      <c r="A256" s="33"/>
      <c r="B256" s="33"/>
      <c r="C256" s="33"/>
      <c r="D256" s="33"/>
      <c r="E256" s="33"/>
      <c r="F256" s="33"/>
      <c r="G256" s="33"/>
      <c r="H256" s="33"/>
      <c r="I256" s="33"/>
      <c r="J256" s="33"/>
      <c r="K256" s="33"/>
      <c r="L256" s="34"/>
      <c r="M256" s="34"/>
      <c r="N256" s="34"/>
      <c r="O256" s="34"/>
      <c r="P256" s="33"/>
      <c r="Q256" s="35"/>
      <c r="R256" s="33"/>
      <c r="S256" s="33"/>
      <c r="T256" s="33"/>
      <c r="U256" s="33"/>
      <c r="V256" s="33"/>
      <c r="W256" s="33"/>
    </row>
    <row r="257" customFormat="false" ht="15" hidden="false" customHeight="false" outlineLevel="0" collapsed="false">
      <c r="A257" s="33"/>
      <c r="B257" s="33"/>
      <c r="C257" s="33"/>
      <c r="D257" s="33"/>
      <c r="E257" s="33"/>
      <c r="F257" s="33"/>
      <c r="G257" s="33"/>
      <c r="H257" s="33"/>
      <c r="I257" s="33"/>
      <c r="J257" s="33"/>
      <c r="K257" s="33"/>
      <c r="L257" s="34"/>
      <c r="M257" s="34"/>
      <c r="N257" s="34"/>
      <c r="O257" s="34"/>
      <c r="P257" s="33"/>
      <c r="Q257" s="35"/>
      <c r="R257" s="33"/>
      <c r="S257" s="33"/>
      <c r="T257" s="33"/>
      <c r="U257" s="33"/>
      <c r="V257" s="33"/>
      <c r="W257" s="33"/>
    </row>
    <row r="258" customFormat="false" ht="15" hidden="false" customHeight="false" outlineLevel="0" collapsed="false">
      <c r="A258" s="33"/>
      <c r="B258" s="33"/>
      <c r="C258" s="33"/>
      <c r="D258" s="33"/>
      <c r="E258" s="33"/>
      <c r="F258" s="33"/>
      <c r="G258" s="33"/>
      <c r="H258" s="33"/>
      <c r="I258" s="33"/>
      <c r="J258" s="33"/>
      <c r="K258" s="33"/>
      <c r="L258" s="34"/>
      <c r="M258" s="34"/>
      <c r="N258" s="34"/>
      <c r="O258" s="34"/>
      <c r="P258" s="33"/>
      <c r="Q258" s="35"/>
      <c r="R258" s="33"/>
      <c r="S258" s="33"/>
      <c r="T258" s="33"/>
      <c r="U258" s="33"/>
      <c r="V258" s="33"/>
      <c r="W258" s="33"/>
    </row>
    <row r="259" customFormat="false" ht="15" hidden="false" customHeight="false" outlineLevel="0" collapsed="false">
      <c r="A259" s="33"/>
      <c r="B259" s="33"/>
      <c r="C259" s="33"/>
      <c r="D259" s="33"/>
      <c r="E259" s="33"/>
      <c r="F259" s="33"/>
      <c r="G259" s="33"/>
      <c r="H259" s="33"/>
      <c r="I259" s="33"/>
      <c r="J259" s="33"/>
      <c r="K259" s="33"/>
      <c r="L259" s="34"/>
      <c r="M259" s="34"/>
      <c r="N259" s="34"/>
      <c r="O259" s="34"/>
      <c r="P259" s="33"/>
      <c r="Q259" s="35"/>
      <c r="R259" s="33"/>
      <c r="S259" s="33"/>
      <c r="T259" s="33"/>
      <c r="U259" s="33"/>
      <c r="V259" s="33"/>
      <c r="W259" s="33"/>
    </row>
    <row r="260" customFormat="false" ht="15" hidden="false" customHeight="false" outlineLevel="0" collapsed="false">
      <c r="A260" s="33"/>
      <c r="B260" s="33"/>
      <c r="C260" s="33"/>
      <c r="D260" s="33"/>
      <c r="E260" s="33"/>
      <c r="F260" s="33"/>
      <c r="G260" s="33"/>
      <c r="H260" s="33"/>
      <c r="I260" s="33"/>
      <c r="J260" s="33"/>
      <c r="K260" s="33"/>
      <c r="L260" s="34"/>
      <c r="M260" s="34"/>
      <c r="N260" s="34"/>
      <c r="O260" s="34"/>
      <c r="P260" s="33"/>
      <c r="Q260" s="35"/>
      <c r="R260" s="33"/>
      <c r="S260" s="33"/>
      <c r="T260" s="33"/>
      <c r="U260" s="33"/>
      <c r="V260" s="33"/>
      <c r="W260" s="33"/>
    </row>
    <row r="261" customFormat="false" ht="15" hidden="false" customHeight="false" outlineLevel="0" collapsed="false">
      <c r="A261" s="33"/>
      <c r="B261" s="33"/>
      <c r="C261" s="33"/>
      <c r="D261" s="33"/>
      <c r="E261" s="33"/>
      <c r="F261" s="33"/>
      <c r="G261" s="33"/>
      <c r="H261" s="33"/>
      <c r="I261" s="33"/>
      <c r="J261" s="33"/>
      <c r="K261" s="33"/>
      <c r="L261" s="34"/>
      <c r="M261" s="34"/>
      <c r="N261" s="34"/>
      <c r="O261" s="34"/>
      <c r="P261" s="33"/>
      <c r="Q261" s="35"/>
      <c r="R261" s="33"/>
      <c r="S261" s="33"/>
      <c r="T261" s="33"/>
      <c r="U261" s="33"/>
      <c r="V261" s="33"/>
      <c r="W261" s="33"/>
    </row>
    <row r="262" customFormat="false" ht="15" hidden="false" customHeight="false" outlineLevel="0" collapsed="false">
      <c r="A262" s="33"/>
      <c r="B262" s="33"/>
      <c r="C262" s="33"/>
      <c r="D262" s="33"/>
      <c r="E262" s="33"/>
      <c r="F262" s="33"/>
      <c r="G262" s="33"/>
      <c r="H262" s="33"/>
      <c r="I262" s="33"/>
      <c r="J262" s="33"/>
      <c r="K262" s="33"/>
      <c r="L262" s="34"/>
      <c r="M262" s="34"/>
      <c r="N262" s="34"/>
      <c r="O262" s="34"/>
      <c r="P262" s="33"/>
      <c r="Q262" s="35"/>
      <c r="R262" s="33"/>
      <c r="S262" s="33"/>
      <c r="T262" s="33"/>
      <c r="U262" s="33"/>
      <c r="V262" s="33"/>
      <c r="W262" s="33"/>
    </row>
    <row r="263" customFormat="false" ht="15" hidden="false" customHeight="false" outlineLevel="0" collapsed="false">
      <c r="A263" s="33"/>
      <c r="B263" s="33"/>
      <c r="C263" s="33"/>
      <c r="D263" s="33"/>
      <c r="E263" s="33"/>
      <c r="F263" s="33"/>
      <c r="G263" s="33"/>
      <c r="H263" s="33"/>
      <c r="I263" s="33"/>
      <c r="J263" s="33"/>
      <c r="K263" s="33"/>
      <c r="L263" s="34"/>
      <c r="M263" s="34"/>
      <c r="N263" s="34"/>
      <c r="O263" s="34"/>
      <c r="P263" s="33"/>
      <c r="Q263" s="35"/>
      <c r="R263" s="33"/>
      <c r="S263" s="33"/>
      <c r="T263" s="33"/>
      <c r="U263" s="33"/>
      <c r="V263" s="33"/>
      <c r="W263" s="33"/>
    </row>
    <row r="264" customFormat="false" ht="15" hidden="false" customHeight="false" outlineLevel="0" collapsed="false">
      <c r="A264" s="33"/>
      <c r="B264" s="33"/>
      <c r="C264" s="33"/>
      <c r="D264" s="33"/>
      <c r="E264" s="33"/>
      <c r="F264" s="33"/>
      <c r="G264" s="33"/>
      <c r="H264" s="33"/>
      <c r="I264" s="33"/>
      <c r="J264" s="33"/>
      <c r="K264" s="33"/>
      <c r="L264" s="34"/>
      <c r="M264" s="34"/>
      <c r="N264" s="34"/>
      <c r="O264" s="34"/>
      <c r="P264" s="33"/>
      <c r="Q264" s="35"/>
      <c r="R264" s="33"/>
      <c r="S264" s="33"/>
      <c r="T264" s="33"/>
      <c r="U264" s="33"/>
      <c r="V264" s="33"/>
      <c r="W264" s="33"/>
    </row>
    <row r="265" customFormat="false" ht="15" hidden="false" customHeight="false" outlineLevel="0" collapsed="false">
      <c r="A265" s="33"/>
      <c r="B265" s="33"/>
      <c r="C265" s="33"/>
      <c r="D265" s="33"/>
      <c r="E265" s="33"/>
      <c r="F265" s="33"/>
      <c r="G265" s="33"/>
      <c r="H265" s="33"/>
      <c r="I265" s="33"/>
      <c r="J265" s="33"/>
      <c r="K265" s="33"/>
      <c r="L265" s="34"/>
      <c r="M265" s="34"/>
      <c r="N265" s="34"/>
      <c r="O265" s="34"/>
      <c r="P265" s="33"/>
      <c r="Q265" s="35"/>
      <c r="R265" s="33"/>
      <c r="S265" s="33"/>
      <c r="T265" s="33"/>
      <c r="U265" s="33"/>
      <c r="V265" s="33"/>
      <c r="W265" s="33"/>
    </row>
    <row r="266" customFormat="false" ht="15" hidden="false" customHeight="false" outlineLevel="0" collapsed="false">
      <c r="A266" s="33"/>
      <c r="B266" s="33"/>
      <c r="C266" s="33"/>
      <c r="D266" s="33"/>
      <c r="E266" s="33"/>
      <c r="F266" s="33"/>
      <c r="G266" s="33"/>
      <c r="H266" s="33"/>
      <c r="I266" s="33"/>
      <c r="J266" s="33"/>
      <c r="K266" s="33"/>
      <c r="L266" s="34"/>
      <c r="M266" s="34"/>
      <c r="N266" s="34"/>
      <c r="O266" s="34"/>
      <c r="P266" s="33"/>
      <c r="Q266" s="35"/>
      <c r="R266" s="33"/>
      <c r="S266" s="33"/>
      <c r="T266" s="33"/>
      <c r="U266" s="33"/>
      <c r="V266" s="33"/>
      <c r="W266" s="33"/>
    </row>
    <row r="267" customFormat="false" ht="15" hidden="false" customHeight="false" outlineLevel="0" collapsed="false">
      <c r="A267" s="33"/>
      <c r="B267" s="33"/>
      <c r="C267" s="33"/>
      <c r="D267" s="33"/>
      <c r="E267" s="33"/>
      <c r="F267" s="33"/>
      <c r="G267" s="33"/>
      <c r="H267" s="33"/>
      <c r="I267" s="33"/>
      <c r="J267" s="33"/>
      <c r="K267" s="33"/>
      <c r="L267" s="34"/>
      <c r="M267" s="34"/>
      <c r="N267" s="34"/>
      <c r="O267" s="34"/>
      <c r="P267" s="33"/>
      <c r="Q267" s="35"/>
      <c r="R267" s="33"/>
      <c r="S267" s="33"/>
      <c r="T267" s="33"/>
      <c r="U267" s="33"/>
      <c r="V267" s="33"/>
      <c r="W267" s="33"/>
    </row>
    <row r="268" customFormat="false" ht="15" hidden="false" customHeight="false" outlineLevel="0" collapsed="false">
      <c r="A268" s="33"/>
      <c r="B268" s="33"/>
      <c r="C268" s="33"/>
      <c r="D268" s="33"/>
      <c r="E268" s="33"/>
      <c r="F268" s="33"/>
      <c r="G268" s="33"/>
      <c r="H268" s="33"/>
      <c r="I268" s="33"/>
      <c r="J268" s="33"/>
      <c r="K268" s="33"/>
      <c r="L268" s="34"/>
      <c r="M268" s="34"/>
      <c r="N268" s="34"/>
      <c r="O268" s="34"/>
      <c r="P268" s="33"/>
      <c r="Q268" s="35"/>
      <c r="R268" s="33"/>
      <c r="S268" s="33"/>
      <c r="T268" s="33"/>
      <c r="U268" s="33"/>
      <c r="V268" s="33"/>
      <c r="W268" s="33"/>
    </row>
    <row r="269" customFormat="false" ht="15" hidden="false" customHeight="false" outlineLevel="0" collapsed="false">
      <c r="A269" s="33"/>
      <c r="B269" s="33"/>
      <c r="C269" s="33"/>
      <c r="D269" s="33"/>
      <c r="E269" s="33"/>
      <c r="F269" s="33"/>
      <c r="G269" s="33"/>
      <c r="H269" s="33"/>
      <c r="I269" s="33"/>
      <c r="J269" s="33"/>
      <c r="K269" s="33"/>
      <c r="L269" s="34"/>
      <c r="M269" s="34"/>
      <c r="N269" s="34"/>
      <c r="O269" s="34"/>
      <c r="P269" s="33"/>
      <c r="Q269" s="35"/>
      <c r="R269" s="33"/>
      <c r="S269" s="33"/>
      <c r="T269" s="33"/>
      <c r="U269" s="33"/>
      <c r="V269" s="33"/>
      <c r="W269" s="33"/>
    </row>
    <row r="270" customFormat="false" ht="15" hidden="false" customHeight="false" outlineLevel="0" collapsed="false">
      <c r="A270" s="33"/>
      <c r="B270" s="33"/>
      <c r="C270" s="33"/>
      <c r="D270" s="33"/>
      <c r="E270" s="33"/>
      <c r="F270" s="33"/>
      <c r="G270" s="33"/>
      <c r="H270" s="33"/>
      <c r="I270" s="33"/>
      <c r="J270" s="33"/>
      <c r="K270" s="33"/>
      <c r="L270" s="34"/>
      <c r="M270" s="34"/>
      <c r="N270" s="34"/>
      <c r="O270" s="34"/>
      <c r="P270" s="33"/>
      <c r="Q270" s="35"/>
      <c r="R270" s="33"/>
      <c r="S270" s="33"/>
      <c r="T270" s="33"/>
      <c r="U270" s="33"/>
      <c r="V270" s="33"/>
      <c r="W270" s="33"/>
    </row>
    <row r="271" customFormat="false" ht="15" hidden="false" customHeight="false" outlineLevel="0" collapsed="false">
      <c r="A271" s="33"/>
      <c r="B271" s="33"/>
      <c r="C271" s="33"/>
      <c r="D271" s="33"/>
      <c r="E271" s="33"/>
      <c r="F271" s="33"/>
      <c r="G271" s="33"/>
      <c r="H271" s="33"/>
      <c r="I271" s="33"/>
      <c r="J271" s="33"/>
      <c r="K271" s="33"/>
      <c r="L271" s="34"/>
      <c r="M271" s="34"/>
      <c r="N271" s="34"/>
      <c r="O271" s="34"/>
      <c r="P271" s="33"/>
      <c r="Q271" s="35"/>
      <c r="R271" s="33"/>
      <c r="S271" s="33"/>
      <c r="T271" s="33"/>
      <c r="U271" s="33"/>
      <c r="V271" s="33"/>
      <c r="W271" s="33"/>
    </row>
    <row r="272" customFormat="false" ht="15" hidden="false" customHeight="false" outlineLevel="0" collapsed="false">
      <c r="A272" s="33"/>
      <c r="B272" s="33"/>
      <c r="C272" s="33"/>
      <c r="D272" s="33"/>
      <c r="E272" s="33"/>
      <c r="F272" s="33"/>
      <c r="G272" s="33"/>
      <c r="H272" s="33"/>
      <c r="I272" s="33"/>
      <c r="J272" s="33"/>
      <c r="K272" s="33"/>
      <c r="L272" s="34"/>
      <c r="M272" s="34"/>
      <c r="N272" s="34"/>
      <c r="O272" s="34"/>
      <c r="P272" s="33"/>
      <c r="Q272" s="35"/>
      <c r="R272" s="33"/>
      <c r="S272" s="33"/>
      <c r="T272" s="33"/>
      <c r="U272" s="33"/>
      <c r="V272" s="33"/>
      <c r="W272" s="33"/>
    </row>
    <row r="273" customFormat="false" ht="15" hidden="false" customHeight="false" outlineLevel="0" collapsed="false">
      <c r="A273" s="33"/>
      <c r="B273" s="33"/>
      <c r="C273" s="33"/>
      <c r="D273" s="33"/>
      <c r="E273" s="33"/>
      <c r="F273" s="33"/>
      <c r="G273" s="33"/>
      <c r="H273" s="33"/>
      <c r="I273" s="33"/>
      <c r="J273" s="33"/>
      <c r="K273" s="33"/>
      <c r="L273" s="34"/>
      <c r="M273" s="34"/>
      <c r="N273" s="34"/>
      <c r="O273" s="34"/>
      <c r="P273" s="33"/>
      <c r="Q273" s="35"/>
      <c r="R273" s="33"/>
      <c r="S273" s="33"/>
      <c r="T273" s="33"/>
      <c r="U273" s="33"/>
      <c r="V273" s="33"/>
      <c r="W273" s="33"/>
    </row>
    <row r="274" customFormat="false" ht="15" hidden="false" customHeight="false" outlineLevel="0" collapsed="false">
      <c r="A274" s="33"/>
      <c r="B274" s="33"/>
      <c r="C274" s="33"/>
      <c r="D274" s="33"/>
      <c r="E274" s="33"/>
      <c r="F274" s="33"/>
      <c r="G274" s="33"/>
      <c r="H274" s="33"/>
      <c r="I274" s="33"/>
      <c r="J274" s="33"/>
      <c r="K274" s="33"/>
      <c r="L274" s="34"/>
      <c r="M274" s="34"/>
      <c r="N274" s="34"/>
      <c r="O274" s="34"/>
      <c r="P274" s="33"/>
      <c r="Q274" s="35"/>
      <c r="R274" s="33"/>
      <c r="S274" s="33"/>
      <c r="T274" s="33"/>
      <c r="U274" s="33"/>
      <c r="V274" s="33"/>
      <c r="W274" s="33"/>
    </row>
    <row r="275" customFormat="false" ht="15" hidden="false" customHeight="false" outlineLevel="0" collapsed="false">
      <c r="A275" s="33"/>
      <c r="B275" s="33"/>
      <c r="C275" s="33"/>
      <c r="D275" s="33"/>
      <c r="E275" s="33"/>
      <c r="F275" s="33"/>
      <c r="G275" s="33"/>
      <c r="H275" s="33"/>
      <c r="I275" s="33"/>
      <c r="J275" s="33"/>
      <c r="K275" s="33"/>
      <c r="L275" s="34"/>
      <c r="M275" s="34"/>
      <c r="N275" s="34"/>
      <c r="O275" s="34"/>
      <c r="P275" s="33"/>
      <c r="Q275" s="35"/>
      <c r="R275" s="33"/>
      <c r="S275" s="33"/>
      <c r="T275" s="33"/>
      <c r="U275" s="33"/>
      <c r="V275" s="33"/>
      <c r="W275" s="33"/>
    </row>
    <row r="276" customFormat="false" ht="15" hidden="false" customHeight="false" outlineLevel="0" collapsed="false">
      <c r="A276" s="33"/>
      <c r="B276" s="33"/>
      <c r="C276" s="33"/>
      <c r="D276" s="33"/>
      <c r="E276" s="33"/>
      <c r="F276" s="33"/>
      <c r="G276" s="33"/>
      <c r="H276" s="33"/>
      <c r="I276" s="33"/>
      <c r="J276" s="33"/>
      <c r="K276" s="33"/>
      <c r="L276" s="34"/>
      <c r="M276" s="34"/>
      <c r="N276" s="34"/>
      <c r="O276" s="34"/>
      <c r="P276" s="33"/>
      <c r="Q276" s="35"/>
      <c r="R276" s="33"/>
      <c r="S276" s="33"/>
      <c r="T276" s="33"/>
      <c r="U276" s="33"/>
      <c r="V276" s="33"/>
      <c r="W276" s="33"/>
    </row>
    <row r="277" customFormat="false" ht="15" hidden="false" customHeight="false" outlineLevel="0" collapsed="false">
      <c r="A277" s="33"/>
      <c r="B277" s="33"/>
      <c r="C277" s="33"/>
      <c r="D277" s="33"/>
      <c r="E277" s="33"/>
      <c r="F277" s="33"/>
      <c r="G277" s="33"/>
      <c r="H277" s="33"/>
      <c r="I277" s="33"/>
      <c r="J277" s="33"/>
      <c r="K277" s="33"/>
      <c r="L277" s="34"/>
      <c r="M277" s="34"/>
      <c r="N277" s="34"/>
      <c r="O277" s="34"/>
      <c r="P277" s="33"/>
      <c r="Q277" s="35"/>
      <c r="R277" s="33"/>
      <c r="S277" s="33"/>
      <c r="T277" s="33"/>
      <c r="U277" s="33"/>
      <c r="V277" s="33"/>
      <c r="W277" s="33"/>
    </row>
    <row r="278" customFormat="false" ht="15" hidden="false" customHeight="false" outlineLevel="0" collapsed="false">
      <c r="A278" s="33"/>
      <c r="B278" s="33"/>
      <c r="C278" s="33"/>
      <c r="D278" s="33"/>
      <c r="E278" s="33"/>
      <c r="F278" s="33"/>
      <c r="G278" s="33"/>
      <c r="H278" s="33"/>
      <c r="I278" s="33"/>
      <c r="J278" s="33"/>
      <c r="K278" s="33"/>
      <c r="L278" s="34"/>
      <c r="M278" s="34"/>
      <c r="N278" s="34"/>
      <c r="O278" s="34"/>
      <c r="P278" s="33"/>
      <c r="Q278" s="35"/>
      <c r="R278" s="33"/>
      <c r="S278" s="33"/>
      <c r="T278" s="33"/>
      <c r="U278" s="33"/>
      <c r="V278" s="33"/>
      <c r="W278" s="33"/>
    </row>
    <row r="279" customFormat="false" ht="15" hidden="false" customHeight="false" outlineLevel="0" collapsed="false">
      <c r="A279" s="33"/>
      <c r="B279" s="33"/>
      <c r="C279" s="33"/>
      <c r="D279" s="33"/>
      <c r="E279" s="33"/>
      <c r="F279" s="33"/>
      <c r="G279" s="33"/>
      <c r="H279" s="33"/>
      <c r="I279" s="33"/>
      <c r="J279" s="33"/>
      <c r="K279" s="33"/>
      <c r="L279" s="34"/>
      <c r="M279" s="34"/>
      <c r="N279" s="34"/>
      <c r="O279" s="34"/>
      <c r="P279" s="33"/>
      <c r="Q279" s="35"/>
      <c r="R279" s="33"/>
      <c r="S279" s="33"/>
      <c r="T279" s="33"/>
      <c r="U279" s="33"/>
      <c r="V279" s="33"/>
      <c r="W279" s="33"/>
    </row>
    <row r="280" customFormat="false" ht="15" hidden="false" customHeight="false" outlineLevel="0" collapsed="false">
      <c r="A280" s="33"/>
      <c r="B280" s="33"/>
      <c r="C280" s="33"/>
      <c r="D280" s="33"/>
      <c r="E280" s="33"/>
      <c r="F280" s="33"/>
      <c r="G280" s="33"/>
      <c r="H280" s="33"/>
      <c r="I280" s="33"/>
      <c r="J280" s="33"/>
      <c r="K280" s="33"/>
      <c r="L280" s="34"/>
      <c r="M280" s="34"/>
      <c r="N280" s="34"/>
      <c r="O280" s="34"/>
      <c r="P280" s="33"/>
      <c r="Q280" s="35"/>
      <c r="R280" s="33"/>
      <c r="S280" s="33"/>
      <c r="T280" s="33"/>
      <c r="U280" s="33"/>
      <c r="V280" s="33"/>
      <c r="W280" s="33"/>
    </row>
    <row r="281" customFormat="false" ht="15" hidden="false" customHeight="false" outlineLevel="0" collapsed="false">
      <c r="A281" s="33"/>
      <c r="B281" s="33"/>
      <c r="C281" s="33"/>
      <c r="D281" s="33"/>
      <c r="E281" s="33"/>
      <c r="F281" s="33"/>
      <c r="G281" s="33"/>
      <c r="H281" s="33"/>
      <c r="I281" s="33"/>
      <c r="J281" s="33"/>
      <c r="K281" s="33"/>
      <c r="L281" s="34"/>
      <c r="M281" s="34"/>
      <c r="N281" s="34"/>
      <c r="O281" s="34"/>
      <c r="P281" s="33"/>
      <c r="Q281" s="35"/>
      <c r="R281" s="33"/>
      <c r="S281" s="33"/>
      <c r="T281" s="33"/>
      <c r="U281" s="33"/>
      <c r="V281" s="33"/>
      <c r="W281" s="33"/>
    </row>
    <row r="282" customFormat="false" ht="15" hidden="false" customHeight="false" outlineLevel="0" collapsed="false">
      <c r="A282" s="33"/>
      <c r="B282" s="33"/>
      <c r="C282" s="33"/>
      <c r="D282" s="33"/>
      <c r="E282" s="33"/>
      <c r="F282" s="33"/>
      <c r="G282" s="33"/>
      <c r="H282" s="33"/>
      <c r="I282" s="33"/>
      <c r="J282" s="33"/>
      <c r="K282" s="33"/>
      <c r="L282" s="34"/>
      <c r="M282" s="34"/>
      <c r="N282" s="34"/>
      <c r="O282" s="34"/>
      <c r="P282" s="33"/>
      <c r="Q282" s="35"/>
      <c r="R282" s="33"/>
      <c r="S282" s="33"/>
      <c r="T282" s="33"/>
      <c r="U282" s="33"/>
      <c r="V282" s="33"/>
      <c r="W282" s="33"/>
    </row>
    <row r="283" customFormat="false" ht="15" hidden="false" customHeight="false" outlineLevel="0" collapsed="false">
      <c r="A283" s="33"/>
      <c r="B283" s="33"/>
      <c r="C283" s="33"/>
      <c r="D283" s="33"/>
      <c r="E283" s="33"/>
      <c r="F283" s="33"/>
      <c r="G283" s="33"/>
      <c r="H283" s="33"/>
      <c r="I283" s="33"/>
      <c r="J283" s="33"/>
      <c r="K283" s="33"/>
      <c r="L283" s="34"/>
      <c r="M283" s="34"/>
      <c r="N283" s="34"/>
      <c r="O283" s="34"/>
      <c r="P283" s="33"/>
      <c r="Q283" s="35"/>
      <c r="R283" s="33"/>
      <c r="S283" s="33"/>
      <c r="T283" s="33"/>
      <c r="U283" s="33"/>
      <c r="V283" s="33"/>
      <c r="W283" s="33"/>
    </row>
    <row r="284" customFormat="false" ht="15" hidden="false" customHeight="false" outlineLevel="0" collapsed="false">
      <c r="A284" s="33"/>
      <c r="B284" s="33"/>
      <c r="C284" s="33"/>
      <c r="D284" s="33"/>
      <c r="E284" s="33"/>
      <c r="F284" s="33"/>
      <c r="G284" s="33"/>
      <c r="H284" s="33"/>
      <c r="I284" s="33"/>
      <c r="J284" s="33"/>
      <c r="K284" s="33"/>
      <c r="L284" s="34"/>
      <c r="M284" s="34"/>
      <c r="N284" s="34"/>
      <c r="O284" s="34"/>
      <c r="P284" s="33"/>
      <c r="Q284" s="35"/>
      <c r="R284" s="33"/>
      <c r="S284" s="33"/>
      <c r="T284" s="33"/>
      <c r="U284" s="33"/>
      <c r="V284" s="33"/>
      <c r="W284" s="33"/>
    </row>
    <row r="285" customFormat="false" ht="15" hidden="false" customHeight="false" outlineLevel="0" collapsed="false">
      <c r="A285" s="33"/>
      <c r="B285" s="33"/>
      <c r="C285" s="33"/>
      <c r="D285" s="33"/>
      <c r="E285" s="33"/>
      <c r="F285" s="33"/>
      <c r="G285" s="33"/>
      <c r="H285" s="33"/>
      <c r="I285" s="33"/>
      <c r="J285" s="33"/>
      <c r="K285" s="33"/>
      <c r="L285" s="34"/>
      <c r="M285" s="34"/>
      <c r="N285" s="34"/>
      <c r="O285" s="34"/>
      <c r="P285" s="33"/>
      <c r="Q285" s="35"/>
      <c r="R285" s="33"/>
      <c r="S285" s="33"/>
      <c r="T285" s="33"/>
      <c r="U285" s="33"/>
      <c r="V285" s="33"/>
      <c r="W285" s="33"/>
    </row>
    <row r="286" customFormat="false" ht="15" hidden="false" customHeight="false" outlineLevel="0" collapsed="false">
      <c r="A286" s="33"/>
      <c r="B286" s="33"/>
      <c r="C286" s="33"/>
      <c r="D286" s="33"/>
      <c r="E286" s="33"/>
      <c r="F286" s="33"/>
      <c r="G286" s="33"/>
      <c r="H286" s="33"/>
      <c r="I286" s="33"/>
      <c r="J286" s="33"/>
      <c r="K286" s="33"/>
      <c r="L286" s="34"/>
      <c r="M286" s="34"/>
      <c r="N286" s="34"/>
      <c r="O286" s="34"/>
      <c r="P286" s="33"/>
      <c r="Q286" s="35"/>
      <c r="R286" s="33"/>
      <c r="S286" s="33"/>
      <c r="T286" s="33"/>
      <c r="U286" s="33"/>
      <c r="V286" s="33"/>
      <c r="W286" s="33"/>
    </row>
    <row r="287" customFormat="false" ht="15" hidden="false" customHeight="false" outlineLevel="0" collapsed="false">
      <c r="A287" s="33"/>
      <c r="B287" s="33"/>
      <c r="C287" s="33"/>
      <c r="D287" s="33"/>
      <c r="E287" s="33"/>
      <c r="F287" s="33"/>
      <c r="G287" s="33"/>
      <c r="H287" s="33"/>
      <c r="I287" s="33"/>
      <c r="J287" s="33"/>
      <c r="K287" s="33"/>
      <c r="L287" s="34"/>
      <c r="M287" s="34"/>
      <c r="N287" s="34"/>
      <c r="O287" s="34"/>
      <c r="P287" s="33"/>
      <c r="Q287" s="35"/>
      <c r="R287" s="33"/>
      <c r="S287" s="33"/>
      <c r="T287" s="33"/>
      <c r="U287" s="33"/>
      <c r="V287" s="33"/>
      <c r="W287" s="33"/>
    </row>
    <row r="288" customFormat="false" ht="15" hidden="false" customHeight="false" outlineLevel="0" collapsed="false">
      <c r="A288" s="33"/>
      <c r="B288" s="33"/>
      <c r="C288" s="33"/>
      <c r="D288" s="33"/>
      <c r="E288" s="33"/>
      <c r="F288" s="33"/>
      <c r="G288" s="33"/>
      <c r="H288" s="33"/>
      <c r="I288" s="33"/>
      <c r="J288" s="33"/>
      <c r="K288" s="33"/>
      <c r="L288" s="34"/>
      <c r="M288" s="34"/>
      <c r="N288" s="34"/>
      <c r="O288" s="34"/>
      <c r="P288" s="33"/>
      <c r="Q288" s="35"/>
      <c r="R288" s="33"/>
      <c r="S288" s="33"/>
      <c r="T288" s="33"/>
      <c r="U288" s="33"/>
      <c r="V288" s="33"/>
      <c r="W288" s="33"/>
    </row>
    <row r="289" customFormat="false" ht="15" hidden="false" customHeight="false" outlineLevel="0" collapsed="false">
      <c r="A289" s="33"/>
      <c r="B289" s="33"/>
      <c r="C289" s="33"/>
      <c r="D289" s="33"/>
      <c r="E289" s="33"/>
      <c r="F289" s="33"/>
      <c r="G289" s="33"/>
      <c r="H289" s="33"/>
      <c r="I289" s="33"/>
      <c r="J289" s="33"/>
      <c r="K289" s="33"/>
      <c r="L289" s="34"/>
      <c r="M289" s="34"/>
      <c r="N289" s="34"/>
      <c r="O289" s="34"/>
      <c r="P289" s="33"/>
      <c r="Q289" s="35"/>
      <c r="R289" s="33"/>
      <c r="S289" s="33"/>
      <c r="T289" s="33"/>
      <c r="U289" s="33"/>
      <c r="V289" s="33"/>
      <c r="W289" s="33"/>
    </row>
    <row r="290" customFormat="false" ht="15" hidden="false" customHeight="false" outlineLevel="0" collapsed="false">
      <c r="A290" s="33"/>
      <c r="B290" s="33"/>
      <c r="C290" s="33"/>
      <c r="D290" s="33"/>
      <c r="E290" s="33"/>
      <c r="F290" s="33"/>
      <c r="G290" s="33"/>
      <c r="H290" s="33"/>
      <c r="I290" s="33"/>
      <c r="J290" s="33"/>
      <c r="K290" s="33"/>
      <c r="L290" s="34"/>
      <c r="M290" s="34"/>
      <c r="N290" s="34"/>
      <c r="O290" s="34"/>
      <c r="P290" s="33"/>
      <c r="Q290" s="35"/>
      <c r="R290" s="33"/>
      <c r="S290" s="33"/>
      <c r="T290" s="33"/>
      <c r="U290" s="33"/>
      <c r="V290" s="33"/>
      <c r="W290" s="33"/>
    </row>
    <row r="291" customFormat="false" ht="15" hidden="false" customHeight="false" outlineLevel="0" collapsed="false">
      <c r="A291" s="33"/>
      <c r="B291" s="33"/>
      <c r="C291" s="33"/>
      <c r="D291" s="33"/>
      <c r="E291" s="33"/>
      <c r="F291" s="33"/>
      <c r="G291" s="33"/>
      <c r="H291" s="33"/>
      <c r="I291" s="33"/>
      <c r="J291" s="33"/>
      <c r="K291" s="33"/>
      <c r="L291" s="34"/>
      <c r="M291" s="34"/>
      <c r="N291" s="34"/>
      <c r="O291" s="34"/>
      <c r="P291" s="33"/>
      <c r="Q291" s="35"/>
      <c r="R291" s="33"/>
      <c r="S291" s="33"/>
      <c r="T291" s="33"/>
      <c r="U291" s="33"/>
      <c r="V291" s="33"/>
      <c r="W291" s="33"/>
    </row>
    <row r="292" customFormat="false" ht="15" hidden="false" customHeight="false" outlineLevel="0" collapsed="false">
      <c r="A292" s="33"/>
      <c r="B292" s="33"/>
      <c r="C292" s="33"/>
      <c r="D292" s="33"/>
      <c r="E292" s="33"/>
      <c r="F292" s="33"/>
      <c r="G292" s="33"/>
      <c r="H292" s="33"/>
      <c r="I292" s="33"/>
      <c r="J292" s="33"/>
      <c r="K292" s="33"/>
      <c r="L292" s="34"/>
      <c r="M292" s="34"/>
      <c r="N292" s="34"/>
      <c r="O292" s="34"/>
      <c r="P292" s="33"/>
      <c r="Q292" s="35"/>
      <c r="R292" s="33"/>
      <c r="S292" s="33"/>
      <c r="T292" s="33"/>
      <c r="U292" s="33"/>
      <c r="V292" s="33"/>
      <c r="W292" s="33"/>
    </row>
    <row r="293" customFormat="false" ht="15" hidden="false" customHeight="false" outlineLevel="0" collapsed="false">
      <c r="A293" s="33"/>
      <c r="B293" s="33"/>
      <c r="C293" s="33"/>
      <c r="D293" s="33"/>
      <c r="E293" s="33"/>
      <c r="F293" s="33"/>
      <c r="G293" s="33"/>
      <c r="H293" s="33"/>
      <c r="I293" s="33"/>
      <c r="J293" s="33"/>
      <c r="K293" s="33"/>
      <c r="L293" s="34"/>
      <c r="M293" s="34"/>
      <c r="N293" s="34"/>
      <c r="O293" s="34"/>
      <c r="P293" s="33"/>
      <c r="Q293" s="35"/>
      <c r="R293" s="33"/>
      <c r="S293" s="33"/>
      <c r="T293" s="33"/>
      <c r="U293" s="33"/>
      <c r="V293" s="33"/>
      <c r="W293" s="33"/>
    </row>
    <row r="294" customFormat="false" ht="15" hidden="false" customHeight="false" outlineLevel="0" collapsed="false">
      <c r="A294" s="33"/>
      <c r="B294" s="33"/>
      <c r="C294" s="33"/>
      <c r="D294" s="33"/>
      <c r="E294" s="33"/>
      <c r="F294" s="33"/>
      <c r="G294" s="33"/>
      <c r="H294" s="33"/>
      <c r="I294" s="33"/>
      <c r="J294" s="33"/>
      <c r="K294" s="33"/>
      <c r="L294" s="34"/>
      <c r="M294" s="34"/>
      <c r="N294" s="34"/>
      <c r="O294" s="34"/>
      <c r="P294" s="33"/>
      <c r="Q294" s="35"/>
      <c r="R294" s="33"/>
      <c r="S294" s="33"/>
      <c r="T294" s="33"/>
      <c r="U294" s="33"/>
      <c r="V294" s="33"/>
      <c r="W294" s="33"/>
    </row>
    <row r="295" customFormat="false" ht="15" hidden="false" customHeight="false" outlineLevel="0" collapsed="false">
      <c r="A295" s="33"/>
      <c r="B295" s="33"/>
      <c r="C295" s="33"/>
      <c r="D295" s="33"/>
      <c r="E295" s="33"/>
      <c r="F295" s="33"/>
      <c r="G295" s="33"/>
      <c r="H295" s="33"/>
      <c r="I295" s="33"/>
      <c r="J295" s="33"/>
      <c r="K295" s="33"/>
      <c r="L295" s="34"/>
      <c r="M295" s="34"/>
      <c r="N295" s="34"/>
      <c r="O295" s="34"/>
      <c r="P295" s="33"/>
      <c r="Q295" s="35"/>
      <c r="R295" s="33"/>
      <c r="S295" s="33"/>
      <c r="T295" s="33"/>
      <c r="U295" s="33"/>
      <c r="V295" s="33"/>
      <c r="W295" s="33"/>
    </row>
    <row r="296" customFormat="false" ht="15" hidden="false" customHeight="false" outlineLevel="0" collapsed="false">
      <c r="A296" s="33"/>
      <c r="B296" s="33"/>
      <c r="C296" s="33"/>
      <c r="D296" s="33"/>
      <c r="E296" s="33"/>
      <c r="F296" s="33"/>
      <c r="G296" s="33"/>
      <c r="H296" s="33"/>
      <c r="I296" s="33"/>
      <c r="J296" s="33"/>
      <c r="K296" s="33"/>
      <c r="L296" s="34"/>
      <c r="M296" s="34"/>
      <c r="N296" s="34"/>
      <c r="O296" s="34"/>
      <c r="P296" s="33"/>
      <c r="Q296" s="35"/>
      <c r="R296" s="33"/>
      <c r="S296" s="33"/>
      <c r="T296" s="33"/>
      <c r="U296" s="33"/>
      <c r="V296" s="33"/>
      <c r="W296" s="33"/>
    </row>
    <row r="297" customFormat="false" ht="15" hidden="false" customHeight="false" outlineLevel="0" collapsed="false">
      <c r="A297" s="33"/>
      <c r="B297" s="33"/>
      <c r="C297" s="33"/>
      <c r="D297" s="33"/>
      <c r="E297" s="33"/>
      <c r="F297" s="33"/>
      <c r="G297" s="33"/>
      <c r="H297" s="33"/>
      <c r="I297" s="33"/>
      <c r="J297" s="33"/>
      <c r="K297" s="33"/>
      <c r="L297" s="34"/>
      <c r="M297" s="34"/>
      <c r="N297" s="34"/>
      <c r="O297" s="34"/>
      <c r="P297" s="33"/>
      <c r="Q297" s="35"/>
      <c r="R297" s="33"/>
      <c r="S297" s="33"/>
      <c r="T297" s="33"/>
      <c r="U297" s="33"/>
      <c r="V297" s="33"/>
      <c r="W297" s="33"/>
    </row>
    <row r="298" customFormat="false" ht="15" hidden="false" customHeight="false" outlineLevel="0" collapsed="false">
      <c r="A298" s="33"/>
      <c r="B298" s="33"/>
      <c r="C298" s="33"/>
      <c r="D298" s="33"/>
      <c r="E298" s="33"/>
      <c r="F298" s="33"/>
      <c r="G298" s="33"/>
      <c r="H298" s="33"/>
      <c r="I298" s="33"/>
      <c r="J298" s="33"/>
      <c r="K298" s="33"/>
      <c r="L298" s="34"/>
      <c r="M298" s="34"/>
      <c r="N298" s="34"/>
      <c r="O298" s="34"/>
      <c r="P298" s="33"/>
      <c r="Q298" s="35"/>
      <c r="R298" s="33"/>
      <c r="S298" s="33"/>
      <c r="T298" s="33"/>
      <c r="U298" s="33"/>
      <c r="V298" s="33"/>
      <c r="W298" s="33"/>
    </row>
    <row r="299" customFormat="false" ht="15" hidden="false" customHeight="false" outlineLevel="0" collapsed="false">
      <c r="A299" s="33"/>
      <c r="B299" s="33"/>
      <c r="C299" s="33"/>
      <c r="D299" s="33"/>
      <c r="E299" s="33"/>
      <c r="F299" s="33"/>
      <c r="G299" s="33"/>
      <c r="H299" s="33"/>
      <c r="I299" s="33"/>
      <c r="J299" s="33"/>
      <c r="K299" s="33"/>
      <c r="L299" s="34"/>
      <c r="M299" s="34"/>
      <c r="N299" s="34"/>
      <c r="O299" s="34"/>
      <c r="P299" s="33"/>
      <c r="Q299" s="35"/>
      <c r="R299" s="33"/>
      <c r="S299" s="33"/>
      <c r="T299" s="33"/>
      <c r="U299" s="33"/>
      <c r="V299" s="33"/>
      <c r="W299" s="33"/>
    </row>
    <row r="300" customFormat="false" ht="15" hidden="false" customHeight="false" outlineLevel="0" collapsed="false">
      <c r="A300" s="33"/>
      <c r="B300" s="33"/>
      <c r="C300" s="33"/>
      <c r="D300" s="33"/>
      <c r="E300" s="33"/>
      <c r="F300" s="33"/>
      <c r="G300" s="33"/>
      <c r="H300" s="33"/>
      <c r="I300" s="33"/>
      <c r="J300" s="33"/>
      <c r="K300" s="33"/>
      <c r="L300" s="34"/>
      <c r="M300" s="34"/>
      <c r="N300" s="34"/>
      <c r="O300" s="34"/>
      <c r="P300" s="33"/>
      <c r="Q300" s="35"/>
      <c r="R300" s="33"/>
      <c r="S300" s="33"/>
      <c r="T300" s="33"/>
      <c r="U300" s="33"/>
      <c r="V300" s="33"/>
      <c r="W300" s="33"/>
    </row>
  </sheetData>
  <autoFilter ref="A4:W10"/>
  <mergeCells count="6">
    <mergeCell ref="A3:C3"/>
    <mergeCell ref="D3:H3"/>
    <mergeCell ref="I3:O3"/>
    <mergeCell ref="P3:R3"/>
    <mergeCell ref="S3:U3"/>
    <mergeCell ref="V3:W3"/>
  </mergeCells>
  <conditionalFormatting sqref="P5:P300">
    <cfRule type="expression" priority="2" aboveAverage="0" equalAverage="0" bottom="0" percent="0" rank="0" text="" dxfId="5">
      <formula>$P5="AVL"</formula>
    </cfRule>
    <cfRule type="expression" priority="3" aboveAverage="0" equalAverage="0" bottom="0" percent="0" rank="0" text="" dxfId="6">
      <formula>$P5="Qualified"</formula>
    </cfRule>
    <cfRule type="expression" priority="4" aboveAverage="0" equalAverage="0" bottom="0" percent="0" rank="0" text="" dxfId="7">
      <formula>$P5="Prequalified"</formula>
    </cfRule>
    <cfRule type="expression" priority="5" aboveAverage="0" equalAverage="0" bottom="0" percent="0" rank="0" text="" dxfId="8">
      <formula>$P5="On Hold"</formula>
    </cfRule>
    <cfRule type="expression" priority="6" aboveAverage="0" equalAverage="0" bottom="0" percent="0" rank="0" text="" dxfId="9">
      <formula>$P5="Disqualified"</formula>
    </cfRule>
  </conditionalFormatting>
  <conditionalFormatting sqref="W5:W300">
    <cfRule type="expression" priority="7" aboveAverage="0" equalAverage="0" bottom="0" percent="0" rank="0" text="" dxfId="9">
      <formula>$W5="High"</formula>
    </cfRule>
    <cfRule type="expression" priority="8" aboveAverage="0" equalAverage="0" bottom="0" percent="0" rank="0" text="" dxfId="10">
      <formula>$W5="FEOC Review"</formula>
    </cfRule>
    <cfRule type="expression" priority="9" aboveAverage="0" equalAverage="0" bottom="0" percent="0" rank="0" text="" dxfId="8">
      <formula>$W5="Medium"</formula>
    </cfRule>
    <cfRule type="expression" priority="10" aboveAverage="0" equalAverage="0" bottom="0" percent="0" rank="0" text="" dxfId="5">
      <formula>$W5="Low"</formula>
    </cfRule>
  </conditionalFormatting>
  <dataValidations count="5">
    <dataValidation allowBlank="true" error="Pick a value from the list (edit the Lists tab to change options)." errorStyle="stop" errorTitle="Invalid entry" operator="between" showDropDown="false" showErrorMessage="true" showInputMessage="false" sqref="P5:P300" type="list">
      <formula1>lst_status</formula1>
      <formula2>0</formula2>
    </dataValidation>
    <dataValidation allowBlank="true" error="Pick a value from the list (edit the Lists tab to change options)." errorStyle="stop" errorTitle="Invalid entry" operator="between" showDropDown="false" showErrorMessage="true" showInputMessage="false" sqref="R5:R300" type="list">
      <formula1>lst_rfx</formula1>
      <formula2>0</formula2>
    </dataValidation>
    <dataValidation allowBlank="true" error="Pick a value from the list (edit the Lists tab to change options)." errorStyle="stop" errorTitle="Invalid entry" operator="between" showDropDown="false" showErrorMessage="true" showInputMessage="false" sqref="T5:T300" type="list">
      <formula1>lst_fin</formula1>
      <formula2>0</formula2>
    </dataValidation>
    <dataValidation allowBlank="true" error="Pick a value from the list (edit the Lists tab to change options)." errorStyle="stop" errorTitle="Invalid entry" operator="between" showDropDown="false" showErrorMessage="true" showInputMessage="false" sqref="W5:W300" type="list">
      <formula1>lst_scr</formula1>
      <formula2>0</formula2>
    </dataValidation>
    <dataValidation allowBlank="true" error="Enter a date (yyyy-mm-dd)." errorStyle="stop" operator="greaterThan" showDropDown="false" showErrorMessage="true" showInputMessage="false" sqref="Q5:Q300" type="date">
      <formula1>DATE(2020,1,1)</formula1>
      <formula2>0</formula2>
    </dataValidation>
  </dataValidations>
  <hyperlinks>
    <hyperlink ref="I5" r:id="rId2" display="https://www.walterpmoore.com/"/>
    <hyperlink ref="K5" r:id="rId3" display="https://www.walterpmoore.com/contact"/>
    <hyperlink ref="I6" r:id="rId4" display="https://www.sargentlundy.com/"/>
    <hyperlink ref="K6" r:id="rId5" display="https://www.sargentlundy.com/contact-us"/>
    <hyperlink ref="I7" r:id="rId6" display="https://www.burnsmcd.com/"/>
    <hyperlink ref="K7" r:id="rId7" display="https://info.burnsmcd.com/contact-us"/>
    <hyperlink ref="I8" r:id="rId8" display="https://www.bv.com/"/>
    <hyperlink ref="K8" r:id="rId9" display="https://www.bv.com/contact-us"/>
    <hyperlink ref="I9" r:id="rId10" display="https://www.powereng.com/"/>
    <hyperlink ref="I10" r:id="rId11" display="https://eciusa.c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2"/>
  <legacyDrawing r:id="rId1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C8A"/>
    <pageSetUpPr fitToPage="false"/>
  </sheetPr>
  <dimension ref="A1:W30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40"/>
    <col collapsed="false" customWidth="true" hidden="false" outlineLevel="0" max="4" min="4" style="0" width="15"/>
    <col collapsed="false" customWidth="true" hidden="false" outlineLevel="0" max="5" min="5" style="0" width="11"/>
    <col collapsed="false" customWidth="true" hidden="false" outlineLevel="0" max="6" min="6" style="0" width="13"/>
    <col collapsed="false" customWidth="true" hidden="false" outlineLevel="0" max="7" min="7" style="0" width="18"/>
    <col collapsed="false" customWidth="true" hidden="false" outlineLevel="0" max="9" min="8" style="0" width="28"/>
    <col collapsed="false" customWidth="true" hidden="false" outlineLevel="0" max="10" min="10" style="0" width="18"/>
    <col collapsed="false" customWidth="true" hidden="false" outlineLevel="0" max="11" min="11" style="0" width="28"/>
    <col collapsed="false" customWidth="true" hidden="false" outlineLevel="0" max="12" min="12" style="0" width="20"/>
    <col collapsed="false" customWidth="true" hidden="false" outlineLevel="0" max="13" min="13" style="0" width="18"/>
    <col collapsed="false" customWidth="true" hidden="false" outlineLevel="0" max="14" min="14" style="0" width="24"/>
    <col collapsed="false" customWidth="true" hidden="false" outlineLevel="0" max="16" min="15" style="0" width="15"/>
    <col collapsed="false" customWidth="true" hidden="false" outlineLevel="0" max="17" min="17" style="0" width="12"/>
    <col collapsed="false" customWidth="true" hidden="false" outlineLevel="0" max="18" min="18" style="0" width="14"/>
    <col collapsed="false" customWidth="true" hidden="false" outlineLevel="0" max="19" min="19" style="0" width="24"/>
    <col collapsed="false" customWidth="true" hidden="false" outlineLevel="0" max="20" min="20" style="0" width="13"/>
    <col collapsed="false" customWidth="true" hidden="false" outlineLevel="0" max="22" min="21" style="0" width="45"/>
    <col collapsed="false" customWidth="true" hidden="false" outlineLevel="0" max="23" min="23" style="0" width="13"/>
  </cols>
  <sheetData>
    <row r="1" customFormat="false" ht="17.35" hidden="false" customHeight="false" outlineLevel="0" collapsed="false">
      <c r="A1" s="16" t="s">
        <v>319</v>
      </c>
    </row>
    <row r="2" customFormat="false" ht="15" hidden="false" customHeight="false" outlineLevel="0" collapsed="false">
      <c r="A2" s="2" t="s">
        <v>87</v>
      </c>
    </row>
    <row r="3" customFormat="false" ht="15" hidden="false" customHeight="false" outlineLevel="0" collapsed="false">
      <c r="A3" s="22" t="s">
        <v>58</v>
      </c>
      <c r="B3" s="22"/>
      <c r="C3" s="22"/>
      <c r="D3" s="23" t="s">
        <v>60</v>
      </c>
      <c r="E3" s="23"/>
      <c r="F3" s="23"/>
      <c r="G3" s="23"/>
      <c r="H3" s="23"/>
      <c r="I3" s="24" t="s">
        <v>61</v>
      </c>
      <c r="J3" s="24"/>
      <c r="K3" s="24"/>
      <c r="L3" s="24"/>
      <c r="M3" s="24"/>
      <c r="N3" s="24"/>
      <c r="O3" s="24"/>
      <c r="P3" s="25" t="s">
        <v>62</v>
      </c>
      <c r="Q3" s="25"/>
      <c r="R3" s="25"/>
      <c r="S3" s="26" t="s">
        <v>32</v>
      </c>
      <c r="T3" s="26"/>
      <c r="U3" s="26"/>
      <c r="V3" s="27" t="s">
        <v>34</v>
      </c>
      <c r="W3" s="27"/>
    </row>
    <row r="4" customFormat="false" ht="31.5" hidden="false" customHeight="true" outlineLevel="0" collapsed="false">
      <c r="A4" s="28" t="s">
        <v>88</v>
      </c>
      <c r="B4" s="28" t="s">
        <v>89</v>
      </c>
      <c r="C4" s="28" t="s">
        <v>320</v>
      </c>
      <c r="D4" s="28" t="s">
        <v>91</v>
      </c>
      <c r="E4" s="28" t="s">
        <v>92</v>
      </c>
      <c r="F4" s="28" t="s">
        <v>93</v>
      </c>
      <c r="G4" s="28" t="s">
        <v>94</v>
      </c>
      <c r="H4" s="28" t="s">
        <v>95</v>
      </c>
      <c r="I4" s="28" t="s">
        <v>96</v>
      </c>
      <c r="J4" s="28" t="s">
        <v>97</v>
      </c>
      <c r="K4" s="28" t="s">
        <v>98</v>
      </c>
      <c r="L4" s="28" t="s">
        <v>99</v>
      </c>
      <c r="M4" s="28" t="s">
        <v>100</v>
      </c>
      <c r="N4" s="28" t="s">
        <v>101</v>
      </c>
      <c r="O4" s="28" t="s">
        <v>102</v>
      </c>
      <c r="P4" s="28" t="s">
        <v>103</v>
      </c>
      <c r="Q4" s="28" t="s">
        <v>104</v>
      </c>
      <c r="R4" s="28" t="s">
        <v>105</v>
      </c>
      <c r="S4" s="28" t="s">
        <v>106</v>
      </c>
      <c r="T4" s="28" t="s">
        <v>41</v>
      </c>
      <c r="U4" s="28" t="s">
        <v>107</v>
      </c>
      <c r="V4" s="28" t="s">
        <v>108</v>
      </c>
      <c r="W4" s="28" t="s">
        <v>109</v>
      </c>
    </row>
    <row r="5" customFormat="false" ht="22.35" hidden="false" customHeight="false" outlineLevel="0" collapsed="false">
      <c r="A5" s="29" t="s">
        <v>321</v>
      </c>
      <c r="B5" s="29" t="s">
        <v>302</v>
      </c>
      <c r="C5" s="29" t="s">
        <v>322</v>
      </c>
      <c r="D5" s="29" t="s">
        <v>304</v>
      </c>
      <c r="E5" s="29" t="s">
        <v>305</v>
      </c>
      <c r="F5" s="29" t="s">
        <v>127</v>
      </c>
      <c r="G5" s="29"/>
      <c r="H5" s="29" t="s">
        <v>306</v>
      </c>
      <c r="I5" s="30" t="s">
        <v>307</v>
      </c>
      <c r="J5" s="29"/>
      <c r="K5" s="29"/>
      <c r="L5" s="31"/>
      <c r="M5" s="31"/>
      <c r="N5" s="31"/>
      <c r="O5" s="31"/>
      <c r="P5" s="29" t="s">
        <v>19</v>
      </c>
      <c r="Q5" s="32" t="n">
        <v>46300</v>
      </c>
      <c r="R5" s="29" t="s">
        <v>117</v>
      </c>
      <c r="S5" s="29" t="s">
        <v>323</v>
      </c>
      <c r="T5" s="29" t="s">
        <v>119</v>
      </c>
      <c r="U5" s="29" t="s">
        <v>324</v>
      </c>
      <c r="V5" s="29" t="s">
        <v>203</v>
      </c>
      <c r="W5" s="29" t="s">
        <v>119</v>
      </c>
    </row>
    <row r="6" customFormat="false" ht="32.8" hidden="false" customHeight="false" outlineLevel="0" collapsed="false">
      <c r="A6" s="29" t="s">
        <v>325</v>
      </c>
      <c r="B6" s="29" t="s">
        <v>256</v>
      </c>
      <c r="C6" s="29" t="s">
        <v>326</v>
      </c>
      <c r="D6" s="29" t="s">
        <v>258</v>
      </c>
      <c r="E6" s="29" t="s">
        <v>259</v>
      </c>
      <c r="F6" s="29" t="s">
        <v>127</v>
      </c>
      <c r="G6" s="29"/>
      <c r="H6" s="29" t="s">
        <v>260</v>
      </c>
      <c r="I6" s="30" t="s">
        <v>261</v>
      </c>
      <c r="J6" s="29"/>
      <c r="K6" s="30" t="s">
        <v>262</v>
      </c>
      <c r="L6" s="31"/>
      <c r="M6" s="31"/>
      <c r="N6" s="31"/>
      <c r="O6" s="31"/>
      <c r="P6" s="29" t="s">
        <v>19</v>
      </c>
      <c r="Q6" s="32" t="n">
        <v>46300</v>
      </c>
      <c r="R6" s="29" t="s">
        <v>117</v>
      </c>
      <c r="S6" s="29" t="s">
        <v>263</v>
      </c>
      <c r="T6" s="29" t="s">
        <v>119</v>
      </c>
      <c r="U6" s="29" t="s">
        <v>327</v>
      </c>
      <c r="V6" s="29" t="s">
        <v>203</v>
      </c>
      <c r="W6" s="29" t="s">
        <v>119</v>
      </c>
    </row>
    <row r="7" customFormat="false" ht="32.8" hidden="false" customHeight="false" outlineLevel="0" collapsed="false">
      <c r="A7" s="29" t="s">
        <v>328</v>
      </c>
      <c r="B7" s="29" t="s">
        <v>279</v>
      </c>
      <c r="C7" s="29" t="s">
        <v>329</v>
      </c>
      <c r="D7" s="29" t="s">
        <v>281</v>
      </c>
      <c r="E7" s="29" t="s">
        <v>282</v>
      </c>
      <c r="F7" s="29" t="s">
        <v>127</v>
      </c>
      <c r="G7" s="29"/>
      <c r="H7" s="29" t="s">
        <v>271</v>
      </c>
      <c r="I7" s="30" t="s">
        <v>283</v>
      </c>
      <c r="J7" s="29" t="s">
        <v>284</v>
      </c>
      <c r="K7" s="30" t="s">
        <v>285</v>
      </c>
      <c r="L7" s="31"/>
      <c r="M7" s="31"/>
      <c r="N7" s="31"/>
      <c r="O7" s="31"/>
      <c r="P7" s="29" t="s">
        <v>19</v>
      </c>
      <c r="Q7" s="32" t="n">
        <v>46300</v>
      </c>
      <c r="R7" s="29" t="s">
        <v>117</v>
      </c>
      <c r="S7" s="29" t="s">
        <v>286</v>
      </c>
      <c r="T7" s="29" t="s">
        <v>119</v>
      </c>
      <c r="U7" s="29" t="s">
        <v>330</v>
      </c>
      <c r="V7" s="29" t="s">
        <v>331</v>
      </c>
      <c r="W7" s="29" t="s">
        <v>119</v>
      </c>
    </row>
    <row r="8" customFormat="false" ht="22.35" hidden="false" customHeight="false" outlineLevel="0" collapsed="false">
      <c r="A8" s="29" t="s">
        <v>332</v>
      </c>
      <c r="B8" s="29" t="s">
        <v>293</v>
      </c>
      <c r="C8" s="29" t="s">
        <v>333</v>
      </c>
      <c r="D8" s="29" t="s">
        <v>295</v>
      </c>
      <c r="E8" s="29" t="s">
        <v>160</v>
      </c>
      <c r="F8" s="29" t="s">
        <v>127</v>
      </c>
      <c r="G8" s="29"/>
      <c r="H8" s="29" t="s">
        <v>271</v>
      </c>
      <c r="I8" s="30" t="s">
        <v>296</v>
      </c>
      <c r="J8" s="29" t="s">
        <v>297</v>
      </c>
      <c r="K8" s="30" t="s">
        <v>298</v>
      </c>
      <c r="L8" s="31"/>
      <c r="M8" s="31"/>
      <c r="N8" s="31"/>
      <c r="O8" s="31"/>
      <c r="P8" s="29" t="s">
        <v>19</v>
      </c>
      <c r="Q8" s="32" t="n">
        <v>46300</v>
      </c>
      <c r="R8" s="29" t="s">
        <v>117</v>
      </c>
      <c r="S8" s="29" t="s">
        <v>201</v>
      </c>
      <c r="T8" s="29" t="s">
        <v>119</v>
      </c>
      <c r="U8" s="29" t="s">
        <v>334</v>
      </c>
      <c r="V8" s="29" t="s">
        <v>300</v>
      </c>
      <c r="W8" s="29" t="s">
        <v>119</v>
      </c>
    </row>
    <row r="9" customFormat="false" ht="53.7" hidden="false" customHeight="false" outlineLevel="0" collapsed="false">
      <c r="A9" s="29" t="s">
        <v>335</v>
      </c>
      <c r="B9" s="29" t="s">
        <v>336</v>
      </c>
      <c r="C9" s="29" t="s">
        <v>337</v>
      </c>
      <c r="D9" s="29" t="s">
        <v>338</v>
      </c>
      <c r="E9" s="29" t="s">
        <v>184</v>
      </c>
      <c r="F9" s="29" t="s">
        <v>127</v>
      </c>
      <c r="G9" s="29"/>
      <c r="H9" s="29" t="s">
        <v>339</v>
      </c>
      <c r="I9" s="30" t="s">
        <v>340</v>
      </c>
      <c r="J9" s="29" t="s">
        <v>341</v>
      </c>
      <c r="K9" s="30" t="s">
        <v>342</v>
      </c>
      <c r="L9" s="31"/>
      <c r="M9" s="31"/>
      <c r="N9" s="31"/>
      <c r="O9" s="31"/>
      <c r="P9" s="29" t="s">
        <v>19</v>
      </c>
      <c r="Q9" s="32" t="n">
        <v>46300</v>
      </c>
      <c r="R9" s="29" t="s">
        <v>117</v>
      </c>
      <c r="S9" s="29" t="s">
        <v>343</v>
      </c>
      <c r="T9" s="29" t="s">
        <v>119</v>
      </c>
      <c r="U9" s="29" t="s">
        <v>344</v>
      </c>
      <c r="V9" s="29" t="s">
        <v>345</v>
      </c>
      <c r="W9" s="29" t="s">
        <v>119</v>
      </c>
    </row>
    <row r="10" customFormat="false" ht="32.8" hidden="false" customHeight="false" outlineLevel="0" collapsed="false">
      <c r="A10" s="29" t="s">
        <v>346</v>
      </c>
      <c r="B10" s="29" t="s">
        <v>347</v>
      </c>
      <c r="C10" s="29" t="s">
        <v>348</v>
      </c>
      <c r="D10" s="29" t="s">
        <v>349</v>
      </c>
      <c r="E10" s="29" t="s">
        <v>350</v>
      </c>
      <c r="F10" s="29" t="s">
        <v>127</v>
      </c>
      <c r="G10" s="29"/>
      <c r="H10" s="29" t="s">
        <v>271</v>
      </c>
      <c r="I10" s="30" t="s">
        <v>351</v>
      </c>
      <c r="J10" s="29" t="s">
        <v>352</v>
      </c>
      <c r="K10" s="30" t="s">
        <v>353</v>
      </c>
      <c r="L10" s="31"/>
      <c r="M10" s="31"/>
      <c r="N10" s="31"/>
      <c r="O10" s="31"/>
      <c r="P10" s="29" t="s">
        <v>19</v>
      </c>
      <c r="Q10" s="32" t="n">
        <v>46300</v>
      </c>
      <c r="R10" s="29" t="s">
        <v>117</v>
      </c>
      <c r="S10" s="29" t="s">
        <v>354</v>
      </c>
      <c r="T10" s="29" t="s">
        <v>119</v>
      </c>
      <c r="U10" s="29" t="s">
        <v>355</v>
      </c>
      <c r="V10" s="29" t="s">
        <v>203</v>
      </c>
      <c r="W10" s="29" t="s">
        <v>119</v>
      </c>
    </row>
    <row r="11" customFormat="false" ht="32.8" hidden="false" customHeight="false" outlineLevel="0" collapsed="false">
      <c r="A11" s="29" t="s">
        <v>356</v>
      </c>
      <c r="B11" s="29" t="s">
        <v>357</v>
      </c>
      <c r="C11" s="29" t="s">
        <v>358</v>
      </c>
      <c r="D11" s="29" t="s">
        <v>243</v>
      </c>
      <c r="E11" s="29" t="s">
        <v>244</v>
      </c>
      <c r="F11" s="29" t="s">
        <v>127</v>
      </c>
      <c r="G11" s="29"/>
      <c r="H11" s="29" t="s">
        <v>359</v>
      </c>
      <c r="I11" s="30" t="s">
        <v>360</v>
      </c>
      <c r="J11" s="29"/>
      <c r="K11" s="30" t="s">
        <v>361</v>
      </c>
      <c r="L11" s="31"/>
      <c r="M11" s="31"/>
      <c r="N11" s="31"/>
      <c r="O11" s="31"/>
      <c r="P11" s="29" t="s">
        <v>19</v>
      </c>
      <c r="Q11" s="32" t="n">
        <v>46300</v>
      </c>
      <c r="R11" s="29" t="s">
        <v>117</v>
      </c>
      <c r="S11" s="29" t="s">
        <v>362</v>
      </c>
      <c r="T11" s="29" t="s">
        <v>119</v>
      </c>
      <c r="U11" s="29" t="s">
        <v>363</v>
      </c>
      <c r="V11" s="29" t="s">
        <v>203</v>
      </c>
      <c r="W11" s="29" t="s">
        <v>119</v>
      </c>
    </row>
    <row r="12" customFormat="false" ht="32.8" hidden="false" customHeight="false" outlineLevel="0" collapsed="false">
      <c r="A12" s="29" t="s">
        <v>364</v>
      </c>
      <c r="B12" s="29" t="s">
        <v>312</v>
      </c>
      <c r="C12" s="29" t="s">
        <v>365</v>
      </c>
      <c r="D12" s="29" t="s">
        <v>314</v>
      </c>
      <c r="E12" s="29" t="s">
        <v>315</v>
      </c>
      <c r="F12" s="29" t="s">
        <v>127</v>
      </c>
      <c r="G12" s="29"/>
      <c r="H12" s="29"/>
      <c r="I12" s="30" t="s">
        <v>316</v>
      </c>
      <c r="J12" s="29"/>
      <c r="K12" s="29"/>
      <c r="L12" s="31"/>
      <c r="M12" s="31"/>
      <c r="N12" s="31"/>
      <c r="O12" s="31"/>
      <c r="P12" s="29" t="s">
        <v>19</v>
      </c>
      <c r="Q12" s="32" t="n">
        <v>46300</v>
      </c>
      <c r="R12" s="29" t="s">
        <v>117</v>
      </c>
      <c r="S12" s="29"/>
      <c r="T12" s="29" t="s">
        <v>119</v>
      </c>
      <c r="U12" s="29" t="s">
        <v>366</v>
      </c>
      <c r="V12" s="29" t="s">
        <v>367</v>
      </c>
      <c r="W12" s="29" t="s">
        <v>119</v>
      </c>
    </row>
    <row r="13" customFormat="false" ht="15" hidden="false" customHeight="false" outlineLevel="0" collapsed="false">
      <c r="A13" s="29"/>
      <c r="B13" s="29"/>
      <c r="C13" s="29"/>
      <c r="D13" s="29"/>
      <c r="E13" s="29"/>
      <c r="F13" s="29"/>
      <c r="G13" s="29"/>
      <c r="H13" s="29"/>
      <c r="I13" s="29"/>
      <c r="J13" s="29"/>
      <c r="K13" s="29"/>
      <c r="L13" s="31"/>
      <c r="M13" s="31"/>
      <c r="N13" s="31"/>
      <c r="O13" s="31"/>
      <c r="P13" s="29"/>
      <c r="Q13" s="32"/>
      <c r="R13" s="29"/>
      <c r="S13" s="29"/>
      <c r="T13" s="29"/>
      <c r="U13" s="29"/>
      <c r="V13" s="29"/>
      <c r="W13" s="29"/>
    </row>
    <row r="14" customFormat="false" ht="15" hidden="false" customHeight="false" outlineLevel="0" collapsed="false">
      <c r="A14" s="29"/>
      <c r="B14" s="29"/>
      <c r="C14" s="29"/>
      <c r="D14" s="29"/>
      <c r="E14" s="29"/>
      <c r="F14" s="29"/>
      <c r="G14" s="29"/>
      <c r="H14" s="29"/>
      <c r="I14" s="29"/>
      <c r="J14" s="29"/>
      <c r="K14" s="29"/>
      <c r="L14" s="31"/>
      <c r="M14" s="31"/>
      <c r="N14" s="31"/>
      <c r="O14" s="31"/>
      <c r="P14" s="29"/>
      <c r="Q14" s="32"/>
      <c r="R14" s="29"/>
      <c r="S14" s="29"/>
      <c r="T14" s="29"/>
      <c r="U14" s="29"/>
      <c r="V14" s="29"/>
      <c r="W14" s="29"/>
    </row>
    <row r="15" customFormat="false" ht="15" hidden="false" customHeight="false" outlineLevel="0" collapsed="false">
      <c r="A15" s="29"/>
      <c r="B15" s="29"/>
      <c r="C15" s="29"/>
      <c r="D15" s="29"/>
      <c r="E15" s="29"/>
      <c r="F15" s="29"/>
      <c r="G15" s="29"/>
      <c r="H15" s="29"/>
      <c r="I15" s="29"/>
      <c r="J15" s="29"/>
      <c r="K15" s="29"/>
      <c r="L15" s="31"/>
      <c r="M15" s="31"/>
      <c r="N15" s="31"/>
      <c r="O15" s="31"/>
      <c r="P15" s="29"/>
      <c r="Q15" s="32"/>
      <c r="R15" s="29"/>
      <c r="S15" s="29"/>
      <c r="T15" s="29"/>
      <c r="U15" s="29"/>
      <c r="V15" s="29"/>
      <c r="W15" s="29"/>
    </row>
    <row r="16" customFormat="false" ht="15" hidden="false" customHeight="false" outlineLevel="0" collapsed="false">
      <c r="A16" s="29"/>
      <c r="B16" s="29"/>
      <c r="C16" s="29"/>
      <c r="D16" s="29"/>
      <c r="E16" s="29"/>
      <c r="F16" s="29"/>
      <c r="G16" s="29"/>
      <c r="H16" s="29"/>
      <c r="I16" s="29"/>
      <c r="J16" s="29"/>
      <c r="K16" s="29"/>
      <c r="L16" s="31"/>
      <c r="M16" s="31"/>
      <c r="N16" s="31"/>
      <c r="O16" s="31"/>
      <c r="P16" s="29"/>
      <c r="Q16" s="32"/>
      <c r="R16" s="29"/>
      <c r="S16" s="29"/>
      <c r="T16" s="29"/>
      <c r="U16" s="29"/>
      <c r="V16" s="29"/>
      <c r="W16" s="29"/>
    </row>
    <row r="17" customFormat="false" ht="15" hidden="false" customHeight="false" outlineLevel="0" collapsed="false">
      <c r="A17" s="29"/>
      <c r="B17" s="29"/>
      <c r="C17" s="29"/>
      <c r="D17" s="29"/>
      <c r="E17" s="29"/>
      <c r="F17" s="29"/>
      <c r="G17" s="29"/>
      <c r="H17" s="29"/>
      <c r="I17" s="29"/>
      <c r="J17" s="29"/>
      <c r="K17" s="29"/>
      <c r="L17" s="31"/>
      <c r="M17" s="31"/>
      <c r="N17" s="31"/>
      <c r="O17" s="31"/>
      <c r="P17" s="29"/>
      <c r="Q17" s="32"/>
      <c r="R17" s="29"/>
      <c r="S17" s="29"/>
      <c r="T17" s="29"/>
      <c r="U17" s="29"/>
      <c r="V17" s="29"/>
      <c r="W17" s="29"/>
    </row>
    <row r="18" customFormat="false" ht="15" hidden="false" customHeight="false" outlineLevel="0" collapsed="false">
      <c r="A18" s="29"/>
      <c r="B18" s="29"/>
      <c r="C18" s="29"/>
      <c r="D18" s="29"/>
      <c r="E18" s="29"/>
      <c r="F18" s="29"/>
      <c r="G18" s="29"/>
      <c r="H18" s="29"/>
      <c r="I18" s="29"/>
      <c r="J18" s="29"/>
      <c r="K18" s="29"/>
      <c r="L18" s="31"/>
      <c r="M18" s="31"/>
      <c r="N18" s="31"/>
      <c r="O18" s="31"/>
      <c r="P18" s="29"/>
      <c r="Q18" s="32"/>
      <c r="R18" s="29"/>
      <c r="S18" s="29"/>
      <c r="T18" s="29"/>
      <c r="U18" s="29"/>
      <c r="V18" s="29"/>
      <c r="W18" s="29"/>
    </row>
    <row r="19" customFormat="false" ht="15" hidden="false" customHeight="false" outlineLevel="0" collapsed="false">
      <c r="A19" s="29"/>
      <c r="B19" s="29"/>
      <c r="C19" s="29"/>
      <c r="D19" s="29"/>
      <c r="E19" s="29"/>
      <c r="F19" s="29"/>
      <c r="G19" s="29"/>
      <c r="H19" s="29"/>
      <c r="I19" s="29"/>
      <c r="J19" s="29"/>
      <c r="K19" s="29"/>
      <c r="L19" s="31"/>
      <c r="M19" s="31"/>
      <c r="N19" s="31"/>
      <c r="O19" s="31"/>
      <c r="P19" s="29"/>
      <c r="Q19" s="32"/>
      <c r="R19" s="29"/>
      <c r="S19" s="29"/>
      <c r="T19" s="29"/>
      <c r="U19" s="29"/>
      <c r="V19" s="29"/>
      <c r="W19" s="29"/>
    </row>
    <row r="20" customFormat="false" ht="15" hidden="false" customHeight="false" outlineLevel="0" collapsed="false">
      <c r="A20" s="29"/>
      <c r="B20" s="29"/>
      <c r="C20" s="29"/>
      <c r="D20" s="29"/>
      <c r="E20" s="29"/>
      <c r="F20" s="29"/>
      <c r="G20" s="29"/>
      <c r="H20" s="29"/>
      <c r="I20" s="29"/>
      <c r="J20" s="29"/>
      <c r="K20" s="29"/>
      <c r="L20" s="31"/>
      <c r="M20" s="31"/>
      <c r="N20" s="31"/>
      <c r="O20" s="31"/>
      <c r="P20" s="29"/>
      <c r="Q20" s="32"/>
      <c r="R20" s="29"/>
      <c r="S20" s="29"/>
      <c r="T20" s="29"/>
      <c r="U20" s="29"/>
      <c r="V20" s="29"/>
      <c r="W20" s="29"/>
    </row>
    <row r="21" customFormat="false" ht="15" hidden="false" customHeight="false" outlineLevel="0" collapsed="false">
      <c r="A21" s="29"/>
      <c r="B21" s="29"/>
      <c r="C21" s="29"/>
      <c r="D21" s="29"/>
      <c r="E21" s="29"/>
      <c r="F21" s="29"/>
      <c r="G21" s="29"/>
      <c r="H21" s="29"/>
      <c r="I21" s="29"/>
      <c r="J21" s="29"/>
      <c r="K21" s="29"/>
      <c r="L21" s="31"/>
      <c r="M21" s="31"/>
      <c r="N21" s="31"/>
      <c r="O21" s="31"/>
      <c r="P21" s="29"/>
      <c r="Q21" s="32"/>
      <c r="R21" s="29"/>
      <c r="S21" s="29"/>
      <c r="T21" s="29"/>
      <c r="U21" s="29"/>
      <c r="V21" s="29"/>
      <c r="W21" s="29"/>
    </row>
    <row r="22" customFormat="false" ht="15" hidden="false" customHeight="false" outlineLevel="0" collapsed="false">
      <c r="A22" s="29"/>
      <c r="B22" s="29"/>
      <c r="C22" s="29"/>
      <c r="D22" s="29"/>
      <c r="E22" s="29"/>
      <c r="F22" s="29"/>
      <c r="G22" s="29"/>
      <c r="H22" s="29"/>
      <c r="I22" s="29"/>
      <c r="J22" s="29"/>
      <c r="K22" s="29"/>
      <c r="L22" s="31"/>
      <c r="M22" s="31"/>
      <c r="N22" s="31"/>
      <c r="O22" s="31"/>
      <c r="P22" s="29"/>
      <c r="Q22" s="32"/>
      <c r="R22" s="29"/>
      <c r="S22" s="29"/>
      <c r="T22" s="29"/>
      <c r="U22" s="29"/>
      <c r="V22" s="29"/>
      <c r="W22" s="29"/>
    </row>
    <row r="23" customFormat="false" ht="15" hidden="false" customHeight="false" outlineLevel="0" collapsed="false">
      <c r="A23" s="29"/>
      <c r="B23" s="29"/>
      <c r="C23" s="29"/>
      <c r="D23" s="29"/>
      <c r="E23" s="29"/>
      <c r="F23" s="29"/>
      <c r="G23" s="29"/>
      <c r="H23" s="29"/>
      <c r="I23" s="29"/>
      <c r="J23" s="29"/>
      <c r="K23" s="29"/>
      <c r="L23" s="31"/>
      <c r="M23" s="31"/>
      <c r="N23" s="31"/>
      <c r="O23" s="31"/>
      <c r="P23" s="29"/>
      <c r="Q23" s="32"/>
      <c r="R23" s="29"/>
      <c r="S23" s="29"/>
      <c r="T23" s="29"/>
      <c r="U23" s="29"/>
      <c r="V23" s="29"/>
      <c r="W23" s="29"/>
    </row>
    <row r="24" customFormat="false" ht="15" hidden="false" customHeight="false" outlineLevel="0" collapsed="false">
      <c r="A24" s="29"/>
      <c r="B24" s="29"/>
      <c r="C24" s="29"/>
      <c r="D24" s="29"/>
      <c r="E24" s="29"/>
      <c r="F24" s="29"/>
      <c r="G24" s="29"/>
      <c r="H24" s="29"/>
      <c r="I24" s="29"/>
      <c r="J24" s="29"/>
      <c r="K24" s="29"/>
      <c r="L24" s="31"/>
      <c r="M24" s="31"/>
      <c r="N24" s="31"/>
      <c r="O24" s="31"/>
      <c r="P24" s="29"/>
      <c r="Q24" s="32"/>
      <c r="R24" s="29"/>
      <c r="S24" s="29"/>
      <c r="T24" s="29"/>
      <c r="U24" s="29"/>
      <c r="V24" s="29"/>
      <c r="W24" s="29"/>
    </row>
    <row r="25" customFormat="false" ht="15" hidden="false" customHeight="false" outlineLevel="0" collapsed="false">
      <c r="A25" s="29"/>
      <c r="B25" s="29"/>
      <c r="C25" s="29"/>
      <c r="D25" s="29"/>
      <c r="E25" s="29"/>
      <c r="F25" s="29"/>
      <c r="G25" s="29"/>
      <c r="H25" s="29"/>
      <c r="I25" s="29"/>
      <c r="J25" s="29"/>
      <c r="K25" s="29"/>
      <c r="L25" s="31"/>
      <c r="M25" s="31"/>
      <c r="N25" s="31"/>
      <c r="O25" s="31"/>
      <c r="P25" s="29"/>
      <c r="Q25" s="32"/>
      <c r="R25" s="29"/>
      <c r="S25" s="29"/>
      <c r="T25" s="29"/>
      <c r="U25" s="29"/>
      <c r="V25" s="29"/>
      <c r="W25" s="29"/>
    </row>
    <row r="26" customFormat="false" ht="15" hidden="false" customHeight="false" outlineLevel="0" collapsed="false">
      <c r="A26" s="29"/>
      <c r="B26" s="29"/>
      <c r="C26" s="29"/>
      <c r="D26" s="29"/>
      <c r="E26" s="29"/>
      <c r="F26" s="29"/>
      <c r="G26" s="29"/>
      <c r="H26" s="29"/>
      <c r="I26" s="29"/>
      <c r="J26" s="29"/>
      <c r="K26" s="29"/>
      <c r="L26" s="31"/>
      <c r="M26" s="31"/>
      <c r="N26" s="31"/>
      <c r="O26" s="31"/>
      <c r="P26" s="29"/>
      <c r="Q26" s="32"/>
      <c r="R26" s="29"/>
      <c r="S26" s="29"/>
      <c r="T26" s="29"/>
      <c r="U26" s="29"/>
      <c r="V26" s="29"/>
      <c r="W26" s="29"/>
    </row>
    <row r="27" customFormat="false" ht="15" hidden="false" customHeight="false" outlineLevel="0" collapsed="false">
      <c r="A27" s="29"/>
      <c r="B27" s="29"/>
      <c r="C27" s="29"/>
      <c r="D27" s="29"/>
      <c r="E27" s="29"/>
      <c r="F27" s="29"/>
      <c r="G27" s="29"/>
      <c r="H27" s="29"/>
      <c r="I27" s="29"/>
      <c r="J27" s="29"/>
      <c r="K27" s="29"/>
      <c r="L27" s="31"/>
      <c r="M27" s="31"/>
      <c r="N27" s="31"/>
      <c r="O27" s="31"/>
      <c r="P27" s="29"/>
      <c r="Q27" s="32"/>
      <c r="R27" s="29"/>
      <c r="S27" s="29"/>
      <c r="T27" s="29"/>
      <c r="U27" s="29"/>
      <c r="V27" s="29"/>
      <c r="W27" s="29"/>
    </row>
    <row r="28" customFormat="false" ht="15" hidden="false" customHeight="false" outlineLevel="0" collapsed="false">
      <c r="A28" s="33"/>
      <c r="B28" s="33"/>
      <c r="C28" s="33"/>
      <c r="D28" s="33"/>
      <c r="E28" s="33"/>
      <c r="F28" s="33"/>
      <c r="G28" s="33"/>
      <c r="H28" s="33"/>
      <c r="I28" s="33"/>
      <c r="J28" s="33"/>
      <c r="K28" s="33"/>
      <c r="L28" s="34"/>
      <c r="M28" s="34"/>
      <c r="N28" s="34"/>
      <c r="O28" s="34"/>
      <c r="P28" s="33"/>
      <c r="Q28" s="35"/>
      <c r="R28" s="33"/>
      <c r="S28" s="33"/>
      <c r="T28" s="33"/>
      <c r="U28" s="33"/>
      <c r="V28" s="33"/>
      <c r="W28" s="33"/>
    </row>
    <row r="29" customFormat="false" ht="15" hidden="false" customHeight="false" outlineLevel="0" collapsed="false">
      <c r="A29" s="33"/>
      <c r="B29" s="33"/>
      <c r="C29" s="33"/>
      <c r="D29" s="33"/>
      <c r="E29" s="33"/>
      <c r="F29" s="33"/>
      <c r="G29" s="33"/>
      <c r="H29" s="33"/>
      <c r="I29" s="33"/>
      <c r="J29" s="33"/>
      <c r="K29" s="33"/>
      <c r="L29" s="34"/>
      <c r="M29" s="34"/>
      <c r="N29" s="34"/>
      <c r="O29" s="34"/>
      <c r="P29" s="33"/>
      <c r="Q29" s="35"/>
      <c r="R29" s="33"/>
      <c r="S29" s="33"/>
      <c r="T29" s="33"/>
      <c r="U29" s="33"/>
      <c r="V29" s="33"/>
      <c r="W29" s="33"/>
    </row>
    <row r="30" customFormat="false" ht="15" hidden="false" customHeight="false" outlineLevel="0" collapsed="false">
      <c r="A30" s="33"/>
      <c r="B30" s="33"/>
      <c r="C30" s="33"/>
      <c r="D30" s="33"/>
      <c r="E30" s="33"/>
      <c r="F30" s="33"/>
      <c r="G30" s="33"/>
      <c r="H30" s="33"/>
      <c r="I30" s="33"/>
      <c r="J30" s="33"/>
      <c r="K30" s="33"/>
      <c r="L30" s="34"/>
      <c r="M30" s="34"/>
      <c r="N30" s="34"/>
      <c r="O30" s="34"/>
      <c r="P30" s="33"/>
      <c r="Q30" s="35"/>
      <c r="R30" s="33"/>
      <c r="S30" s="33"/>
      <c r="T30" s="33"/>
      <c r="U30" s="33"/>
      <c r="V30" s="33"/>
      <c r="W30" s="33"/>
    </row>
    <row r="31" customFormat="false" ht="15" hidden="false" customHeight="false" outlineLevel="0" collapsed="false">
      <c r="A31" s="33"/>
      <c r="B31" s="33"/>
      <c r="C31" s="33"/>
      <c r="D31" s="33"/>
      <c r="E31" s="33"/>
      <c r="F31" s="33"/>
      <c r="G31" s="33"/>
      <c r="H31" s="33"/>
      <c r="I31" s="33"/>
      <c r="J31" s="33"/>
      <c r="K31" s="33"/>
      <c r="L31" s="34"/>
      <c r="M31" s="34"/>
      <c r="N31" s="34"/>
      <c r="O31" s="34"/>
      <c r="P31" s="33"/>
      <c r="Q31" s="35"/>
      <c r="R31" s="33"/>
      <c r="S31" s="33"/>
      <c r="T31" s="33"/>
      <c r="U31" s="33"/>
      <c r="V31" s="33"/>
      <c r="W31" s="33"/>
    </row>
    <row r="32" customFormat="false" ht="15" hidden="false" customHeight="false" outlineLevel="0" collapsed="false">
      <c r="A32" s="33"/>
      <c r="B32" s="33"/>
      <c r="C32" s="33"/>
      <c r="D32" s="33"/>
      <c r="E32" s="33"/>
      <c r="F32" s="33"/>
      <c r="G32" s="33"/>
      <c r="H32" s="33"/>
      <c r="I32" s="33"/>
      <c r="J32" s="33"/>
      <c r="K32" s="33"/>
      <c r="L32" s="34"/>
      <c r="M32" s="34"/>
      <c r="N32" s="34"/>
      <c r="O32" s="34"/>
      <c r="P32" s="33"/>
      <c r="Q32" s="35"/>
      <c r="R32" s="33"/>
      <c r="S32" s="33"/>
      <c r="T32" s="33"/>
      <c r="U32" s="33"/>
      <c r="V32" s="33"/>
      <c r="W32" s="33"/>
    </row>
    <row r="33" customFormat="false" ht="15" hidden="false" customHeight="false" outlineLevel="0" collapsed="false">
      <c r="A33" s="33"/>
      <c r="B33" s="33"/>
      <c r="C33" s="33"/>
      <c r="D33" s="33"/>
      <c r="E33" s="33"/>
      <c r="F33" s="33"/>
      <c r="G33" s="33"/>
      <c r="H33" s="33"/>
      <c r="I33" s="33"/>
      <c r="J33" s="33"/>
      <c r="K33" s="33"/>
      <c r="L33" s="34"/>
      <c r="M33" s="34"/>
      <c r="N33" s="34"/>
      <c r="O33" s="34"/>
      <c r="P33" s="33"/>
      <c r="Q33" s="35"/>
      <c r="R33" s="33"/>
      <c r="S33" s="33"/>
      <c r="T33" s="33"/>
      <c r="U33" s="33"/>
      <c r="V33" s="33"/>
      <c r="W33" s="33"/>
    </row>
    <row r="34" customFormat="false" ht="15" hidden="false" customHeight="false" outlineLevel="0" collapsed="false">
      <c r="A34" s="33"/>
      <c r="B34" s="33"/>
      <c r="C34" s="33"/>
      <c r="D34" s="33"/>
      <c r="E34" s="33"/>
      <c r="F34" s="33"/>
      <c r="G34" s="33"/>
      <c r="H34" s="33"/>
      <c r="I34" s="33"/>
      <c r="J34" s="33"/>
      <c r="K34" s="33"/>
      <c r="L34" s="34"/>
      <c r="M34" s="34"/>
      <c r="N34" s="34"/>
      <c r="O34" s="34"/>
      <c r="P34" s="33"/>
      <c r="Q34" s="35"/>
      <c r="R34" s="33"/>
      <c r="S34" s="33"/>
      <c r="T34" s="33"/>
      <c r="U34" s="33"/>
      <c r="V34" s="33"/>
      <c r="W34" s="33"/>
    </row>
    <row r="35" customFormat="false" ht="15" hidden="false" customHeight="false" outlineLevel="0" collapsed="false">
      <c r="A35" s="33"/>
      <c r="B35" s="33"/>
      <c r="C35" s="33"/>
      <c r="D35" s="33"/>
      <c r="E35" s="33"/>
      <c r="F35" s="33"/>
      <c r="G35" s="33"/>
      <c r="H35" s="33"/>
      <c r="I35" s="33"/>
      <c r="J35" s="33"/>
      <c r="K35" s="33"/>
      <c r="L35" s="34"/>
      <c r="M35" s="34"/>
      <c r="N35" s="34"/>
      <c r="O35" s="34"/>
      <c r="P35" s="33"/>
      <c r="Q35" s="35"/>
      <c r="R35" s="33"/>
      <c r="S35" s="33"/>
      <c r="T35" s="33"/>
      <c r="U35" s="33"/>
      <c r="V35" s="33"/>
      <c r="W35" s="33"/>
    </row>
    <row r="36" customFormat="false" ht="15" hidden="false" customHeight="false" outlineLevel="0" collapsed="false">
      <c r="A36" s="33"/>
      <c r="B36" s="33"/>
      <c r="C36" s="33"/>
      <c r="D36" s="33"/>
      <c r="E36" s="33"/>
      <c r="F36" s="33"/>
      <c r="G36" s="33"/>
      <c r="H36" s="33"/>
      <c r="I36" s="33"/>
      <c r="J36" s="33"/>
      <c r="K36" s="33"/>
      <c r="L36" s="34"/>
      <c r="M36" s="34"/>
      <c r="N36" s="34"/>
      <c r="O36" s="34"/>
      <c r="P36" s="33"/>
      <c r="Q36" s="35"/>
      <c r="R36" s="33"/>
      <c r="S36" s="33"/>
      <c r="T36" s="33"/>
      <c r="U36" s="33"/>
      <c r="V36" s="33"/>
      <c r="W36" s="33"/>
    </row>
    <row r="37" customFormat="false" ht="15" hidden="false" customHeight="false" outlineLevel="0" collapsed="false">
      <c r="A37" s="33"/>
      <c r="B37" s="33"/>
      <c r="C37" s="33"/>
      <c r="D37" s="33"/>
      <c r="E37" s="33"/>
      <c r="F37" s="33"/>
      <c r="G37" s="33"/>
      <c r="H37" s="33"/>
      <c r="I37" s="33"/>
      <c r="J37" s="33"/>
      <c r="K37" s="33"/>
      <c r="L37" s="34"/>
      <c r="M37" s="34"/>
      <c r="N37" s="34"/>
      <c r="O37" s="34"/>
      <c r="P37" s="33"/>
      <c r="Q37" s="35"/>
      <c r="R37" s="33"/>
      <c r="S37" s="33"/>
      <c r="T37" s="33"/>
      <c r="U37" s="33"/>
      <c r="V37" s="33"/>
      <c r="W37" s="33"/>
    </row>
    <row r="38" customFormat="false" ht="15" hidden="false" customHeight="false" outlineLevel="0" collapsed="false">
      <c r="A38" s="33"/>
      <c r="B38" s="33"/>
      <c r="C38" s="33"/>
      <c r="D38" s="33"/>
      <c r="E38" s="33"/>
      <c r="F38" s="33"/>
      <c r="G38" s="33"/>
      <c r="H38" s="33"/>
      <c r="I38" s="33"/>
      <c r="J38" s="33"/>
      <c r="K38" s="33"/>
      <c r="L38" s="34"/>
      <c r="M38" s="34"/>
      <c r="N38" s="34"/>
      <c r="O38" s="34"/>
      <c r="P38" s="33"/>
      <c r="Q38" s="35"/>
      <c r="R38" s="33"/>
      <c r="S38" s="33"/>
      <c r="T38" s="33"/>
      <c r="U38" s="33"/>
      <c r="V38" s="33"/>
      <c r="W38" s="33"/>
    </row>
    <row r="39" customFormat="false" ht="15" hidden="false" customHeight="false" outlineLevel="0" collapsed="false">
      <c r="A39" s="33"/>
      <c r="B39" s="33"/>
      <c r="C39" s="33"/>
      <c r="D39" s="33"/>
      <c r="E39" s="33"/>
      <c r="F39" s="33"/>
      <c r="G39" s="33"/>
      <c r="H39" s="33"/>
      <c r="I39" s="33"/>
      <c r="J39" s="33"/>
      <c r="K39" s="33"/>
      <c r="L39" s="34"/>
      <c r="M39" s="34"/>
      <c r="N39" s="34"/>
      <c r="O39" s="34"/>
      <c r="P39" s="33"/>
      <c r="Q39" s="35"/>
      <c r="R39" s="33"/>
      <c r="S39" s="33"/>
      <c r="T39" s="33"/>
      <c r="U39" s="33"/>
      <c r="V39" s="33"/>
      <c r="W39" s="33"/>
    </row>
    <row r="40" customFormat="false" ht="15" hidden="false" customHeight="false" outlineLevel="0" collapsed="false">
      <c r="A40" s="33"/>
      <c r="B40" s="33"/>
      <c r="C40" s="33"/>
      <c r="D40" s="33"/>
      <c r="E40" s="33"/>
      <c r="F40" s="33"/>
      <c r="G40" s="33"/>
      <c r="H40" s="33"/>
      <c r="I40" s="33"/>
      <c r="J40" s="33"/>
      <c r="K40" s="33"/>
      <c r="L40" s="34"/>
      <c r="M40" s="34"/>
      <c r="N40" s="34"/>
      <c r="O40" s="34"/>
      <c r="P40" s="33"/>
      <c r="Q40" s="35"/>
      <c r="R40" s="33"/>
      <c r="S40" s="33"/>
      <c r="T40" s="33"/>
      <c r="U40" s="33"/>
      <c r="V40" s="33"/>
      <c r="W40" s="33"/>
    </row>
    <row r="41" customFormat="false" ht="15" hidden="false" customHeight="false" outlineLevel="0" collapsed="false">
      <c r="A41" s="33"/>
      <c r="B41" s="33"/>
      <c r="C41" s="33"/>
      <c r="D41" s="33"/>
      <c r="E41" s="33"/>
      <c r="F41" s="33"/>
      <c r="G41" s="33"/>
      <c r="H41" s="33"/>
      <c r="I41" s="33"/>
      <c r="J41" s="33"/>
      <c r="K41" s="33"/>
      <c r="L41" s="34"/>
      <c r="M41" s="34"/>
      <c r="N41" s="34"/>
      <c r="O41" s="34"/>
      <c r="P41" s="33"/>
      <c r="Q41" s="35"/>
      <c r="R41" s="33"/>
      <c r="S41" s="33"/>
      <c r="T41" s="33"/>
      <c r="U41" s="33"/>
      <c r="V41" s="33"/>
      <c r="W41" s="33"/>
    </row>
    <row r="42" customFormat="false" ht="15" hidden="false" customHeight="false" outlineLevel="0" collapsed="false">
      <c r="A42" s="33"/>
      <c r="B42" s="33"/>
      <c r="C42" s="33"/>
      <c r="D42" s="33"/>
      <c r="E42" s="33"/>
      <c r="F42" s="33"/>
      <c r="G42" s="33"/>
      <c r="H42" s="33"/>
      <c r="I42" s="33"/>
      <c r="J42" s="33"/>
      <c r="K42" s="33"/>
      <c r="L42" s="34"/>
      <c r="M42" s="34"/>
      <c r="N42" s="34"/>
      <c r="O42" s="34"/>
      <c r="P42" s="33"/>
      <c r="Q42" s="35"/>
      <c r="R42" s="33"/>
      <c r="S42" s="33"/>
      <c r="T42" s="33"/>
      <c r="U42" s="33"/>
      <c r="V42" s="33"/>
      <c r="W42" s="33"/>
    </row>
    <row r="43" customFormat="false" ht="15" hidden="false" customHeight="false" outlineLevel="0" collapsed="false">
      <c r="A43" s="33"/>
      <c r="B43" s="33"/>
      <c r="C43" s="33"/>
      <c r="D43" s="33"/>
      <c r="E43" s="33"/>
      <c r="F43" s="33"/>
      <c r="G43" s="33"/>
      <c r="H43" s="33"/>
      <c r="I43" s="33"/>
      <c r="J43" s="33"/>
      <c r="K43" s="33"/>
      <c r="L43" s="34"/>
      <c r="M43" s="34"/>
      <c r="N43" s="34"/>
      <c r="O43" s="34"/>
      <c r="P43" s="33"/>
      <c r="Q43" s="35"/>
      <c r="R43" s="33"/>
      <c r="S43" s="33"/>
      <c r="T43" s="33"/>
      <c r="U43" s="33"/>
      <c r="V43" s="33"/>
      <c r="W43" s="33"/>
    </row>
    <row r="44" customFormat="false" ht="15" hidden="false" customHeight="false" outlineLevel="0" collapsed="false">
      <c r="A44" s="33"/>
      <c r="B44" s="33"/>
      <c r="C44" s="33"/>
      <c r="D44" s="33"/>
      <c r="E44" s="33"/>
      <c r="F44" s="33"/>
      <c r="G44" s="33"/>
      <c r="H44" s="33"/>
      <c r="I44" s="33"/>
      <c r="J44" s="33"/>
      <c r="K44" s="33"/>
      <c r="L44" s="34"/>
      <c r="M44" s="34"/>
      <c r="N44" s="34"/>
      <c r="O44" s="34"/>
      <c r="P44" s="33"/>
      <c r="Q44" s="35"/>
      <c r="R44" s="33"/>
      <c r="S44" s="33"/>
      <c r="T44" s="33"/>
      <c r="U44" s="33"/>
      <c r="V44" s="33"/>
      <c r="W44" s="33"/>
    </row>
    <row r="45" customFormat="false" ht="15" hidden="false" customHeight="false" outlineLevel="0" collapsed="false">
      <c r="A45" s="33"/>
      <c r="B45" s="33"/>
      <c r="C45" s="33"/>
      <c r="D45" s="33"/>
      <c r="E45" s="33"/>
      <c r="F45" s="33"/>
      <c r="G45" s="33"/>
      <c r="H45" s="33"/>
      <c r="I45" s="33"/>
      <c r="J45" s="33"/>
      <c r="K45" s="33"/>
      <c r="L45" s="34"/>
      <c r="M45" s="34"/>
      <c r="N45" s="34"/>
      <c r="O45" s="34"/>
      <c r="P45" s="33"/>
      <c r="Q45" s="35"/>
      <c r="R45" s="33"/>
      <c r="S45" s="33"/>
      <c r="T45" s="33"/>
      <c r="U45" s="33"/>
      <c r="V45" s="33"/>
      <c r="W45" s="33"/>
    </row>
    <row r="46" customFormat="false" ht="15" hidden="false" customHeight="false" outlineLevel="0" collapsed="false">
      <c r="A46" s="33"/>
      <c r="B46" s="33"/>
      <c r="C46" s="33"/>
      <c r="D46" s="33"/>
      <c r="E46" s="33"/>
      <c r="F46" s="33"/>
      <c r="G46" s="33"/>
      <c r="H46" s="33"/>
      <c r="I46" s="33"/>
      <c r="J46" s="33"/>
      <c r="K46" s="33"/>
      <c r="L46" s="34"/>
      <c r="M46" s="34"/>
      <c r="N46" s="34"/>
      <c r="O46" s="34"/>
      <c r="P46" s="33"/>
      <c r="Q46" s="35"/>
      <c r="R46" s="33"/>
      <c r="S46" s="33"/>
      <c r="T46" s="33"/>
      <c r="U46" s="33"/>
      <c r="V46" s="33"/>
      <c r="W46" s="33"/>
    </row>
    <row r="47" customFormat="false" ht="15" hidden="false" customHeight="false" outlineLevel="0" collapsed="false">
      <c r="A47" s="33"/>
      <c r="B47" s="33"/>
      <c r="C47" s="33"/>
      <c r="D47" s="33"/>
      <c r="E47" s="33"/>
      <c r="F47" s="33"/>
      <c r="G47" s="33"/>
      <c r="H47" s="33"/>
      <c r="I47" s="33"/>
      <c r="J47" s="33"/>
      <c r="K47" s="33"/>
      <c r="L47" s="34"/>
      <c r="M47" s="34"/>
      <c r="N47" s="34"/>
      <c r="O47" s="34"/>
      <c r="P47" s="33"/>
      <c r="Q47" s="35"/>
      <c r="R47" s="33"/>
      <c r="S47" s="33"/>
      <c r="T47" s="33"/>
      <c r="U47" s="33"/>
      <c r="V47" s="33"/>
      <c r="W47" s="33"/>
    </row>
    <row r="48" customFormat="false" ht="15" hidden="false" customHeight="false" outlineLevel="0" collapsed="false">
      <c r="A48" s="33"/>
      <c r="B48" s="33"/>
      <c r="C48" s="33"/>
      <c r="D48" s="33"/>
      <c r="E48" s="33"/>
      <c r="F48" s="33"/>
      <c r="G48" s="33"/>
      <c r="H48" s="33"/>
      <c r="I48" s="33"/>
      <c r="J48" s="33"/>
      <c r="K48" s="33"/>
      <c r="L48" s="34"/>
      <c r="M48" s="34"/>
      <c r="N48" s="34"/>
      <c r="O48" s="34"/>
      <c r="P48" s="33"/>
      <c r="Q48" s="35"/>
      <c r="R48" s="33"/>
      <c r="S48" s="33"/>
      <c r="T48" s="33"/>
      <c r="U48" s="33"/>
      <c r="V48" s="33"/>
      <c r="W48" s="33"/>
    </row>
    <row r="49" customFormat="false" ht="15" hidden="false" customHeight="false" outlineLevel="0" collapsed="false">
      <c r="A49" s="33"/>
      <c r="B49" s="33"/>
      <c r="C49" s="33"/>
      <c r="D49" s="33"/>
      <c r="E49" s="33"/>
      <c r="F49" s="33"/>
      <c r="G49" s="33"/>
      <c r="H49" s="33"/>
      <c r="I49" s="33"/>
      <c r="J49" s="33"/>
      <c r="K49" s="33"/>
      <c r="L49" s="34"/>
      <c r="M49" s="34"/>
      <c r="N49" s="34"/>
      <c r="O49" s="34"/>
      <c r="P49" s="33"/>
      <c r="Q49" s="35"/>
      <c r="R49" s="33"/>
      <c r="S49" s="33"/>
      <c r="T49" s="33"/>
      <c r="U49" s="33"/>
      <c r="V49" s="33"/>
      <c r="W49" s="33"/>
    </row>
    <row r="50" customFormat="false" ht="15" hidden="false" customHeight="false" outlineLevel="0" collapsed="false">
      <c r="A50" s="33"/>
      <c r="B50" s="33"/>
      <c r="C50" s="33"/>
      <c r="D50" s="33"/>
      <c r="E50" s="33"/>
      <c r="F50" s="33"/>
      <c r="G50" s="33"/>
      <c r="H50" s="33"/>
      <c r="I50" s="33"/>
      <c r="J50" s="33"/>
      <c r="K50" s="33"/>
      <c r="L50" s="34"/>
      <c r="M50" s="34"/>
      <c r="N50" s="34"/>
      <c r="O50" s="34"/>
      <c r="P50" s="33"/>
      <c r="Q50" s="35"/>
      <c r="R50" s="33"/>
      <c r="S50" s="33"/>
      <c r="T50" s="33"/>
      <c r="U50" s="33"/>
      <c r="V50" s="33"/>
      <c r="W50" s="33"/>
    </row>
    <row r="51" customFormat="false" ht="15" hidden="false" customHeight="false" outlineLevel="0" collapsed="false">
      <c r="A51" s="33"/>
      <c r="B51" s="33"/>
      <c r="C51" s="33"/>
      <c r="D51" s="33"/>
      <c r="E51" s="33"/>
      <c r="F51" s="33"/>
      <c r="G51" s="33"/>
      <c r="H51" s="33"/>
      <c r="I51" s="33"/>
      <c r="J51" s="33"/>
      <c r="K51" s="33"/>
      <c r="L51" s="34"/>
      <c r="M51" s="34"/>
      <c r="N51" s="34"/>
      <c r="O51" s="34"/>
      <c r="P51" s="33"/>
      <c r="Q51" s="35"/>
      <c r="R51" s="33"/>
      <c r="S51" s="33"/>
      <c r="T51" s="33"/>
      <c r="U51" s="33"/>
      <c r="V51" s="33"/>
      <c r="W51" s="33"/>
    </row>
    <row r="52" customFormat="false" ht="15" hidden="false" customHeight="false" outlineLevel="0" collapsed="false">
      <c r="A52" s="33"/>
      <c r="B52" s="33"/>
      <c r="C52" s="33"/>
      <c r="D52" s="33"/>
      <c r="E52" s="33"/>
      <c r="F52" s="33"/>
      <c r="G52" s="33"/>
      <c r="H52" s="33"/>
      <c r="I52" s="33"/>
      <c r="J52" s="33"/>
      <c r="K52" s="33"/>
      <c r="L52" s="34"/>
      <c r="M52" s="34"/>
      <c r="N52" s="34"/>
      <c r="O52" s="34"/>
      <c r="P52" s="33"/>
      <c r="Q52" s="35"/>
      <c r="R52" s="33"/>
      <c r="S52" s="33"/>
      <c r="T52" s="33"/>
      <c r="U52" s="33"/>
      <c r="V52" s="33"/>
      <c r="W52" s="33"/>
    </row>
    <row r="53" customFormat="false" ht="15" hidden="false" customHeight="false" outlineLevel="0" collapsed="false">
      <c r="A53" s="33"/>
      <c r="B53" s="33"/>
      <c r="C53" s="33"/>
      <c r="D53" s="33"/>
      <c r="E53" s="33"/>
      <c r="F53" s="33"/>
      <c r="G53" s="33"/>
      <c r="H53" s="33"/>
      <c r="I53" s="33"/>
      <c r="J53" s="33"/>
      <c r="K53" s="33"/>
      <c r="L53" s="34"/>
      <c r="M53" s="34"/>
      <c r="N53" s="34"/>
      <c r="O53" s="34"/>
      <c r="P53" s="33"/>
      <c r="Q53" s="35"/>
      <c r="R53" s="33"/>
      <c r="S53" s="33"/>
      <c r="T53" s="33"/>
      <c r="U53" s="33"/>
      <c r="V53" s="33"/>
      <c r="W53" s="33"/>
    </row>
    <row r="54" customFormat="false" ht="15" hidden="false" customHeight="false" outlineLevel="0" collapsed="false">
      <c r="A54" s="33"/>
      <c r="B54" s="33"/>
      <c r="C54" s="33"/>
      <c r="D54" s="33"/>
      <c r="E54" s="33"/>
      <c r="F54" s="33"/>
      <c r="G54" s="33"/>
      <c r="H54" s="33"/>
      <c r="I54" s="33"/>
      <c r="J54" s="33"/>
      <c r="K54" s="33"/>
      <c r="L54" s="34"/>
      <c r="M54" s="34"/>
      <c r="N54" s="34"/>
      <c r="O54" s="34"/>
      <c r="P54" s="33"/>
      <c r="Q54" s="35"/>
      <c r="R54" s="33"/>
      <c r="S54" s="33"/>
      <c r="T54" s="33"/>
      <c r="U54" s="33"/>
      <c r="V54" s="33"/>
      <c r="W54" s="33"/>
    </row>
    <row r="55" customFormat="false" ht="15" hidden="false" customHeight="false" outlineLevel="0" collapsed="false">
      <c r="A55" s="33"/>
      <c r="B55" s="33"/>
      <c r="C55" s="33"/>
      <c r="D55" s="33"/>
      <c r="E55" s="33"/>
      <c r="F55" s="33"/>
      <c r="G55" s="33"/>
      <c r="H55" s="33"/>
      <c r="I55" s="33"/>
      <c r="J55" s="33"/>
      <c r="K55" s="33"/>
      <c r="L55" s="34"/>
      <c r="M55" s="34"/>
      <c r="N55" s="34"/>
      <c r="O55" s="34"/>
      <c r="P55" s="33"/>
      <c r="Q55" s="35"/>
      <c r="R55" s="33"/>
      <c r="S55" s="33"/>
      <c r="T55" s="33"/>
      <c r="U55" s="33"/>
      <c r="V55" s="33"/>
      <c r="W55" s="33"/>
    </row>
    <row r="56" customFormat="false" ht="15" hidden="false" customHeight="false" outlineLevel="0" collapsed="false">
      <c r="A56" s="33"/>
      <c r="B56" s="33"/>
      <c r="C56" s="33"/>
      <c r="D56" s="33"/>
      <c r="E56" s="33"/>
      <c r="F56" s="33"/>
      <c r="G56" s="33"/>
      <c r="H56" s="33"/>
      <c r="I56" s="33"/>
      <c r="J56" s="33"/>
      <c r="K56" s="33"/>
      <c r="L56" s="34"/>
      <c r="M56" s="34"/>
      <c r="N56" s="34"/>
      <c r="O56" s="34"/>
      <c r="P56" s="33"/>
      <c r="Q56" s="35"/>
      <c r="R56" s="33"/>
      <c r="S56" s="33"/>
      <c r="T56" s="33"/>
      <c r="U56" s="33"/>
      <c r="V56" s="33"/>
      <c r="W56" s="33"/>
    </row>
    <row r="57" customFormat="false" ht="15" hidden="false" customHeight="false" outlineLevel="0" collapsed="false">
      <c r="A57" s="33"/>
      <c r="B57" s="33"/>
      <c r="C57" s="33"/>
      <c r="D57" s="33"/>
      <c r="E57" s="33"/>
      <c r="F57" s="33"/>
      <c r="G57" s="33"/>
      <c r="H57" s="33"/>
      <c r="I57" s="33"/>
      <c r="J57" s="33"/>
      <c r="K57" s="33"/>
      <c r="L57" s="34"/>
      <c r="M57" s="34"/>
      <c r="N57" s="34"/>
      <c r="O57" s="34"/>
      <c r="P57" s="33"/>
      <c r="Q57" s="35"/>
      <c r="R57" s="33"/>
      <c r="S57" s="33"/>
      <c r="T57" s="33"/>
      <c r="U57" s="33"/>
      <c r="V57" s="33"/>
      <c r="W57" s="33"/>
    </row>
    <row r="58" customFormat="false" ht="15" hidden="false" customHeight="false" outlineLevel="0" collapsed="false">
      <c r="A58" s="33"/>
      <c r="B58" s="33"/>
      <c r="C58" s="33"/>
      <c r="D58" s="33"/>
      <c r="E58" s="33"/>
      <c r="F58" s="33"/>
      <c r="G58" s="33"/>
      <c r="H58" s="33"/>
      <c r="I58" s="33"/>
      <c r="J58" s="33"/>
      <c r="K58" s="33"/>
      <c r="L58" s="34"/>
      <c r="M58" s="34"/>
      <c r="N58" s="34"/>
      <c r="O58" s="34"/>
      <c r="P58" s="33"/>
      <c r="Q58" s="35"/>
      <c r="R58" s="33"/>
      <c r="S58" s="33"/>
      <c r="T58" s="33"/>
      <c r="U58" s="33"/>
      <c r="V58" s="33"/>
      <c r="W58" s="33"/>
    </row>
    <row r="59" customFormat="false" ht="15" hidden="false" customHeight="false" outlineLevel="0" collapsed="false">
      <c r="A59" s="33"/>
      <c r="B59" s="33"/>
      <c r="C59" s="33"/>
      <c r="D59" s="33"/>
      <c r="E59" s="33"/>
      <c r="F59" s="33"/>
      <c r="G59" s="33"/>
      <c r="H59" s="33"/>
      <c r="I59" s="33"/>
      <c r="J59" s="33"/>
      <c r="K59" s="33"/>
      <c r="L59" s="34"/>
      <c r="M59" s="34"/>
      <c r="N59" s="34"/>
      <c r="O59" s="34"/>
      <c r="P59" s="33"/>
      <c r="Q59" s="35"/>
      <c r="R59" s="33"/>
      <c r="S59" s="33"/>
      <c r="T59" s="33"/>
      <c r="U59" s="33"/>
      <c r="V59" s="33"/>
      <c r="W59" s="33"/>
    </row>
    <row r="60" customFormat="false" ht="15" hidden="false" customHeight="false" outlineLevel="0" collapsed="false">
      <c r="A60" s="33"/>
      <c r="B60" s="33"/>
      <c r="C60" s="33"/>
      <c r="D60" s="33"/>
      <c r="E60" s="33"/>
      <c r="F60" s="33"/>
      <c r="G60" s="33"/>
      <c r="H60" s="33"/>
      <c r="I60" s="33"/>
      <c r="J60" s="33"/>
      <c r="K60" s="33"/>
      <c r="L60" s="34"/>
      <c r="M60" s="34"/>
      <c r="N60" s="34"/>
      <c r="O60" s="34"/>
      <c r="P60" s="33"/>
      <c r="Q60" s="35"/>
      <c r="R60" s="33"/>
      <c r="S60" s="33"/>
      <c r="T60" s="33"/>
      <c r="U60" s="33"/>
      <c r="V60" s="33"/>
      <c r="W60" s="33"/>
    </row>
    <row r="61" customFormat="false" ht="15" hidden="false" customHeight="false" outlineLevel="0" collapsed="false">
      <c r="A61" s="33"/>
      <c r="B61" s="33"/>
      <c r="C61" s="33"/>
      <c r="D61" s="33"/>
      <c r="E61" s="33"/>
      <c r="F61" s="33"/>
      <c r="G61" s="33"/>
      <c r="H61" s="33"/>
      <c r="I61" s="33"/>
      <c r="J61" s="33"/>
      <c r="K61" s="33"/>
      <c r="L61" s="34"/>
      <c r="M61" s="34"/>
      <c r="N61" s="34"/>
      <c r="O61" s="34"/>
      <c r="P61" s="33"/>
      <c r="Q61" s="35"/>
      <c r="R61" s="33"/>
      <c r="S61" s="33"/>
      <c r="T61" s="33"/>
      <c r="U61" s="33"/>
      <c r="V61" s="33"/>
      <c r="W61" s="33"/>
    </row>
    <row r="62" customFormat="false" ht="15" hidden="false" customHeight="false" outlineLevel="0" collapsed="false">
      <c r="A62" s="33"/>
      <c r="B62" s="33"/>
      <c r="C62" s="33"/>
      <c r="D62" s="33"/>
      <c r="E62" s="33"/>
      <c r="F62" s="33"/>
      <c r="G62" s="33"/>
      <c r="H62" s="33"/>
      <c r="I62" s="33"/>
      <c r="J62" s="33"/>
      <c r="K62" s="33"/>
      <c r="L62" s="34"/>
      <c r="M62" s="34"/>
      <c r="N62" s="34"/>
      <c r="O62" s="34"/>
      <c r="P62" s="33"/>
      <c r="Q62" s="35"/>
      <c r="R62" s="33"/>
      <c r="S62" s="33"/>
      <c r="T62" s="33"/>
      <c r="U62" s="33"/>
      <c r="V62" s="33"/>
      <c r="W62" s="33"/>
    </row>
    <row r="63" customFormat="false" ht="15" hidden="false" customHeight="false" outlineLevel="0" collapsed="false">
      <c r="A63" s="33"/>
      <c r="B63" s="33"/>
      <c r="C63" s="33"/>
      <c r="D63" s="33"/>
      <c r="E63" s="33"/>
      <c r="F63" s="33"/>
      <c r="G63" s="33"/>
      <c r="H63" s="33"/>
      <c r="I63" s="33"/>
      <c r="J63" s="33"/>
      <c r="K63" s="33"/>
      <c r="L63" s="34"/>
      <c r="M63" s="34"/>
      <c r="N63" s="34"/>
      <c r="O63" s="34"/>
      <c r="P63" s="33"/>
      <c r="Q63" s="35"/>
      <c r="R63" s="33"/>
      <c r="S63" s="33"/>
      <c r="T63" s="33"/>
      <c r="U63" s="33"/>
      <c r="V63" s="33"/>
      <c r="W63" s="33"/>
    </row>
    <row r="64" customFormat="false" ht="15" hidden="false" customHeight="false" outlineLevel="0" collapsed="false">
      <c r="A64" s="33"/>
      <c r="B64" s="33"/>
      <c r="C64" s="33"/>
      <c r="D64" s="33"/>
      <c r="E64" s="33"/>
      <c r="F64" s="33"/>
      <c r="G64" s="33"/>
      <c r="H64" s="33"/>
      <c r="I64" s="33"/>
      <c r="J64" s="33"/>
      <c r="K64" s="33"/>
      <c r="L64" s="34"/>
      <c r="M64" s="34"/>
      <c r="N64" s="34"/>
      <c r="O64" s="34"/>
      <c r="P64" s="33"/>
      <c r="Q64" s="35"/>
      <c r="R64" s="33"/>
      <c r="S64" s="33"/>
      <c r="T64" s="33"/>
      <c r="U64" s="33"/>
      <c r="V64" s="33"/>
      <c r="W64" s="33"/>
    </row>
    <row r="65" customFormat="false" ht="15" hidden="false" customHeight="false" outlineLevel="0" collapsed="false">
      <c r="A65" s="33"/>
      <c r="B65" s="33"/>
      <c r="C65" s="33"/>
      <c r="D65" s="33"/>
      <c r="E65" s="33"/>
      <c r="F65" s="33"/>
      <c r="G65" s="33"/>
      <c r="H65" s="33"/>
      <c r="I65" s="33"/>
      <c r="J65" s="33"/>
      <c r="K65" s="33"/>
      <c r="L65" s="34"/>
      <c r="M65" s="34"/>
      <c r="N65" s="34"/>
      <c r="O65" s="34"/>
      <c r="P65" s="33"/>
      <c r="Q65" s="35"/>
      <c r="R65" s="33"/>
      <c r="S65" s="33"/>
      <c r="T65" s="33"/>
      <c r="U65" s="33"/>
      <c r="V65" s="33"/>
      <c r="W65" s="33"/>
    </row>
    <row r="66" customFormat="false" ht="15" hidden="false" customHeight="false" outlineLevel="0" collapsed="false">
      <c r="A66" s="33"/>
      <c r="B66" s="33"/>
      <c r="C66" s="33"/>
      <c r="D66" s="33"/>
      <c r="E66" s="33"/>
      <c r="F66" s="33"/>
      <c r="G66" s="33"/>
      <c r="H66" s="33"/>
      <c r="I66" s="33"/>
      <c r="J66" s="33"/>
      <c r="K66" s="33"/>
      <c r="L66" s="34"/>
      <c r="M66" s="34"/>
      <c r="N66" s="34"/>
      <c r="O66" s="34"/>
      <c r="P66" s="33"/>
      <c r="Q66" s="35"/>
      <c r="R66" s="33"/>
      <c r="S66" s="33"/>
      <c r="T66" s="33"/>
      <c r="U66" s="33"/>
      <c r="V66" s="33"/>
      <c r="W66" s="33"/>
    </row>
    <row r="67" customFormat="false" ht="15" hidden="false" customHeight="false" outlineLevel="0" collapsed="false">
      <c r="A67" s="33"/>
      <c r="B67" s="33"/>
      <c r="C67" s="33"/>
      <c r="D67" s="33"/>
      <c r="E67" s="33"/>
      <c r="F67" s="33"/>
      <c r="G67" s="33"/>
      <c r="H67" s="33"/>
      <c r="I67" s="33"/>
      <c r="J67" s="33"/>
      <c r="K67" s="33"/>
      <c r="L67" s="34"/>
      <c r="M67" s="34"/>
      <c r="N67" s="34"/>
      <c r="O67" s="34"/>
      <c r="P67" s="33"/>
      <c r="Q67" s="35"/>
      <c r="R67" s="33"/>
      <c r="S67" s="33"/>
      <c r="T67" s="33"/>
      <c r="U67" s="33"/>
      <c r="V67" s="33"/>
      <c r="W67" s="33"/>
    </row>
    <row r="68" customFormat="false" ht="15" hidden="false" customHeight="false" outlineLevel="0" collapsed="false">
      <c r="A68" s="33"/>
      <c r="B68" s="33"/>
      <c r="C68" s="33"/>
      <c r="D68" s="33"/>
      <c r="E68" s="33"/>
      <c r="F68" s="33"/>
      <c r="G68" s="33"/>
      <c r="H68" s="33"/>
      <c r="I68" s="33"/>
      <c r="J68" s="33"/>
      <c r="K68" s="33"/>
      <c r="L68" s="34"/>
      <c r="M68" s="34"/>
      <c r="N68" s="34"/>
      <c r="O68" s="34"/>
      <c r="P68" s="33"/>
      <c r="Q68" s="35"/>
      <c r="R68" s="33"/>
      <c r="S68" s="33"/>
      <c r="T68" s="33"/>
      <c r="U68" s="33"/>
      <c r="V68" s="33"/>
      <c r="W68" s="33"/>
    </row>
    <row r="69" customFormat="false" ht="15" hidden="false" customHeight="false" outlineLevel="0" collapsed="false">
      <c r="A69" s="33"/>
      <c r="B69" s="33"/>
      <c r="C69" s="33"/>
      <c r="D69" s="33"/>
      <c r="E69" s="33"/>
      <c r="F69" s="33"/>
      <c r="G69" s="33"/>
      <c r="H69" s="33"/>
      <c r="I69" s="33"/>
      <c r="J69" s="33"/>
      <c r="K69" s="33"/>
      <c r="L69" s="34"/>
      <c r="M69" s="34"/>
      <c r="N69" s="34"/>
      <c r="O69" s="34"/>
      <c r="P69" s="33"/>
      <c r="Q69" s="35"/>
      <c r="R69" s="33"/>
      <c r="S69" s="33"/>
      <c r="T69" s="33"/>
      <c r="U69" s="33"/>
      <c r="V69" s="33"/>
      <c r="W69" s="33"/>
    </row>
    <row r="70" customFormat="false" ht="15" hidden="false" customHeight="false" outlineLevel="0" collapsed="false">
      <c r="A70" s="33"/>
      <c r="B70" s="33"/>
      <c r="C70" s="33"/>
      <c r="D70" s="33"/>
      <c r="E70" s="33"/>
      <c r="F70" s="33"/>
      <c r="G70" s="33"/>
      <c r="H70" s="33"/>
      <c r="I70" s="33"/>
      <c r="J70" s="33"/>
      <c r="K70" s="33"/>
      <c r="L70" s="34"/>
      <c r="M70" s="34"/>
      <c r="N70" s="34"/>
      <c r="O70" s="34"/>
      <c r="P70" s="33"/>
      <c r="Q70" s="35"/>
      <c r="R70" s="33"/>
      <c r="S70" s="33"/>
      <c r="T70" s="33"/>
      <c r="U70" s="33"/>
      <c r="V70" s="33"/>
      <c r="W70" s="33"/>
    </row>
    <row r="71" customFormat="false" ht="15" hidden="false" customHeight="false" outlineLevel="0" collapsed="false">
      <c r="A71" s="33"/>
      <c r="B71" s="33"/>
      <c r="C71" s="33"/>
      <c r="D71" s="33"/>
      <c r="E71" s="33"/>
      <c r="F71" s="33"/>
      <c r="G71" s="33"/>
      <c r="H71" s="33"/>
      <c r="I71" s="33"/>
      <c r="J71" s="33"/>
      <c r="K71" s="33"/>
      <c r="L71" s="34"/>
      <c r="M71" s="34"/>
      <c r="N71" s="34"/>
      <c r="O71" s="34"/>
      <c r="P71" s="33"/>
      <c r="Q71" s="35"/>
      <c r="R71" s="33"/>
      <c r="S71" s="33"/>
      <c r="T71" s="33"/>
      <c r="U71" s="33"/>
      <c r="V71" s="33"/>
      <c r="W71" s="33"/>
    </row>
    <row r="72" customFormat="false" ht="15" hidden="false" customHeight="false" outlineLevel="0" collapsed="false">
      <c r="A72" s="33"/>
      <c r="B72" s="33"/>
      <c r="C72" s="33"/>
      <c r="D72" s="33"/>
      <c r="E72" s="33"/>
      <c r="F72" s="33"/>
      <c r="G72" s="33"/>
      <c r="H72" s="33"/>
      <c r="I72" s="33"/>
      <c r="J72" s="33"/>
      <c r="K72" s="33"/>
      <c r="L72" s="34"/>
      <c r="M72" s="34"/>
      <c r="N72" s="34"/>
      <c r="O72" s="34"/>
      <c r="P72" s="33"/>
      <c r="Q72" s="35"/>
      <c r="R72" s="33"/>
      <c r="S72" s="33"/>
      <c r="T72" s="33"/>
      <c r="U72" s="33"/>
      <c r="V72" s="33"/>
      <c r="W72" s="33"/>
    </row>
    <row r="73" customFormat="false" ht="15" hidden="false" customHeight="false" outlineLevel="0" collapsed="false">
      <c r="A73" s="33"/>
      <c r="B73" s="33"/>
      <c r="C73" s="33"/>
      <c r="D73" s="33"/>
      <c r="E73" s="33"/>
      <c r="F73" s="33"/>
      <c r="G73" s="33"/>
      <c r="H73" s="33"/>
      <c r="I73" s="33"/>
      <c r="J73" s="33"/>
      <c r="K73" s="33"/>
      <c r="L73" s="34"/>
      <c r="M73" s="34"/>
      <c r="N73" s="34"/>
      <c r="O73" s="34"/>
      <c r="P73" s="33"/>
      <c r="Q73" s="35"/>
      <c r="R73" s="33"/>
      <c r="S73" s="33"/>
      <c r="T73" s="33"/>
      <c r="U73" s="33"/>
      <c r="V73" s="33"/>
      <c r="W73" s="33"/>
    </row>
    <row r="74" customFormat="false" ht="15" hidden="false" customHeight="false" outlineLevel="0" collapsed="false">
      <c r="A74" s="33"/>
      <c r="B74" s="33"/>
      <c r="C74" s="33"/>
      <c r="D74" s="33"/>
      <c r="E74" s="33"/>
      <c r="F74" s="33"/>
      <c r="G74" s="33"/>
      <c r="H74" s="33"/>
      <c r="I74" s="33"/>
      <c r="J74" s="33"/>
      <c r="K74" s="33"/>
      <c r="L74" s="34"/>
      <c r="M74" s="34"/>
      <c r="N74" s="34"/>
      <c r="O74" s="34"/>
      <c r="P74" s="33"/>
      <c r="Q74" s="35"/>
      <c r="R74" s="33"/>
      <c r="S74" s="33"/>
      <c r="T74" s="33"/>
      <c r="U74" s="33"/>
      <c r="V74" s="33"/>
      <c r="W74" s="33"/>
    </row>
    <row r="75" customFormat="false" ht="15" hidden="false" customHeight="false" outlineLevel="0" collapsed="false">
      <c r="A75" s="33"/>
      <c r="B75" s="33"/>
      <c r="C75" s="33"/>
      <c r="D75" s="33"/>
      <c r="E75" s="33"/>
      <c r="F75" s="33"/>
      <c r="G75" s="33"/>
      <c r="H75" s="33"/>
      <c r="I75" s="33"/>
      <c r="J75" s="33"/>
      <c r="K75" s="33"/>
      <c r="L75" s="34"/>
      <c r="M75" s="34"/>
      <c r="N75" s="34"/>
      <c r="O75" s="34"/>
      <c r="P75" s="33"/>
      <c r="Q75" s="35"/>
      <c r="R75" s="33"/>
      <c r="S75" s="33"/>
      <c r="T75" s="33"/>
      <c r="U75" s="33"/>
      <c r="V75" s="33"/>
      <c r="W75" s="33"/>
    </row>
    <row r="76" customFormat="false" ht="15" hidden="false" customHeight="false" outlineLevel="0" collapsed="false">
      <c r="A76" s="33"/>
      <c r="B76" s="33"/>
      <c r="C76" s="33"/>
      <c r="D76" s="33"/>
      <c r="E76" s="33"/>
      <c r="F76" s="33"/>
      <c r="G76" s="33"/>
      <c r="H76" s="33"/>
      <c r="I76" s="33"/>
      <c r="J76" s="33"/>
      <c r="K76" s="33"/>
      <c r="L76" s="34"/>
      <c r="M76" s="34"/>
      <c r="N76" s="34"/>
      <c r="O76" s="34"/>
      <c r="P76" s="33"/>
      <c r="Q76" s="35"/>
      <c r="R76" s="33"/>
      <c r="S76" s="33"/>
      <c r="T76" s="33"/>
      <c r="U76" s="33"/>
      <c r="V76" s="33"/>
      <c r="W76" s="33"/>
    </row>
    <row r="77" customFormat="false" ht="15" hidden="false" customHeight="false" outlineLevel="0" collapsed="false">
      <c r="A77" s="33"/>
      <c r="B77" s="33"/>
      <c r="C77" s="33"/>
      <c r="D77" s="33"/>
      <c r="E77" s="33"/>
      <c r="F77" s="33"/>
      <c r="G77" s="33"/>
      <c r="H77" s="33"/>
      <c r="I77" s="33"/>
      <c r="J77" s="33"/>
      <c r="K77" s="33"/>
      <c r="L77" s="34"/>
      <c r="M77" s="34"/>
      <c r="N77" s="34"/>
      <c r="O77" s="34"/>
      <c r="P77" s="33"/>
      <c r="Q77" s="35"/>
      <c r="R77" s="33"/>
      <c r="S77" s="33"/>
      <c r="T77" s="33"/>
      <c r="U77" s="33"/>
      <c r="V77" s="33"/>
      <c r="W77" s="33"/>
    </row>
    <row r="78" customFormat="false" ht="15" hidden="false" customHeight="false" outlineLevel="0" collapsed="false">
      <c r="A78" s="33"/>
      <c r="B78" s="33"/>
      <c r="C78" s="33"/>
      <c r="D78" s="33"/>
      <c r="E78" s="33"/>
      <c r="F78" s="33"/>
      <c r="G78" s="33"/>
      <c r="H78" s="33"/>
      <c r="I78" s="33"/>
      <c r="J78" s="33"/>
      <c r="K78" s="33"/>
      <c r="L78" s="34"/>
      <c r="M78" s="34"/>
      <c r="N78" s="34"/>
      <c r="O78" s="34"/>
      <c r="P78" s="33"/>
      <c r="Q78" s="35"/>
      <c r="R78" s="33"/>
      <c r="S78" s="33"/>
      <c r="T78" s="33"/>
      <c r="U78" s="33"/>
      <c r="V78" s="33"/>
      <c r="W78" s="33"/>
    </row>
    <row r="79" customFormat="false" ht="15" hidden="false" customHeight="false" outlineLevel="0" collapsed="false">
      <c r="A79" s="33"/>
      <c r="B79" s="33"/>
      <c r="C79" s="33"/>
      <c r="D79" s="33"/>
      <c r="E79" s="33"/>
      <c r="F79" s="33"/>
      <c r="G79" s="33"/>
      <c r="H79" s="33"/>
      <c r="I79" s="33"/>
      <c r="J79" s="33"/>
      <c r="K79" s="33"/>
      <c r="L79" s="34"/>
      <c r="M79" s="34"/>
      <c r="N79" s="34"/>
      <c r="O79" s="34"/>
      <c r="P79" s="33"/>
      <c r="Q79" s="35"/>
      <c r="R79" s="33"/>
      <c r="S79" s="33"/>
      <c r="T79" s="33"/>
      <c r="U79" s="33"/>
      <c r="V79" s="33"/>
      <c r="W79" s="33"/>
    </row>
    <row r="80" customFormat="false" ht="15" hidden="false" customHeight="false" outlineLevel="0" collapsed="false">
      <c r="A80" s="33"/>
      <c r="B80" s="33"/>
      <c r="C80" s="33"/>
      <c r="D80" s="33"/>
      <c r="E80" s="33"/>
      <c r="F80" s="33"/>
      <c r="G80" s="33"/>
      <c r="H80" s="33"/>
      <c r="I80" s="33"/>
      <c r="J80" s="33"/>
      <c r="K80" s="33"/>
      <c r="L80" s="34"/>
      <c r="M80" s="34"/>
      <c r="N80" s="34"/>
      <c r="O80" s="34"/>
      <c r="P80" s="33"/>
      <c r="Q80" s="35"/>
      <c r="R80" s="33"/>
      <c r="S80" s="33"/>
      <c r="T80" s="33"/>
      <c r="U80" s="33"/>
      <c r="V80" s="33"/>
      <c r="W80" s="33"/>
    </row>
    <row r="81" customFormat="false" ht="15" hidden="false" customHeight="false" outlineLevel="0" collapsed="false">
      <c r="A81" s="33"/>
      <c r="B81" s="33"/>
      <c r="C81" s="33"/>
      <c r="D81" s="33"/>
      <c r="E81" s="33"/>
      <c r="F81" s="33"/>
      <c r="G81" s="33"/>
      <c r="H81" s="33"/>
      <c r="I81" s="33"/>
      <c r="J81" s="33"/>
      <c r="K81" s="33"/>
      <c r="L81" s="34"/>
      <c r="M81" s="34"/>
      <c r="N81" s="34"/>
      <c r="O81" s="34"/>
      <c r="P81" s="33"/>
      <c r="Q81" s="35"/>
      <c r="R81" s="33"/>
      <c r="S81" s="33"/>
      <c r="T81" s="33"/>
      <c r="U81" s="33"/>
      <c r="V81" s="33"/>
      <c r="W81" s="33"/>
    </row>
    <row r="82" customFormat="false" ht="15" hidden="false" customHeight="false" outlineLevel="0" collapsed="false">
      <c r="A82" s="33"/>
      <c r="B82" s="33"/>
      <c r="C82" s="33"/>
      <c r="D82" s="33"/>
      <c r="E82" s="33"/>
      <c r="F82" s="33"/>
      <c r="G82" s="33"/>
      <c r="H82" s="33"/>
      <c r="I82" s="33"/>
      <c r="J82" s="33"/>
      <c r="K82" s="33"/>
      <c r="L82" s="34"/>
      <c r="M82" s="34"/>
      <c r="N82" s="34"/>
      <c r="O82" s="34"/>
      <c r="P82" s="33"/>
      <c r="Q82" s="35"/>
      <c r="R82" s="33"/>
      <c r="S82" s="33"/>
      <c r="T82" s="33"/>
      <c r="U82" s="33"/>
      <c r="V82" s="33"/>
      <c r="W82" s="33"/>
    </row>
    <row r="83" customFormat="false" ht="15" hidden="false" customHeight="false" outlineLevel="0" collapsed="false">
      <c r="A83" s="33"/>
      <c r="B83" s="33"/>
      <c r="C83" s="33"/>
      <c r="D83" s="33"/>
      <c r="E83" s="33"/>
      <c r="F83" s="33"/>
      <c r="G83" s="33"/>
      <c r="H83" s="33"/>
      <c r="I83" s="33"/>
      <c r="J83" s="33"/>
      <c r="K83" s="33"/>
      <c r="L83" s="34"/>
      <c r="M83" s="34"/>
      <c r="N83" s="34"/>
      <c r="O83" s="34"/>
      <c r="P83" s="33"/>
      <c r="Q83" s="35"/>
      <c r="R83" s="33"/>
      <c r="S83" s="33"/>
      <c r="T83" s="33"/>
      <c r="U83" s="33"/>
      <c r="V83" s="33"/>
      <c r="W83" s="33"/>
    </row>
    <row r="84" customFormat="false" ht="15" hidden="false" customHeight="false" outlineLevel="0" collapsed="false">
      <c r="A84" s="33"/>
      <c r="B84" s="33"/>
      <c r="C84" s="33"/>
      <c r="D84" s="33"/>
      <c r="E84" s="33"/>
      <c r="F84" s="33"/>
      <c r="G84" s="33"/>
      <c r="H84" s="33"/>
      <c r="I84" s="33"/>
      <c r="J84" s="33"/>
      <c r="K84" s="33"/>
      <c r="L84" s="34"/>
      <c r="M84" s="34"/>
      <c r="N84" s="34"/>
      <c r="O84" s="34"/>
      <c r="P84" s="33"/>
      <c r="Q84" s="35"/>
      <c r="R84" s="33"/>
      <c r="S84" s="33"/>
      <c r="T84" s="33"/>
      <c r="U84" s="33"/>
      <c r="V84" s="33"/>
      <c r="W84" s="33"/>
    </row>
    <row r="85" customFormat="false" ht="15" hidden="false" customHeight="false" outlineLevel="0" collapsed="false">
      <c r="A85" s="33"/>
      <c r="B85" s="33"/>
      <c r="C85" s="33"/>
      <c r="D85" s="33"/>
      <c r="E85" s="33"/>
      <c r="F85" s="33"/>
      <c r="G85" s="33"/>
      <c r="H85" s="33"/>
      <c r="I85" s="33"/>
      <c r="J85" s="33"/>
      <c r="K85" s="33"/>
      <c r="L85" s="34"/>
      <c r="M85" s="34"/>
      <c r="N85" s="34"/>
      <c r="O85" s="34"/>
      <c r="P85" s="33"/>
      <c r="Q85" s="35"/>
      <c r="R85" s="33"/>
      <c r="S85" s="33"/>
      <c r="T85" s="33"/>
      <c r="U85" s="33"/>
      <c r="V85" s="33"/>
      <c r="W85" s="33"/>
    </row>
    <row r="86" customFormat="false" ht="15" hidden="false" customHeight="false" outlineLevel="0" collapsed="false">
      <c r="A86" s="33"/>
      <c r="B86" s="33"/>
      <c r="C86" s="33"/>
      <c r="D86" s="33"/>
      <c r="E86" s="33"/>
      <c r="F86" s="33"/>
      <c r="G86" s="33"/>
      <c r="H86" s="33"/>
      <c r="I86" s="33"/>
      <c r="J86" s="33"/>
      <c r="K86" s="33"/>
      <c r="L86" s="34"/>
      <c r="M86" s="34"/>
      <c r="N86" s="34"/>
      <c r="O86" s="34"/>
      <c r="P86" s="33"/>
      <c r="Q86" s="35"/>
      <c r="R86" s="33"/>
      <c r="S86" s="33"/>
      <c r="T86" s="33"/>
      <c r="U86" s="33"/>
      <c r="V86" s="33"/>
      <c r="W86" s="33"/>
    </row>
    <row r="87" customFormat="false" ht="15" hidden="false" customHeight="false" outlineLevel="0" collapsed="false">
      <c r="A87" s="33"/>
      <c r="B87" s="33"/>
      <c r="C87" s="33"/>
      <c r="D87" s="33"/>
      <c r="E87" s="33"/>
      <c r="F87" s="33"/>
      <c r="G87" s="33"/>
      <c r="H87" s="33"/>
      <c r="I87" s="33"/>
      <c r="J87" s="33"/>
      <c r="K87" s="33"/>
      <c r="L87" s="34"/>
      <c r="M87" s="34"/>
      <c r="N87" s="34"/>
      <c r="O87" s="34"/>
      <c r="P87" s="33"/>
      <c r="Q87" s="35"/>
      <c r="R87" s="33"/>
      <c r="S87" s="33"/>
      <c r="T87" s="33"/>
      <c r="U87" s="33"/>
      <c r="V87" s="33"/>
      <c r="W87" s="33"/>
    </row>
    <row r="88" customFormat="false" ht="15" hidden="false" customHeight="false" outlineLevel="0" collapsed="false">
      <c r="A88" s="33"/>
      <c r="B88" s="33"/>
      <c r="C88" s="33"/>
      <c r="D88" s="33"/>
      <c r="E88" s="33"/>
      <c r="F88" s="33"/>
      <c r="G88" s="33"/>
      <c r="H88" s="33"/>
      <c r="I88" s="33"/>
      <c r="J88" s="33"/>
      <c r="K88" s="33"/>
      <c r="L88" s="34"/>
      <c r="M88" s="34"/>
      <c r="N88" s="34"/>
      <c r="O88" s="34"/>
      <c r="P88" s="33"/>
      <c r="Q88" s="35"/>
      <c r="R88" s="33"/>
      <c r="S88" s="33"/>
      <c r="T88" s="33"/>
      <c r="U88" s="33"/>
      <c r="V88" s="33"/>
      <c r="W88" s="33"/>
    </row>
    <row r="89" customFormat="false" ht="15" hidden="false" customHeight="false" outlineLevel="0" collapsed="false">
      <c r="A89" s="33"/>
      <c r="B89" s="33"/>
      <c r="C89" s="33"/>
      <c r="D89" s="33"/>
      <c r="E89" s="33"/>
      <c r="F89" s="33"/>
      <c r="G89" s="33"/>
      <c r="H89" s="33"/>
      <c r="I89" s="33"/>
      <c r="J89" s="33"/>
      <c r="K89" s="33"/>
      <c r="L89" s="34"/>
      <c r="M89" s="34"/>
      <c r="N89" s="34"/>
      <c r="O89" s="34"/>
      <c r="P89" s="33"/>
      <c r="Q89" s="35"/>
      <c r="R89" s="33"/>
      <c r="S89" s="33"/>
      <c r="T89" s="33"/>
      <c r="U89" s="33"/>
      <c r="V89" s="33"/>
      <c r="W89" s="33"/>
    </row>
    <row r="90" customFormat="false" ht="15" hidden="false" customHeight="false" outlineLevel="0" collapsed="false">
      <c r="A90" s="33"/>
      <c r="B90" s="33"/>
      <c r="C90" s="33"/>
      <c r="D90" s="33"/>
      <c r="E90" s="33"/>
      <c r="F90" s="33"/>
      <c r="G90" s="33"/>
      <c r="H90" s="33"/>
      <c r="I90" s="33"/>
      <c r="J90" s="33"/>
      <c r="K90" s="33"/>
      <c r="L90" s="34"/>
      <c r="M90" s="34"/>
      <c r="N90" s="34"/>
      <c r="O90" s="34"/>
      <c r="P90" s="33"/>
      <c r="Q90" s="35"/>
      <c r="R90" s="33"/>
      <c r="S90" s="33"/>
      <c r="T90" s="33"/>
      <c r="U90" s="33"/>
      <c r="V90" s="33"/>
      <c r="W90" s="33"/>
    </row>
    <row r="91" customFormat="false" ht="15" hidden="false" customHeight="false" outlineLevel="0" collapsed="false">
      <c r="A91" s="33"/>
      <c r="B91" s="33"/>
      <c r="C91" s="33"/>
      <c r="D91" s="33"/>
      <c r="E91" s="33"/>
      <c r="F91" s="33"/>
      <c r="G91" s="33"/>
      <c r="H91" s="33"/>
      <c r="I91" s="33"/>
      <c r="J91" s="33"/>
      <c r="K91" s="33"/>
      <c r="L91" s="34"/>
      <c r="M91" s="34"/>
      <c r="N91" s="34"/>
      <c r="O91" s="34"/>
      <c r="P91" s="33"/>
      <c r="Q91" s="35"/>
      <c r="R91" s="33"/>
      <c r="S91" s="33"/>
      <c r="T91" s="33"/>
      <c r="U91" s="33"/>
      <c r="V91" s="33"/>
      <c r="W91" s="33"/>
    </row>
    <row r="92" customFormat="false" ht="15" hidden="false" customHeight="false" outlineLevel="0" collapsed="false">
      <c r="A92" s="33"/>
      <c r="B92" s="33"/>
      <c r="C92" s="33"/>
      <c r="D92" s="33"/>
      <c r="E92" s="33"/>
      <c r="F92" s="33"/>
      <c r="G92" s="33"/>
      <c r="H92" s="33"/>
      <c r="I92" s="33"/>
      <c r="J92" s="33"/>
      <c r="K92" s="33"/>
      <c r="L92" s="34"/>
      <c r="M92" s="34"/>
      <c r="N92" s="34"/>
      <c r="O92" s="34"/>
      <c r="P92" s="33"/>
      <c r="Q92" s="35"/>
      <c r="R92" s="33"/>
      <c r="S92" s="33"/>
      <c r="T92" s="33"/>
      <c r="U92" s="33"/>
      <c r="V92" s="33"/>
      <c r="W92" s="33"/>
    </row>
    <row r="93" customFormat="false" ht="15" hidden="false" customHeight="false" outlineLevel="0" collapsed="false">
      <c r="A93" s="33"/>
      <c r="B93" s="33"/>
      <c r="C93" s="33"/>
      <c r="D93" s="33"/>
      <c r="E93" s="33"/>
      <c r="F93" s="33"/>
      <c r="G93" s="33"/>
      <c r="H93" s="33"/>
      <c r="I93" s="33"/>
      <c r="J93" s="33"/>
      <c r="K93" s="33"/>
      <c r="L93" s="34"/>
      <c r="M93" s="34"/>
      <c r="N93" s="34"/>
      <c r="O93" s="34"/>
      <c r="P93" s="33"/>
      <c r="Q93" s="35"/>
      <c r="R93" s="33"/>
      <c r="S93" s="33"/>
      <c r="T93" s="33"/>
      <c r="U93" s="33"/>
      <c r="V93" s="33"/>
      <c r="W93" s="33"/>
    </row>
    <row r="94" customFormat="false" ht="15" hidden="false" customHeight="false" outlineLevel="0" collapsed="false">
      <c r="A94" s="33"/>
      <c r="B94" s="33"/>
      <c r="C94" s="33"/>
      <c r="D94" s="33"/>
      <c r="E94" s="33"/>
      <c r="F94" s="33"/>
      <c r="G94" s="33"/>
      <c r="H94" s="33"/>
      <c r="I94" s="33"/>
      <c r="J94" s="33"/>
      <c r="K94" s="33"/>
      <c r="L94" s="34"/>
      <c r="M94" s="34"/>
      <c r="N94" s="34"/>
      <c r="O94" s="34"/>
      <c r="P94" s="33"/>
      <c r="Q94" s="35"/>
      <c r="R94" s="33"/>
      <c r="S94" s="33"/>
      <c r="T94" s="33"/>
      <c r="U94" s="33"/>
      <c r="V94" s="33"/>
      <c r="W94" s="33"/>
    </row>
    <row r="95" customFormat="false" ht="15" hidden="false" customHeight="false" outlineLevel="0" collapsed="false">
      <c r="A95" s="33"/>
      <c r="B95" s="33"/>
      <c r="C95" s="33"/>
      <c r="D95" s="33"/>
      <c r="E95" s="33"/>
      <c r="F95" s="33"/>
      <c r="G95" s="33"/>
      <c r="H95" s="33"/>
      <c r="I95" s="33"/>
      <c r="J95" s="33"/>
      <c r="K95" s="33"/>
      <c r="L95" s="34"/>
      <c r="M95" s="34"/>
      <c r="N95" s="34"/>
      <c r="O95" s="34"/>
      <c r="P95" s="33"/>
      <c r="Q95" s="35"/>
      <c r="R95" s="33"/>
      <c r="S95" s="33"/>
      <c r="T95" s="33"/>
      <c r="U95" s="33"/>
      <c r="V95" s="33"/>
      <c r="W95" s="33"/>
    </row>
    <row r="96" customFormat="false" ht="15" hidden="false" customHeight="false" outlineLevel="0" collapsed="false">
      <c r="A96" s="33"/>
      <c r="B96" s="33"/>
      <c r="C96" s="33"/>
      <c r="D96" s="33"/>
      <c r="E96" s="33"/>
      <c r="F96" s="33"/>
      <c r="G96" s="33"/>
      <c r="H96" s="33"/>
      <c r="I96" s="33"/>
      <c r="J96" s="33"/>
      <c r="K96" s="33"/>
      <c r="L96" s="34"/>
      <c r="M96" s="34"/>
      <c r="N96" s="34"/>
      <c r="O96" s="34"/>
      <c r="P96" s="33"/>
      <c r="Q96" s="35"/>
      <c r="R96" s="33"/>
      <c r="S96" s="33"/>
      <c r="T96" s="33"/>
      <c r="U96" s="33"/>
      <c r="V96" s="33"/>
      <c r="W96" s="33"/>
    </row>
    <row r="97" customFormat="false" ht="15" hidden="false" customHeight="false" outlineLevel="0" collapsed="false">
      <c r="A97" s="33"/>
      <c r="B97" s="33"/>
      <c r="C97" s="33"/>
      <c r="D97" s="33"/>
      <c r="E97" s="33"/>
      <c r="F97" s="33"/>
      <c r="G97" s="33"/>
      <c r="H97" s="33"/>
      <c r="I97" s="33"/>
      <c r="J97" s="33"/>
      <c r="K97" s="33"/>
      <c r="L97" s="34"/>
      <c r="M97" s="34"/>
      <c r="N97" s="34"/>
      <c r="O97" s="34"/>
      <c r="P97" s="33"/>
      <c r="Q97" s="35"/>
      <c r="R97" s="33"/>
      <c r="S97" s="33"/>
      <c r="T97" s="33"/>
      <c r="U97" s="33"/>
      <c r="V97" s="33"/>
      <c r="W97" s="33"/>
    </row>
    <row r="98" customFormat="false" ht="15" hidden="false" customHeight="false" outlineLevel="0" collapsed="false">
      <c r="A98" s="33"/>
      <c r="B98" s="33"/>
      <c r="C98" s="33"/>
      <c r="D98" s="33"/>
      <c r="E98" s="33"/>
      <c r="F98" s="33"/>
      <c r="G98" s="33"/>
      <c r="H98" s="33"/>
      <c r="I98" s="33"/>
      <c r="J98" s="33"/>
      <c r="K98" s="33"/>
      <c r="L98" s="34"/>
      <c r="M98" s="34"/>
      <c r="N98" s="34"/>
      <c r="O98" s="34"/>
      <c r="P98" s="33"/>
      <c r="Q98" s="35"/>
      <c r="R98" s="33"/>
      <c r="S98" s="33"/>
      <c r="T98" s="33"/>
      <c r="U98" s="33"/>
      <c r="V98" s="33"/>
      <c r="W98" s="33"/>
    </row>
    <row r="99" customFormat="false" ht="15" hidden="false" customHeight="false" outlineLevel="0" collapsed="false">
      <c r="A99" s="33"/>
      <c r="B99" s="33"/>
      <c r="C99" s="33"/>
      <c r="D99" s="33"/>
      <c r="E99" s="33"/>
      <c r="F99" s="33"/>
      <c r="G99" s="33"/>
      <c r="H99" s="33"/>
      <c r="I99" s="33"/>
      <c r="J99" s="33"/>
      <c r="K99" s="33"/>
      <c r="L99" s="34"/>
      <c r="M99" s="34"/>
      <c r="N99" s="34"/>
      <c r="O99" s="34"/>
      <c r="P99" s="33"/>
      <c r="Q99" s="35"/>
      <c r="R99" s="33"/>
      <c r="S99" s="33"/>
      <c r="T99" s="33"/>
      <c r="U99" s="33"/>
      <c r="V99" s="33"/>
      <c r="W99" s="33"/>
    </row>
    <row r="100" customFormat="false" ht="15" hidden="false" customHeight="false" outlineLevel="0" collapsed="false">
      <c r="A100" s="33"/>
      <c r="B100" s="33"/>
      <c r="C100" s="33"/>
      <c r="D100" s="33"/>
      <c r="E100" s="33"/>
      <c r="F100" s="33"/>
      <c r="G100" s="33"/>
      <c r="H100" s="33"/>
      <c r="I100" s="33"/>
      <c r="J100" s="33"/>
      <c r="K100" s="33"/>
      <c r="L100" s="34"/>
      <c r="M100" s="34"/>
      <c r="N100" s="34"/>
      <c r="O100" s="34"/>
      <c r="P100" s="33"/>
      <c r="Q100" s="35"/>
      <c r="R100" s="33"/>
      <c r="S100" s="33"/>
      <c r="T100" s="33"/>
      <c r="U100" s="33"/>
      <c r="V100" s="33"/>
      <c r="W100" s="33"/>
    </row>
    <row r="101" customFormat="false" ht="15" hidden="false" customHeight="false" outlineLevel="0" collapsed="false">
      <c r="A101" s="33"/>
      <c r="B101" s="33"/>
      <c r="C101" s="33"/>
      <c r="D101" s="33"/>
      <c r="E101" s="33"/>
      <c r="F101" s="33"/>
      <c r="G101" s="33"/>
      <c r="H101" s="33"/>
      <c r="I101" s="33"/>
      <c r="J101" s="33"/>
      <c r="K101" s="33"/>
      <c r="L101" s="34"/>
      <c r="M101" s="34"/>
      <c r="N101" s="34"/>
      <c r="O101" s="34"/>
      <c r="P101" s="33"/>
      <c r="Q101" s="35"/>
      <c r="R101" s="33"/>
      <c r="S101" s="33"/>
      <c r="T101" s="33"/>
      <c r="U101" s="33"/>
      <c r="V101" s="33"/>
      <c r="W101" s="33"/>
    </row>
    <row r="102" customFormat="false" ht="15" hidden="false" customHeight="false" outlineLevel="0" collapsed="false">
      <c r="A102" s="33"/>
      <c r="B102" s="33"/>
      <c r="C102" s="33"/>
      <c r="D102" s="33"/>
      <c r="E102" s="33"/>
      <c r="F102" s="33"/>
      <c r="G102" s="33"/>
      <c r="H102" s="33"/>
      <c r="I102" s="33"/>
      <c r="J102" s="33"/>
      <c r="K102" s="33"/>
      <c r="L102" s="34"/>
      <c r="M102" s="34"/>
      <c r="N102" s="34"/>
      <c r="O102" s="34"/>
      <c r="P102" s="33"/>
      <c r="Q102" s="35"/>
      <c r="R102" s="33"/>
      <c r="S102" s="33"/>
      <c r="T102" s="33"/>
      <c r="U102" s="33"/>
      <c r="V102" s="33"/>
      <c r="W102" s="33"/>
    </row>
    <row r="103" customFormat="false" ht="15" hidden="false" customHeight="false" outlineLevel="0" collapsed="false">
      <c r="A103" s="33"/>
      <c r="B103" s="33"/>
      <c r="C103" s="33"/>
      <c r="D103" s="33"/>
      <c r="E103" s="33"/>
      <c r="F103" s="33"/>
      <c r="G103" s="33"/>
      <c r="H103" s="33"/>
      <c r="I103" s="33"/>
      <c r="J103" s="33"/>
      <c r="K103" s="33"/>
      <c r="L103" s="34"/>
      <c r="M103" s="34"/>
      <c r="N103" s="34"/>
      <c r="O103" s="34"/>
      <c r="P103" s="33"/>
      <c r="Q103" s="35"/>
      <c r="R103" s="33"/>
      <c r="S103" s="33"/>
      <c r="T103" s="33"/>
      <c r="U103" s="33"/>
      <c r="V103" s="33"/>
      <c r="W103" s="33"/>
    </row>
    <row r="104" customFormat="false" ht="15" hidden="false" customHeight="false" outlineLevel="0" collapsed="false">
      <c r="A104" s="33"/>
      <c r="B104" s="33"/>
      <c r="C104" s="33"/>
      <c r="D104" s="33"/>
      <c r="E104" s="33"/>
      <c r="F104" s="33"/>
      <c r="G104" s="33"/>
      <c r="H104" s="33"/>
      <c r="I104" s="33"/>
      <c r="J104" s="33"/>
      <c r="K104" s="33"/>
      <c r="L104" s="34"/>
      <c r="M104" s="34"/>
      <c r="N104" s="34"/>
      <c r="O104" s="34"/>
      <c r="P104" s="33"/>
      <c r="Q104" s="35"/>
      <c r="R104" s="33"/>
      <c r="S104" s="33"/>
      <c r="T104" s="33"/>
      <c r="U104" s="33"/>
      <c r="V104" s="33"/>
      <c r="W104" s="33"/>
    </row>
    <row r="105" customFormat="false" ht="15" hidden="false" customHeight="false" outlineLevel="0" collapsed="false">
      <c r="A105" s="33"/>
      <c r="B105" s="33"/>
      <c r="C105" s="33"/>
      <c r="D105" s="33"/>
      <c r="E105" s="33"/>
      <c r="F105" s="33"/>
      <c r="G105" s="33"/>
      <c r="H105" s="33"/>
      <c r="I105" s="33"/>
      <c r="J105" s="33"/>
      <c r="K105" s="33"/>
      <c r="L105" s="34"/>
      <c r="M105" s="34"/>
      <c r="N105" s="34"/>
      <c r="O105" s="34"/>
      <c r="P105" s="33"/>
      <c r="Q105" s="35"/>
      <c r="R105" s="33"/>
      <c r="S105" s="33"/>
      <c r="T105" s="33"/>
      <c r="U105" s="33"/>
      <c r="V105" s="33"/>
      <c r="W105" s="33"/>
    </row>
    <row r="106" customFormat="false" ht="15" hidden="false" customHeight="false" outlineLevel="0" collapsed="false">
      <c r="A106" s="33"/>
      <c r="B106" s="33"/>
      <c r="C106" s="33"/>
      <c r="D106" s="33"/>
      <c r="E106" s="33"/>
      <c r="F106" s="33"/>
      <c r="G106" s="33"/>
      <c r="H106" s="33"/>
      <c r="I106" s="33"/>
      <c r="J106" s="33"/>
      <c r="K106" s="33"/>
      <c r="L106" s="34"/>
      <c r="M106" s="34"/>
      <c r="N106" s="34"/>
      <c r="O106" s="34"/>
      <c r="P106" s="33"/>
      <c r="Q106" s="35"/>
      <c r="R106" s="33"/>
      <c r="S106" s="33"/>
      <c r="T106" s="33"/>
      <c r="U106" s="33"/>
      <c r="V106" s="33"/>
      <c r="W106" s="33"/>
    </row>
    <row r="107" customFormat="false" ht="15" hidden="false" customHeight="false" outlineLevel="0" collapsed="false">
      <c r="A107" s="33"/>
      <c r="B107" s="33"/>
      <c r="C107" s="33"/>
      <c r="D107" s="33"/>
      <c r="E107" s="33"/>
      <c r="F107" s="33"/>
      <c r="G107" s="33"/>
      <c r="H107" s="33"/>
      <c r="I107" s="33"/>
      <c r="J107" s="33"/>
      <c r="K107" s="33"/>
      <c r="L107" s="34"/>
      <c r="M107" s="34"/>
      <c r="N107" s="34"/>
      <c r="O107" s="34"/>
      <c r="P107" s="33"/>
      <c r="Q107" s="35"/>
      <c r="R107" s="33"/>
      <c r="S107" s="33"/>
      <c r="T107" s="33"/>
      <c r="U107" s="33"/>
      <c r="V107" s="33"/>
      <c r="W107" s="33"/>
    </row>
    <row r="108" customFormat="false" ht="15" hidden="false" customHeight="false" outlineLevel="0" collapsed="false">
      <c r="A108" s="33"/>
      <c r="B108" s="33"/>
      <c r="C108" s="33"/>
      <c r="D108" s="33"/>
      <c r="E108" s="33"/>
      <c r="F108" s="33"/>
      <c r="G108" s="33"/>
      <c r="H108" s="33"/>
      <c r="I108" s="33"/>
      <c r="J108" s="33"/>
      <c r="K108" s="33"/>
      <c r="L108" s="34"/>
      <c r="M108" s="34"/>
      <c r="N108" s="34"/>
      <c r="O108" s="34"/>
      <c r="P108" s="33"/>
      <c r="Q108" s="35"/>
      <c r="R108" s="33"/>
      <c r="S108" s="33"/>
      <c r="T108" s="33"/>
      <c r="U108" s="33"/>
      <c r="V108" s="33"/>
      <c r="W108" s="33"/>
    </row>
    <row r="109" customFormat="false" ht="15" hidden="false" customHeight="false" outlineLevel="0" collapsed="false">
      <c r="A109" s="33"/>
      <c r="B109" s="33"/>
      <c r="C109" s="33"/>
      <c r="D109" s="33"/>
      <c r="E109" s="33"/>
      <c r="F109" s="33"/>
      <c r="G109" s="33"/>
      <c r="H109" s="33"/>
      <c r="I109" s="33"/>
      <c r="J109" s="33"/>
      <c r="K109" s="33"/>
      <c r="L109" s="34"/>
      <c r="M109" s="34"/>
      <c r="N109" s="34"/>
      <c r="O109" s="34"/>
      <c r="P109" s="33"/>
      <c r="Q109" s="35"/>
      <c r="R109" s="33"/>
      <c r="S109" s="33"/>
      <c r="T109" s="33"/>
      <c r="U109" s="33"/>
      <c r="V109" s="33"/>
      <c r="W109" s="33"/>
    </row>
    <row r="110" customFormat="false" ht="15" hidden="false" customHeight="false" outlineLevel="0" collapsed="false">
      <c r="A110" s="33"/>
      <c r="B110" s="33"/>
      <c r="C110" s="33"/>
      <c r="D110" s="33"/>
      <c r="E110" s="33"/>
      <c r="F110" s="33"/>
      <c r="G110" s="33"/>
      <c r="H110" s="33"/>
      <c r="I110" s="33"/>
      <c r="J110" s="33"/>
      <c r="K110" s="33"/>
      <c r="L110" s="34"/>
      <c r="M110" s="34"/>
      <c r="N110" s="34"/>
      <c r="O110" s="34"/>
      <c r="P110" s="33"/>
      <c r="Q110" s="35"/>
      <c r="R110" s="33"/>
      <c r="S110" s="33"/>
      <c r="T110" s="33"/>
      <c r="U110" s="33"/>
      <c r="V110" s="33"/>
      <c r="W110" s="33"/>
    </row>
    <row r="111" customFormat="false" ht="15" hidden="false" customHeight="false" outlineLevel="0" collapsed="false">
      <c r="A111" s="33"/>
      <c r="B111" s="33"/>
      <c r="C111" s="33"/>
      <c r="D111" s="33"/>
      <c r="E111" s="33"/>
      <c r="F111" s="33"/>
      <c r="G111" s="33"/>
      <c r="H111" s="33"/>
      <c r="I111" s="33"/>
      <c r="J111" s="33"/>
      <c r="K111" s="33"/>
      <c r="L111" s="34"/>
      <c r="M111" s="34"/>
      <c r="N111" s="34"/>
      <c r="O111" s="34"/>
      <c r="P111" s="33"/>
      <c r="Q111" s="35"/>
      <c r="R111" s="33"/>
      <c r="S111" s="33"/>
      <c r="T111" s="33"/>
      <c r="U111" s="33"/>
      <c r="V111" s="33"/>
      <c r="W111" s="33"/>
    </row>
    <row r="112" customFormat="false" ht="15" hidden="false" customHeight="false" outlineLevel="0" collapsed="false">
      <c r="A112" s="33"/>
      <c r="B112" s="33"/>
      <c r="C112" s="33"/>
      <c r="D112" s="33"/>
      <c r="E112" s="33"/>
      <c r="F112" s="33"/>
      <c r="G112" s="33"/>
      <c r="H112" s="33"/>
      <c r="I112" s="33"/>
      <c r="J112" s="33"/>
      <c r="K112" s="33"/>
      <c r="L112" s="34"/>
      <c r="M112" s="34"/>
      <c r="N112" s="34"/>
      <c r="O112" s="34"/>
      <c r="P112" s="33"/>
      <c r="Q112" s="35"/>
      <c r="R112" s="33"/>
      <c r="S112" s="33"/>
      <c r="T112" s="33"/>
      <c r="U112" s="33"/>
      <c r="V112" s="33"/>
      <c r="W112" s="33"/>
    </row>
    <row r="113" customFormat="false" ht="15" hidden="false" customHeight="false" outlineLevel="0" collapsed="false">
      <c r="A113" s="33"/>
      <c r="B113" s="33"/>
      <c r="C113" s="33"/>
      <c r="D113" s="33"/>
      <c r="E113" s="33"/>
      <c r="F113" s="33"/>
      <c r="G113" s="33"/>
      <c r="H113" s="33"/>
      <c r="I113" s="33"/>
      <c r="J113" s="33"/>
      <c r="K113" s="33"/>
      <c r="L113" s="34"/>
      <c r="M113" s="34"/>
      <c r="N113" s="34"/>
      <c r="O113" s="34"/>
      <c r="P113" s="33"/>
      <c r="Q113" s="35"/>
      <c r="R113" s="33"/>
      <c r="S113" s="33"/>
      <c r="T113" s="33"/>
      <c r="U113" s="33"/>
      <c r="V113" s="33"/>
      <c r="W113" s="33"/>
    </row>
    <row r="114" customFormat="false" ht="15" hidden="false" customHeight="false" outlineLevel="0" collapsed="false">
      <c r="A114" s="33"/>
      <c r="B114" s="33"/>
      <c r="C114" s="33"/>
      <c r="D114" s="33"/>
      <c r="E114" s="33"/>
      <c r="F114" s="33"/>
      <c r="G114" s="33"/>
      <c r="H114" s="33"/>
      <c r="I114" s="33"/>
      <c r="J114" s="33"/>
      <c r="K114" s="33"/>
      <c r="L114" s="34"/>
      <c r="M114" s="34"/>
      <c r="N114" s="34"/>
      <c r="O114" s="34"/>
      <c r="P114" s="33"/>
      <c r="Q114" s="35"/>
      <c r="R114" s="33"/>
      <c r="S114" s="33"/>
      <c r="T114" s="33"/>
      <c r="U114" s="33"/>
      <c r="V114" s="33"/>
      <c r="W114" s="33"/>
    </row>
    <row r="115" customFormat="false" ht="15" hidden="false" customHeight="false" outlineLevel="0" collapsed="false">
      <c r="A115" s="33"/>
      <c r="B115" s="33"/>
      <c r="C115" s="33"/>
      <c r="D115" s="33"/>
      <c r="E115" s="33"/>
      <c r="F115" s="33"/>
      <c r="G115" s="33"/>
      <c r="H115" s="33"/>
      <c r="I115" s="33"/>
      <c r="J115" s="33"/>
      <c r="K115" s="33"/>
      <c r="L115" s="34"/>
      <c r="M115" s="34"/>
      <c r="N115" s="34"/>
      <c r="O115" s="34"/>
      <c r="P115" s="33"/>
      <c r="Q115" s="35"/>
      <c r="R115" s="33"/>
      <c r="S115" s="33"/>
      <c r="T115" s="33"/>
      <c r="U115" s="33"/>
      <c r="V115" s="33"/>
      <c r="W115" s="33"/>
    </row>
    <row r="116" customFormat="false" ht="15" hidden="false" customHeight="false" outlineLevel="0" collapsed="false">
      <c r="A116" s="33"/>
      <c r="B116" s="33"/>
      <c r="C116" s="33"/>
      <c r="D116" s="33"/>
      <c r="E116" s="33"/>
      <c r="F116" s="33"/>
      <c r="G116" s="33"/>
      <c r="H116" s="33"/>
      <c r="I116" s="33"/>
      <c r="J116" s="33"/>
      <c r="K116" s="33"/>
      <c r="L116" s="34"/>
      <c r="M116" s="34"/>
      <c r="N116" s="34"/>
      <c r="O116" s="34"/>
      <c r="P116" s="33"/>
      <c r="Q116" s="35"/>
      <c r="R116" s="33"/>
      <c r="S116" s="33"/>
      <c r="T116" s="33"/>
      <c r="U116" s="33"/>
      <c r="V116" s="33"/>
      <c r="W116" s="33"/>
    </row>
    <row r="117" customFormat="false" ht="15" hidden="false" customHeight="false" outlineLevel="0" collapsed="false">
      <c r="A117" s="33"/>
      <c r="B117" s="33"/>
      <c r="C117" s="33"/>
      <c r="D117" s="33"/>
      <c r="E117" s="33"/>
      <c r="F117" s="33"/>
      <c r="G117" s="33"/>
      <c r="H117" s="33"/>
      <c r="I117" s="33"/>
      <c r="J117" s="33"/>
      <c r="K117" s="33"/>
      <c r="L117" s="34"/>
      <c r="M117" s="34"/>
      <c r="N117" s="34"/>
      <c r="O117" s="34"/>
      <c r="P117" s="33"/>
      <c r="Q117" s="35"/>
      <c r="R117" s="33"/>
      <c r="S117" s="33"/>
      <c r="T117" s="33"/>
      <c r="U117" s="33"/>
      <c r="V117" s="33"/>
      <c r="W117" s="33"/>
    </row>
    <row r="118" customFormat="false" ht="15" hidden="false" customHeight="false" outlineLevel="0" collapsed="false">
      <c r="A118" s="33"/>
      <c r="B118" s="33"/>
      <c r="C118" s="33"/>
      <c r="D118" s="33"/>
      <c r="E118" s="33"/>
      <c r="F118" s="33"/>
      <c r="G118" s="33"/>
      <c r="H118" s="33"/>
      <c r="I118" s="33"/>
      <c r="J118" s="33"/>
      <c r="K118" s="33"/>
      <c r="L118" s="34"/>
      <c r="M118" s="34"/>
      <c r="N118" s="34"/>
      <c r="O118" s="34"/>
      <c r="P118" s="33"/>
      <c r="Q118" s="35"/>
      <c r="R118" s="33"/>
      <c r="S118" s="33"/>
      <c r="T118" s="33"/>
      <c r="U118" s="33"/>
      <c r="V118" s="33"/>
      <c r="W118" s="33"/>
    </row>
    <row r="119" customFormat="false" ht="15" hidden="false" customHeight="false" outlineLevel="0" collapsed="false">
      <c r="A119" s="33"/>
      <c r="B119" s="33"/>
      <c r="C119" s="33"/>
      <c r="D119" s="33"/>
      <c r="E119" s="33"/>
      <c r="F119" s="33"/>
      <c r="G119" s="33"/>
      <c r="H119" s="33"/>
      <c r="I119" s="33"/>
      <c r="J119" s="33"/>
      <c r="K119" s="33"/>
      <c r="L119" s="34"/>
      <c r="M119" s="34"/>
      <c r="N119" s="34"/>
      <c r="O119" s="34"/>
      <c r="P119" s="33"/>
      <c r="Q119" s="35"/>
      <c r="R119" s="33"/>
      <c r="S119" s="33"/>
      <c r="T119" s="33"/>
      <c r="U119" s="33"/>
      <c r="V119" s="33"/>
      <c r="W119" s="33"/>
    </row>
    <row r="120" customFormat="false" ht="15" hidden="false" customHeight="false" outlineLevel="0" collapsed="false">
      <c r="A120" s="33"/>
      <c r="B120" s="33"/>
      <c r="C120" s="33"/>
      <c r="D120" s="33"/>
      <c r="E120" s="33"/>
      <c r="F120" s="33"/>
      <c r="G120" s="33"/>
      <c r="H120" s="33"/>
      <c r="I120" s="33"/>
      <c r="J120" s="33"/>
      <c r="K120" s="33"/>
      <c r="L120" s="34"/>
      <c r="M120" s="34"/>
      <c r="N120" s="34"/>
      <c r="O120" s="34"/>
      <c r="P120" s="33"/>
      <c r="Q120" s="35"/>
      <c r="R120" s="33"/>
      <c r="S120" s="33"/>
      <c r="T120" s="33"/>
      <c r="U120" s="33"/>
      <c r="V120" s="33"/>
      <c r="W120" s="33"/>
    </row>
    <row r="121" customFormat="false" ht="15" hidden="false" customHeight="false" outlineLevel="0" collapsed="false">
      <c r="A121" s="33"/>
      <c r="B121" s="33"/>
      <c r="C121" s="33"/>
      <c r="D121" s="33"/>
      <c r="E121" s="33"/>
      <c r="F121" s="33"/>
      <c r="G121" s="33"/>
      <c r="H121" s="33"/>
      <c r="I121" s="33"/>
      <c r="J121" s="33"/>
      <c r="K121" s="33"/>
      <c r="L121" s="34"/>
      <c r="M121" s="34"/>
      <c r="N121" s="34"/>
      <c r="O121" s="34"/>
      <c r="P121" s="33"/>
      <c r="Q121" s="35"/>
      <c r="R121" s="33"/>
      <c r="S121" s="33"/>
      <c r="T121" s="33"/>
      <c r="U121" s="33"/>
      <c r="V121" s="33"/>
      <c r="W121" s="33"/>
    </row>
    <row r="122" customFormat="false" ht="15" hidden="false" customHeight="false" outlineLevel="0" collapsed="false">
      <c r="A122" s="33"/>
      <c r="B122" s="33"/>
      <c r="C122" s="33"/>
      <c r="D122" s="33"/>
      <c r="E122" s="33"/>
      <c r="F122" s="33"/>
      <c r="G122" s="33"/>
      <c r="H122" s="33"/>
      <c r="I122" s="33"/>
      <c r="J122" s="33"/>
      <c r="K122" s="33"/>
      <c r="L122" s="34"/>
      <c r="M122" s="34"/>
      <c r="N122" s="34"/>
      <c r="O122" s="34"/>
      <c r="P122" s="33"/>
      <c r="Q122" s="35"/>
      <c r="R122" s="33"/>
      <c r="S122" s="33"/>
      <c r="T122" s="33"/>
      <c r="U122" s="33"/>
      <c r="V122" s="33"/>
      <c r="W122" s="33"/>
    </row>
    <row r="123" customFormat="false" ht="15" hidden="false" customHeight="false" outlineLevel="0" collapsed="false">
      <c r="A123" s="33"/>
      <c r="B123" s="33"/>
      <c r="C123" s="33"/>
      <c r="D123" s="33"/>
      <c r="E123" s="33"/>
      <c r="F123" s="33"/>
      <c r="G123" s="33"/>
      <c r="H123" s="33"/>
      <c r="I123" s="33"/>
      <c r="J123" s="33"/>
      <c r="K123" s="33"/>
      <c r="L123" s="34"/>
      <c r="M123" s="34"/>
      <c r="N123" s="34"/>
      <c r="O123" s="34"/>
      <c r="P123" s="33"/>
      <c r="Q123" s="35"/>
      <c r="R123" s="33"/>
      <c r="S123" s="33"/>
      <c r="T123" s="33"/>
      <c r="U123" s="33"/>
      <c r="V123" s="33"/>
      <c r="W123" s="33"/>
    </row>
    <row r="124" customFormat="false" ht="15" hidden="false" customHeight="false" outlineLevel="0" collapsed="false">
      <c r="A124" s="33"/>
      <c r="B124" s="33"/>
      <c r="C124" s="33"/>
      <c r="D124" s="33"/>
      <c r="E124" s="33"/>
      <c r="F124" s="33"/>
      <c r="G124" s="33"/>
      <c r="H124" s="33"/>
      <c r="I124" s="33"/>
      <c r="J124" s="33"/>
      <c r="K124" s="33"/>
      <c r="L124" s="34"/>
      <c r="M124" s="34"/>
      <c r="N124" s="34"/>
      <c r="O124" s="34"/>
      <c r="P124" s="33"/>
      <c r="Q124" s="35"/>
      <c r="R124" s="33"/>
      <c r="S124" s="33"/>
      <c r="T124" s="33"/>
      <c r="U124" s="33"/>
      <c r="V124" s="33"/>
      <c r="W124" s="33"/>
    </row>
    <row r="125" customFormat="false" ht="15" hidden="false" customHeight="false" outlineLevel="0" collapsed="false">
      <c r="A125" s="33"/>
      <c r="B125" s="33"/>
      <c r="C125" s="33"/>
      <c r="D125" s="33"/>
      <c r="E125" s="33"/>
      <c r="F125" s="33"/>
      <c r="G125" s="33"/>
      <c r="H125" s="33"/>
      <c r="I125" s="33"/>
      <c r="J125" s="33"/>
      <c r="K125" s="33"/>
      <c r="L125" s="34"/>
      <c r="M125" s="34"/>
      <c r="N125" s="34"/>
      <c r="O125" s="34"/>
      <c r="P125" s="33"/>
      <c r="Q125" s="35"/>
      <c r="R125" s="33"/>
      <c r="S125" s="33"/>
      <c r="T125" s="33"/>
      <c r="U125" s="33"/>
      <c r="V125" s="33"/>
      <c r="W125" s="33"/>
    </row>
    <row r="126" customFormat="false" ht="15" hidden="false" customHeight="false" outlineLevel="0" collapsed="false">
      <c r="A126" s="33"/>
      <c r="B126" s="33"/>
      <c r="C126" s="33"/>
      <c r="D126" s="33"/>
      <c r="E126" s="33"/>
      <c r="F126" s="33"/>
      <c r="G126" s="33"/>
      <c r="H126" s="33"/>
      <c r="I126" s="33"/>
      <c r="J126" s="33"/>
      <c r="K126" s="33"/>
      <c r="L126" s="34"/>
      <c r="M126" s="34"/>
      <c r="N126" s="34"/>
      <c r="O126" s="34"/>
      <c r="P126" s="33"/>
      <c r="Q126" s="35"/>
      <c r="R126" s="33"/>
      <c r="S126" s="33"/>
      <c r="T126" s="33"/>
      <c r="U126" s="33"/>
      <c r="V126" s="33"/>
      <c r="W126" s="33"/>
    </row>
    <row r="127" customFormat="false" ht="15" hidden="false" customHeight="false" outlineLevel="0" collapsed="false">
      <c r="A127" s="33"/>
      <c r="B127" s="33"/>
      <c r="C127" s="33"/>
      <c r="D127" s="33"/>
      <c r="E127" s="33"/>
      <c r="F127" s="33"/>
      <c r="G127" s="33"/>
      <c r="H127" s="33"/>
      <c r="I127" s="33"/>
      <c r="J127" s="33"/>
      <c r="K127" s="33"/>
      <c r="L127" s="34"/>
      <c r="M127" s="34"/>
      <c r="N127" s="34"/>
      <c r="O127" s="34"/>
      <c r="P127" s="33"/>
      <c r="Q127" s="35"/>
      <c r="R127" s="33"/>
      <c r="S127" s="33"/>
      <c r="T127" s="33"/>
      <c r="U127" s="33"/>
      <c r="V127" s="33"/>
      <c r="W127" s="33"/>
    </row>
    <row r="128" customFormat="false" ht="15" hidden="false" customHeight="false" outlineLevel="0" collapsed="false">
      <c r="A128" s="33"/>
      <c r="B128" s="33"/>
      <c r="C128" s="33"/>
      <c r="D128" s="33"/>
      <c r="E128" s="33"/>
      <c r="F128" s="33"/>
      <c r="G128" s="33"/>
      <c r="H128" s="33"/>
      <c r="I128" s="33"/>
      <c r="J128" s="33"/>
      <c r="K128" s="33"/>
      <c r="L128" s="34"/>
      <c r="M128" s="34"/>
      <c r="N128" s="34"/>
      <c r="O128" s="34"/>
      <c r="P128" s="33"/>
      <c r="Q128" s="35"/>
      <c r="R128" s="33"/>
      <c r="S128" s="33"/>
      <c r="T128" s="33"/>
      <c r="U128" s="33"/>
      <c r="V128" s="33"/>
      <c r="W128" s="33"/>
    </row>
    <row r="129" customFormat="false" ht="15" hidden="false" customHeight="false" outlineLevel="0" collapsed="false">
      <c r="A129" s="33"/>
      <c r="B129" s="33"/>
      <c r="C129" s="33"/>
      <c r="D129" s="33"/>
      <c r="E129" s="33"/>
      <c r="F129" s="33"/>
      <c r="G129" s="33"/>
      <c r="H129" s="33"/>
      <c r="I129" s="33"/>
      <c r="J129" s="33"/>
      <c r="K129" s="33"/>
      <c r="L129" s="34"/>
      <c r="M129" s="34"/>
      <c r="N129" s="34"/>
      <c r="O129" s="34"/>
      <c r="P129" s="33"/>
      <c r="Q129" s="35"/>
      <c r="R129" s="33"/>
      <c r="S129" s="33"/>
      <c r="T129" s="33"/>
      <c r="U129" s="33"/>
      <c r="V129" s="33"/>
      <c r="W129" s="33"/>
    </row>
    <row r="130" customFormat="false" ht="15" hidden="false" customHeight="false" outlineLevel="0" collapsed="false">
      <c r="A130" s="33"/>
      <c r="B130" s="33"/>
      <c r="C130" s="33"/>
      <c r="D130" s="33"/>
      <c r="E130" s="33"/>
      <c r="F130" s="33"/>
      <c r="G130" s="33"/>
      <c r="H130" s="33"/>
      <c r="I130" s="33"/>
      <c r="J130" s="33"/>
      <c r="K130" s="33"/>
      <c r="L130" s="34"/>
      <c r="M130" s="34"/>
      <c r="N130" s="34"/>
      <c r="O130" s="34"/>
      <c r="P130" s="33"/>
      <c r="Q130" s="35"/>
      <c r="R130" s="33"/>
      <c r="S130" s="33"/>
      <c r="T130" s="33"/>
      <c r="U130" s="33"/>
      <c r="V130" s="33"/>
      <c r="W130" s="33"/>
    </row>
    <row r="131" customFormat="false" ht="15" hidden="false" customHeight="false" outlineLevel="0" collapsed="false">
      <c r="A131" s="33"/>
      <c r="B131" s="33"/>
      <c r="C131" s="33"/>
      <c r="D131" s="33"/>
      <c r="E131" s="33"/>
      <c r="F131" s="33"/>
      <c r="G131" s="33"/>
      <c r="H131" s="33"/>
      <c r="I131" s="33"/>
      <c r="J131" s="33"/>
      <c r="K131" s="33"/>
      <c r="L131" s="34"/>
      <c r="M131" s="34"/>
      <c r="N131" s="34"/>
      <c r="O131" s="34"/>
      <c r="P131" s="33"/>
      <c r="Q131" s="35"/>
      <c r="R131" s="33"/>
      <c r="S131" s="33"/>
      <c r="T131" s="33"/>
      <c r="U131" s="33"/>
      <c r="V131" s="33"/>
      <c r="W131" s="33"/>
    </row>
    <row r="132" customFormat="false" ht="15" hidden="false" customHeight="false" outlineLevel="0" collapsed="false">
      <c r="A132" s="33"/>
      <c r="B132" s="33"/>
      <c r="C132" s="33"/>
      <c r="D132" s="33"/>
      <c r="E132" s="33"/>
      <c r="F132" s="33"/>
      <c r="G132" s="33"/>
      <c r="H132" s="33"/>
      <c r="I132" s="33"/>
      <c r="J132" s="33"/>
      <c r="K132" s="33"/>
      <c r="L132" s="34"/>
      <c r="M132" s="34"/>
      <c r="N132" s="34"/>
      <c r="O132" s="34"/>
      <c r="P132" s="33"/>
      <c r="Q132" s="35"/>
      <c r="R132" s="33"/>
      <c r="S132" s="33"/>
      <c r="T132" s="33"/>
      <c r="U132" s="33"/>
      <c r="V132" s="33"/>
      <c r="W132" s="33"/>
    </row>
    <row r="133" customFormat="false" ht="15" hidden="false" customHeight="false" outlineLevel="0" collapsed="false">
      <c r="A133" s="33"/>
      <c r="B133" s="33"/>
      <c r="C133" s="33"/>
      <c r="D133" s="33"/>
      <c r="E133" s="33"/>
      <c r="F133" s="33"/>
      <c r="G133" s="33"/>
      <c r="H133" s="33"/>
      <c r="I133" s="33"/>
      <c r="J133" s="33"/>
      <c r="K133" s="33"/>
      <c r="L133" s="34"/>
      <c r="M133" s="34"/>
      <c r="N133" s="34"/>
      <c r="O133" s="34"/>
      <c r="P133" s="33"/>
      <c r="Q133" s="35"/>
      <c r="R133" s="33"/>
      <c r="S133" s="33"/>
      <c r="T133" s="33"/>
      <c r="U133" s="33"/>
      <c r="V133" s="33"/>
      <c r="W133" s="33"/>
    </row>
    <row r="134" customFormat="false" ht="15" hidden="false" customHeight="false" outlineLevel="0" collapsed="false">
      <c r="A134" s="33"/>
      <c r="B134" s="33"/>
      <c r="C134" s="33"/>
      <c r="D134" s="33"/>
      <c r="E134" s="33"/>
      <c r="F134" s="33"/>
      <c r="G134" s="33"/>
      <c r="H134" s="33"/>
      <c r="I134" s="33"/>
      <c r="J134" s="33"/>
      <c r="K134" s="33"/>
      <c r="L134" s="34"/>
      <c r="M134" s="34"/>
      <c r="N134" s="34"/>
      <c r="O134" s="34"/>
      <c r="P134" s="33"/>
      <c r="Q134" s="35"/>
      <c r="R134" s="33"/>
      <c r="S134" s="33"/>
      <c r="T134" s="33"/>
      <c r="U134" s="33"/>
      <c r="V134" s="33"/>
      <c r="W134" s="33"/>
    </row>
    <row r="135" customFormat="false" ht="15" hidden="false" customHeight="false" outlineLevel="0" collapsed="false">
      <c r="A135" s="33"/>
      <c r="B135" s="33"/>
      <c r="C135" s="33"/>
      <c r="D135" s="33"/>
      <c r="E135" s="33"/>
      <c r="F135" s="33"/>
      <c r="G135" s="33"/>
      <c r="H135" s="33"/>
      <c r="I135" s="33"/>
      <c r="J135" s="33"/>
      <c r="K135" s="33"/>
      <c r="L135" s="34"/>
      <c r="M135" s="34"/>
      <c r="N135" s="34"/>
      <c r="O135" s="34"/>
      <c r="P135" s="33"/>
      <c r="Q135" s="35"/>
      <c r="R135" s="33"/>
      <c r="S135" s="33"/>
      <c r="T135" s="33"/>
      <c r="U135" s="33"/>
      <c r="V135" s="33"/>
      <c r="W135" s="33"/>
    </row>
    <row r="136" customFormat="false" ht="15" hidden="false" customHeight="false" outlineLevel="0" collapsed="false">
      <c r="A136" s="33"/>
      <c r="B136" s="33"/>
      <c r="C136" s="33"/>
      <c r="D136" s="33"/>
      <c r="E136" s="33"/>
      <c r="F136" s="33"/>
      <c r="G136" s="33"/>
      <c r="H136" s="33"/>
      <c r="I136" s="33"/>
      <c r="J136" s="33"/>
      <c r="K136" s="33"/>
      <c r="L136" s="34"/>
      <c r="M136" s="34"/>
      <c r="N136" s="34"/>
      <c r="O136" s="34"/>
      <c r="P136" s="33"/>
      <c r="Q136" s="35"/>
      <c r="R136" s="33"/>
      <c r="S136" s="33"/>
      <c r="T136" s="33"/>
      <c r="U136" s="33"/>
      <c r="V136" s="33"/>
      <c r="W136" s="33"/>
    </row>
    <row r="137" customFormat="false" ht="15" hidden="false" customHeight="false" outlineLevel="0" collapsed="false">
      <c r="A137" s="33"/>
      <c r="B137" s="33"/>
      <c r="C137" s="33"/>
      <c r="D137" s="33"/>
      <c r="E137" s="33"/>
      <c r="F137" s="33"/>
      <c r="G137" s="33"/>
      <c r="H137" s="33"/>
      <c r="I137" s="33"/>
      <c r="J137" s="33"/>
      <c r="K137" s="33"/>
      <c r="L137" s="34"/>
      <c r="M137" s="34"/>
      <c r="N137" s="34"/>
      <c r="O137" s="34"/>
      <c r="P137" s="33"/>
      <c r="Q137" s="35"/>
      <c r="R137" s="33"/>
      <c r="S137" s="33"/>
      <c r="T137" s="33"/>
      <c r="U137" s="33"/>
      <c r="V137" s="33"/>
      <c r="W137" s="33"/>
    </row>
    <row r="138" customFormat="false" ht="15" hidden="false" customHeight="false" outlineLevel="0" collapsed="false">
      <c r="A138" s="33"/>
      <c r="B138" s="33"/>
      <c r="C138" s="33"/>
      <c r="D138" s="33"/>
      <c r="E138" s="33"/>
      <c r="F138" s="33"/>
      <c r="G138" s="33"/>
      <c r="H138" s="33"/>
      <c r="I138" s="33"/>
      <c r="J138" s="33"/>
      <c r="K138" s="33"/>
      <c r="L138" s="34"/>
      <c r="M138" s="34"/>
      <c r="N138" s="34"/>
      <c r="O138" s="34"/>
      <c r="P138" s="33"/>
      <c r="Q138" s="35"/>
      <c r="R138" s="33"/>
      <c r="S138" s="33"/>
      <c r="T138" s="33"/>
      <c r="U138" s="33"/>
      <c r="V138" s="33"/>
      <c r="W138" s="33"/>
    </row>
    <row r="139" customFormat="false" ht="15" hidden="false" customHeight="false" outlineLevel="0" collapsed="false">
      <c r="A139" s="33"/>
      <c r="B139" s="33"/>
      <c r="C139" s="33"/>
      <c r="D139" s="33"/>
      <c r="E139" s="33"/>
      <c r="F139" s="33"/>
      <c r="G139" s="33"/>
      <c r="H139" s="33"/>
      <c r="I139" s="33"/>
      <c r="J139" s="33"/>
      <c r="K139" s="33"/>
      <c r="L139" s="34"/>
      <c r="M139" s="34"/>
      <c r="N139" s="34"/>
      <c r="O139" s="34"/>
      <c r="P139" s="33"/>
      <c r="Q139" s="35"/>
      <c r="R139" s="33"/>
      <c r="S139" s="33"/>
      <c r="T139" s="33"/>
      <c r="U139" s="33"/>
      <c r="V139" s="33"/>
      <c r="W139" s="33"/>
    </row>
    <row r="140" customFormat="false" ht="15" hidden="false" customHeight="false" outlineLevel="0" collapsed="false">
      <c r="A140" s="33"/>
      <c r="B140" s="33"/>
      <c r="C140" s="33"/>
      <c r="D140" s="33"/>
      <c r="E140" s="33"/>
      <c r="F140" s="33"/>
      <c r="G140" s="33"/>
      <c r="H140" s="33"/>
      <c r="I140" s="33"/>
      <c r="J140" s="33"/>
      <c r="K140" s="33"/>
      <c r="L140" s="34"/>
      <c r="M140" s="34"/>
      <c r="N140" s="34"/>
      <c r="O140" s="34"/>
      <c r="P140" s="33"/>
      <c r="Q140" s="35"/>
      <c r="R140" s="33"/>
      <c r="S140" s="33"/>
      <c r="T140" s="33"/>
      <c r="U140" s="33"/>
      <c r="V140" s="33"/>
      <c r="W140" s="33"/>
    </row>
    <row r="141" customFormat="false" ht="15" hidden="false" customHeight="false" outlineLevel="0" collapsed="false">
      <c r="A141" s="33"/>
      <c r="B141" s="33"/>
      <c r="C141" s="33"/>
      <c r="D141" s="33"/>
      <c r="E141" s="33"/>
      <c r="F141" s="33"/>
      <c r="G141" s="33"/>
      <c r="H141" s="33"/>
      <c r="I141" s="33"/>
      <c r="J141" s="33"/>
      <c r="K141" s="33"/>
      <c r="L141" s="34"/>
      <c r="M141" s="34"/>
      <c r="N141" s="34"/>
      <c r="O141" s="34"/>
      <c r="P141" s="33"/>
      <c r="Q141" s="35"/>
      <c r="R141" s="33"/>
      <c r="S141" s="33"/>
      <c r="T141" s="33"/>
      <c r="U141" s="33"/>
      <c r="V141" s="33"/>
      <c r="W141" s="33"/>
    </row>
    <row r="142" customFormat="false" ht="15" hidden="false" customHeight="false" outlineLevel="0" collapsed="false">
      <c r="A142" s="33"/>
      <c r="B142" s="33"/>
      <c r="C142" s="33"/>
      <c r="D142" s="33"/>
      <c r="E142" s="33"/>
      <c r="F142" s="33"/>
      <c r="G142" s="33"/>
      <c r="H142" s="33"/>
      <c r="I142" s="33"/>
      <c r="J142" s="33"/>
      <c r="K142" s="33"/>
      <c r="L142" s="34"/>
      <c r="M142" s="34"/>
      <c r="N142" s="34"/>
      <c r="O142" s="34"/>
      <c r="P142" s="33"/>
      <c r="Q142" s="35"/>
      <c r="R142" s="33"/>
      <c r="S142" s="33"/>
      <c r="T142" s="33"/>
      <c r="U142" s="33"/>
      <c r="V142" s="33"/>
      <c r="W142" s="33"/>
    </row>
    <row r="143" customFormat="false" ht="15" hidden="false" customHeight="false" outlineLevel="0" collapsed="false">
      <c r="A143" s="33"/>
      <c r="B143" s="33"/>
      <c r="C143" s="33"/>
      <c r="D143" s="33"/>
      <c r="E143" s="33"/>
      <c r="F143" s="33"/>
      <c r="G143" s="33"/>
      <c r="H143" s="33"/>
      <c r="I143" s="33"/>
      <c r="J143" s="33"/>
      <c r="K143" s="33"/>
      <c r="L143" s="34"/>
      <c r="M143" s="34"/>
      <c r="N143" s="34"/>
      <c r="O143" s="34"/>
      <c r="P143" s="33"/>
      <c r="Q143" s="35"/>
      <c r="R143" s="33"/>
      <c r="S143" s="33"/>
      <c r="T143" s="33"/>
      <c r="U143" s="33"/>
      <c r="V143" s="33"/>
      <c r="W143" s="33"/>
    </row>
    <row r="144" customFormat="false" ht="15" hidden="false" customHeight="false" outlineLevel="0" collapsed="false">
      <c r="A144" s="33"/>
      <c r="B144" s="33"/>
      <c r="C144" s="33"/>
      <c r="D144" s="33"/>
      <c r="E144" s="33"/>
      <c r="F144" s="33"/>
      <c r="G144" s="33"/>
      <c r="H144" s="33"/>
      <c r="I144" s="33"/>
      <c r="J144" s="33"/>
      <c r="K144" s="33"/>
      <c r="L144" s="34"/>
      <c r="M144" s="34"/>
      <c r="N144" s="34"/>
      <c r="O144" s="34"/>
      <c r="P144" s="33"/>
      <c r="Q144" s="35"/>
      <c r="R144" s="33"/>
      <c r="S144" s="33"/>
      <c r="T144" s="33"/>
      <c r="U144" s="33"/>
      <c r="V144" s="33"/>
      <c r="W144" s="33"/>
    </row>
    <row r="145" customFormat="false" ht="15" hidden="false" customHeight="false" outlineLevel="0" collapsed="false">
      <c r="A145" s="33"/>
      <c r="B145" s="33"/>
      <c r="C145" s="33"/>
      <c r="D145" s="33"/>
      <c r="E145" s="33"/>
      <c r="F145" s="33"/>
      <c r="G145" s="33"/>
      <c r="H145" s="33"/>
      <c r="I145" s="33"/>
      <c r="J145" s="33"/>
      <c r="K145" s="33"/>
      <c r="L145" s="34"/>
      <c r="M145" s="34"/>
      <c r="N145" s="34"/>
      <c r="O145" s="34"/>
      <c r="P145" s="33"/>
      <c r="Q145" s="35"/>
      <c r="R145" s="33"/>
      <c r="S145" s="33"/>
      <c r="T145" s="33"/>
      <c r="U145" s="33"/>
      <c r="V145" s="33"/>
      <c r="W145" s="33"/>
    </row>
    <row r="146" customFormat="false" ht="15" hidden="false" customHeight="false" outlineLevel="0" collapsed="false">
      <c r="A146" s="33"/>
      <c r="B146" s="33"/>
      <c r="C146" s="33"/>
      <c r="D146" s="33"/>
      <c r="E146" s="33"/>
      <c r="F146" s="33"/>
      <c r="G146" s="33"/>
      <c r="H146" s="33"/>
      <c r="I146" s="33"/>
      <c r="J146" s="33"/>
      <c r="K146" s="33"/>
      <c r="L146" s="34"/>
      <c r="M146" s="34"/>
      <c r="N146" s="34"/>
      <c r="O146" s="34"/>
      <c r="P146" s="33"/>
      <c r="Q146" s="35"/>
      <c r="R146" s="33"/>
      <c r="S146" s="33"/>
      <c r="T146" s="33"/>
      <c r="U146" s="33"/>
      <c r="V146" s="33"/>
      <c r="W146" s="33"/>
    </row>
    <row r="147" customFormat="false" ht="15" hidden="false" customHeight="false" outlineLevel="0" collapsed="false">
      <c r="A147" s="33"/>
      <c r="B147" s="33"/>
      <c r="C147" s="33"/>
      <c r="D147" s="33"/>
      <c r="E147" s="33"/>
      <c r="F147" s="33"/>
      <c r="G147" s="33"/>
      <c r="H147" s="33"/>
      <c r="I147" s="33"/>
      <c r="J147" s="33"/>
      <c r="K147" s="33"/>
      <c r="L147" s="34"/>
      <c r="M147" s="34"/>
      <c r="N147" s="34"/>
      <c r="O147" s="34"/>
      <c r="P147" s="33"/>
      <c r="Q147" s="35"/>
      <c r="R147" s="33"/>
      <c r="S147" s="33"/>
      <c r="T147" s="33"/>
      <c r="U147" s="33"/>
      <c r="V147" s="33"/>
      <c r="W147" s="33"/>
    </row>
    <row r="148" customFormat="false" ht="15" hidden="false" customHeight="false" outlineLevel="0" collapsed="false">
      <c r="A148" s="33"/>
      <c r="B148" s="33"/>
      <c r="C148" s="33"/>
      <c r="D148" s="33"/>
      <c r="E148" s="33"/>
      <c r="F148" s="33"/>
      <c r="G148" s="33"/>
      <c r="H148" s="33"/>
      <c r="I148" s="33"/>
      <c r="J148" s="33"/>
      <c r="K148" s="33"/>
      <c r="L148" s="34"/>
      <c r="M148" s="34"/>
      <c r="N148" s="34"/>
      <c r="O148" s="34"/>
      <c r="P148" s="33"/>
      <c r="Q148" s="35"/>
      <c r="R148" s="33"/>
      <c r="S148" s="33"/>
      <c r="T148" s="33"/>
      <c r="U148" s="33"/>
      <c r="V148" s="33"/>
      <c r="W148" s="33"/>
    </row>
    <row r="149" customFormat="false" ht="15" hidden="false" customHeight="false" outlineLevel="0" collapsed="false">
      <c r="A149" s="33"/>
      <c r="B149" s="33"/>
      <c r="C149" s="33"/>
      <c r="D149" s="33"/>
      <c r="E149" s="33"/>
      <c r="F149" s="33"/>
      <c r="G149" s="33"/>
      <c r="H149" s="33"/>
      <c r="I149" s="33"/>
      <c r="J149" s="33"/>
      <c r="K149" s="33"/>
      <c r="L149" s="34"/>
      <c r="M149" s="34"/>
      <c r="N149" s="34"/>
      <c r="O149" s="34"/>
      <c r="P149" s="33"/>
      <c r="Q149" s="35"/>
      <c r="R149" s="33"/>
      <c r="S149" s="33"/>
      <c r="T149" s="33"/>
      <c r="U149" s="33"/>
      <c r="V149" s="33"/>
      <c r="W149" s="33"/>
    </row>
    <row r="150" customFormat="false" ht="15" hidden="false" customHeight="false" outlineLevel="0" collapsed="false">
      <c r="A150" s="33"/>
      <c r="B150" s="33"/>
      <c r="C150" s="33"/>
      <c r="D150" s="33"/>
      <c r="E150" s="33"/>
      <c r="F150" s="33"/>
      <c r="G150" s="33"/>
      <c r="H150" s="33"/>
      <c r="I150" s="33"/>
      <c r="J150" s="33"/>
      <c r="K150" s="33"/>
      <c r="L150" s="34"/>
      <c r="M150" s="34"/>
      <c r="N150" s="34"/>
      <c r="O150" s="34"/>
      <c r="P150" s="33"/>
      <c r="Q150" s="35"/>
      <c r="R150" s="33"/>
      <c r="S150" s="33"/>
      <c r="T150" s="33"/>
      <c r="U150" s="33"/>
      <c r="V150" s="33"/>
      <c r="W150" s="33"/>
    </row>
    <row r="151" customFormat="false" ht="15" hidden="false" customHeight="false" outlineLevel="0" collapsed="false">
      <c r="A151" s="33"/>
      <c r="B151" s="33"/>
      <c r="C151" s="33"/>
      <c r="D151" s="33"/>
      <c r="E151" s="33"/>
      <c r="F151" s="33"/>
      <c r="G151" s="33"/>
      <c r="H151" s="33"/>
      <c r="I151" s="33"/>
      <c r="J151" s="33"/>
      <c r="K151" s="33"/>
      <c r="L151" s="34"/>
      <c r="M151" s="34"/>
      <c r="N151" s="34"/>
      <c r="O151" s="34"/>
      <c r="P151" s="33"/>
      <c r="Q151" s="35"/>
      <c r="R151" s="33"/>
      <c r="S151" s="33"/>
      <c r="T151" s="33"/>
      <c r="U151" s="33"/>
      <c r="V151" s="33"/>
      <c r="W151" s="33"/>
    </row>
    <row r="152" customFormat="false" ht="15" hidden="false" customHeight="false" outlineLevel="0" collapsed="false">
      <c r="A152" s="33"/>
      <c r="B152" s="33"/>
      <c r="C152" s="33"/>
      <c r="D152" s="33"/>
      <c r="E152" s="33"/>
      <c r="F152" s="33"/>
      <c r="G152" s="33"/>
      <c r="H152" s="33"/>
      <c r="I152" s="33"/>
      <c r="J152" s="33"/>
      <c r="K152" s="33"/>
      <c r="L152" s="34"/>
      <c r="M152" s="34"/>
      <c r="N152" s="34"/>
      <c r="O152" s="34"/>
      <c r="P152" s="33"/>
      <c r="Q152" s="35"/>
      <c r="R152" s="33"/>
      <c r="S152" s="33"/>
      <c r="T152" s="33"/>
      <c r="U152" s="33"/>
      <c r="V152" s="33"/>
      <c r="W152" s="33"/>
    </row>
    <row r="153" customFormat="false" ht="15" hidden="false" customHeight="false" outlineLevel="0" collapsed="false">
      <c r="A153" s="33"/>
      <c r="B153" s="33"/>
      <c r="C153" s="33"/>
      <c r="D153" s="33"/>
      <c r="E153" s="33"/>
      <c r="F153" s="33"/>
      <c r="G153" s="33"/>
      <c r="H153" s="33"/>
      <c r="I153" s="33"/>
      <c r="J153" s="33"/>
      <c r="K153" s="33"/>
      <c r="L153" s="34"/>
      <c r="M153" s="34"/>
      <c r="N153" s="34"/>
      <c r="O153" s="34"/>
      <c r="P153" s="33"/>
      <c r="Q153" s="35"/>
      <c r="R153" s="33"/>
      <c r="S153" s="33"/>
      <c r="T153" s="33"/>
      <c r="U153" s="33"/>
      <c r="V153" s="33"/>
      <c r="W153" s="33"/>
    </row>
    <row r="154" customFormat="false" ht="15" hidden="false" customHeight="false" outlineLevel="0" collapsed="false">
      <c r="A154" s="33"/>
      <c r="B154" s="33"/>
      <c r="C154" s="33"/>
      <c r="D154" s="33"/>
      <c r="E154" s="33"/>
      <c r="F154" s="33"/>
      <c r="G154" s="33"/>
      <c r="H154" s="33"/>
      <c r="I154" s="33"/>
      <c r="J154" s="33"/>
      <c r="K154" s="33"/>
      <c r="L154" s="34"/>
      <c r="M154" s="34"/>
      <c r="N154" s="34"/>
      <c r="O154" s="34"/>
      <c r="P154" s="33"/>
      <c r="Q154" s="35"/>
      <c r="R154" s="33"/>
      <c r="S154" s="33"/>
      <c r="T154" s="33"/>
      <c r="U154" s="33"/>
      <c r="V154" s="33"/>
      <c r="W154" s="33"/>
    </row>
    <row r="155" customFormat="false" ht="15" hidden="false" customHeight="false" outlineLevel="0" collapsed="false">
      <c r="A155" s="33"/>
      <c r="B155" s="33"/>
      <c r="C155" s="33"/>
      <c r="D155" s="33"/>
      <c r="E155" s="33"/>
      <c r="F155" s="33"/>
      <c r="G155" s="33"/>
      <c r="H155" s="33"/>
      <c r="I155" s="33"/>
      <c r="J155" s="33"/>
      <c r="K155" s="33"/>
      <c r="L155" s="34"/>
      <c r="M155" s="34"/>
      <c r="N155" s="34"/>
      <c r="O155" s="34"/>
      <c r="P155" s="33"/>
      <c r="Q155" s="35"/>
      <c r="R155" s="33"/>
      <c r="S155" s="33"/>
      <c r="T155" s="33"/>
      <c r="U155" s="33"/>
      <c r="V155" s="33"/>
      <c r="W155" s="33"/>
    </row>
    <row r="156" customFormat="false" ht="15" hidden="false" customHeight="false" outlineLevel="0" collapsed="false">
      <c r="A156" s="33"/>
      <c r="B156" s="33"/>
      <c r="C156" s="33"/>
      <c r="D156" s="33"/>
      <c r="E156" s="33"/>
      <c r="F156" s="33"/>
      <c r="G156" s="33"/>
      <c r="H156" s="33"/>
      <c r="I156" s="33"/>
      <c r="J156" s="33"/>
      <c r="K156" s="33"/>
      <c r="L156" s="34"/>
      <c r="M156" s="34"/>
      <c r="N156" s="34"/>
      <c r="O156" s="34"/>
      <c r="P156" s="33"/>
      <c r="Q156" s="35"/>
      <c r="R156" s="33"/>
      <c r="S156" s="33"/>
      <c r="T156" s="33"/>
      <c r="U156" s="33"/>
      <c r="V156" s="33"/>
      <c r="W156" s="33"/>
    </row>
    <row r="157" customFormat="false" ht="15" hidden="false" customHeight="false" outlineLevel="0" collapsed="false">
      <c r="A157" s="33"/>
      <c r="B157" s="33"/>
      <c r="C157" s="33"/>
      <c r="D157" s="33"/>
      <c r="E157" s="33"/>
      <c r="F157" s="33"/>
      <c r="G157" s="33"/>
      <c r="H157" s="33"/>
      <c r="I157" s="33"/>
      <c r="J157" s="33"/>
      <c r="K157" s="33"/>
      <c r="L157" s="34"/>
      <c r="M157" s="34"/>
      <c r="N157" s="34"/>
      <c r="O157" s="34"/>
      <c r="P157" s="33"/>
      <c r="Q157" s="35"/>
      <c r="R157" s="33"/>
      <c r="S157" s="33"/>
      <c r="T157" s="33"/>
      <c r="U157" s="33"/>
      <c r="V157" s="33"/>
      <c r="W157" s="33"/>
    </row>
    <row r="158" customFormat="false" ht="15" hidden="false" customHeight="false" outlineLevel="0" collapsed="false">
      <c r="A158" s="33"/>
      <c r="B158" s="33"/>
      <c r="C158" s="33"/>
      <c r="D158" s="33"/>
      <c r="E158" s="33"/>
      <c r="F158" s="33"/>
      <c r="G158" s="33"/>
      <c r="H158" s="33"/>
      <c r="I158" s="33"/>
      <c r="J158" s="33"/>
      <c r="K158" s="33"/>
      <c r="L158" s="34"/>
      <c r="M158" s="34"/>
      <c r="N158" s="34"/>
      <c r="O158" s="34"/>
      <c r="P158" s="33"/>
      <c r="Q158" s="35"/>
      <c r="R158" s="33"/>
      <c r="S158" s="33"/>
      <c r="T158" s="33"/>
      <c r="U158" s="33"/>
      <c r="V158" s="33"/>
      <c r="W158" s="33"/>
    </row>
    <row r="159" customFormat="false" ht="15" hidden="false" customHeight="false" outlineLevel="0" collapsed="false">
      <c r="A159" s="33"/>
      <c r="B159" s="33"/>
      <c r="C159" s="33"/>
      <c r="D159" s="33"/>
      <c r="E159" s="33"/>
      <c r="F159" s="33"/>
      <c r="G159" s="33"/>
      <c r="H159" s="33"/>
      <c r="I159" s="33"/>
      <c r="J159" s="33"/>
      <c r="K159" s="33"/>
      <c r="L159" s="34"/>
      <c r="M159" s="34"/>
      <c r="N159" s="34"/>
      <c r="O159" s="34"/>
      <c r="P159" s="33"/>
      <c r="Q159" s="35"/>
      <c r="R159" s="33"/>
      <c r="S159" s="33"/>
      <c r="T159" s="33"/>
      <c r="U159" s="33"/>
      <c r="V159" s="33"/>
      <c r="W159" s="33"/>
    </row>
    <row r="160" customFormat="false" ht="15" hidden="false" customHeight="false" outlineLevel="0" collapsed="false">
      <c r="A160" s="33"/>
      <c r="B160" s="33"/>
      <c r="C160" s="33"/>
      <c r="D160" s="33"/>
      <c r="E160" s="33"/>
      <c r="F160" s="33"/>
      <c r="G160" s="33"/>
      <c r="H160" s="33"/>
      <c r="I160" s="33"/>
      <c r="J160" s="33"/>
      <c r="K160" s="33"/>
      <c r="L160" s="34"/>
      <c r="M160" s="34"/>
      <c r="N160" s="34"/>
      <c r="O160" s="34"/>
      <c r="P160" s="33"/>
      <c r="Q160" s="35"/>
      <c r="R160" s="33"/>
      <c r="S160" s="33"/>
      <c r="T160" s="33"/>
      <c r="U160" s="33"/>
      <c r="V160" s="33"/>
      <c r="W160" s="33"/>
    </row>
    <row r="161" customFormat="false" ht="15" hidden="false" customHeight="false" outlineLevel="0" collapsed="false">
      <c r="A161" s="33"/>
      <c r="B161" s="33"/>
      <c r="C161" s="33"/>
      <c r="D161" s="33"/>
      <c r="E161" s="33"/>
      <c r="F161" s="33"/>
      <c r="G161" s="33"/>
      <c r="H161" s="33"/>
      <c r="I161" s="33"/>
      <c r="J161" s="33"/>
      <c r="K161" s="33"/>
      <c r="L161" s="34"/>
      <c r="M161" s="34"/>
      <c r="N161" s="34"/>
      <c r="O161" s="34"/>
      <c r="P161" s="33"/>
      <c r="Q161" s="35"/>
      <c r="R161" s="33"/>
      <c r="S161" s="33"/>
      <c r="T161" s="33"/>
      <c r="U161" s="33"/>
      <c r="V161" s="33"/>
      <c r="W161" s="33"/>
    </row>
    <row r="162" customFormat="false" ht="15" hidden="false" customHeight="false" outlineLevel="0" collapsed="false">
      <c r="A162" s="33"/>
      <c r="B162" s="33"/>
      <c r="C162" s="33"/>
      <c r="D162" s="33"/>
      <c r="E162" s="33"/>
      <c r="F162" s="33"/>
      <c r="G162" s="33"/>
      <c r="H162" s="33"/>
      <c r="I162" s="33"/>
      <c r="J162" s="33"/>
      <c r="K162" s="33"/>
      <c r="L162" s="34"/>
      <c r="M162" s="34"/>
      <c r="N162" s="34"/>
      <c r="O162" s="34"/>
      <c r="P162" s="33"/>
      <c r="Q162" s="35"/>
      <c r="R162" s="33"/>
      <c r="S162" s="33"/>
      <c r="T162" s="33"/>
      <c r="U162" s="33"/>
      <c r="V162" s="33"/>
      <c r="W162" s="33"/>
    </row>
    <row r="163" customFormat="false" ht="15" hidden="false" customHeight="false" outlineLevel="0" collapsed="false">
      <c r="A163" s="33"/>
      <c r="B163" s="33"/>
      <c r="C163" s="33"/>
      <c r="D163" s="33"/>
      <c r="E163" s="33"/>
      <c r="F163" s="33"/>
      <c r="G163" s="33"/>
      <c r="H163" s="33"/>
      <c r="I163" s="33"/>
      <c r="J163" s="33"/>
      <c r="K163" s="33"/>
      <c r="L163" s="34"/>
      <c r="M163" s="34"/>
      <c r="N163" s="34"/>
      <c r="O163" s="34"/>
      <c r="P163" s="33"/>
      <c r="Q163" s="35"/>
      <c r="R163" s="33"/>
      <c r="S163" s="33"/>
      <c r="T163" s="33"/>
      <c r="U163" s="33"/>
      <c r="V163" s="33"/>
      <c r="W163" s="33"/>
    </row>
    <row r="164" customFormat="false" ht="15" hidden="false" customHeight="false" outlineLevel="0" collapsed="false">
      <c r="A164" s="33"/>
      <c r="B164" s="33"/>
      <c r="C164" s="33"/>
      <c r="D164" s="33"/>
      <c r="E164" s="33"/>
      <c r="F164" s="33"/>
      <c r="G164" s="33"/>
      <c r="H164" s="33"/>
      <c r="I164" s="33"/>
      <c r="J164" s="33"/>
      <c r="K164" s="33"/>
      <c r="L164" s="34"/>
      <c r="M164" s="34"/>
      <c r="N164" s="34"/>
      <c r="O164" s="34"/>
      <c r="P164" s="33"/>
      <c r="Q164" s="35"/>
      <c r="R164" s="33"/>
      <c r="S164" s="33"/>
      <c r="T164" s="33"/>
      <c r="U164" s="33"/>
      <c r="V164" s="33"/>
      <c r="W164" s="33"/>
    </row>
    <row r="165" customFormat="false" ht="15" hidden="false" customHeight="false" outlineLevel="0" collapsed="false">
      <c r="A165" s="33"/>
      <c r="B165" s="33"/>
      <c r="C165" s="33"/>
      <c r="D165" s="33"/>
      <c r="E165" s="33"/>
      <c r="F165" s="33"/>
      <c r="G165" s="33"/>
      <c r="H165" s="33"/>
      <c r="I165" s="33"/>
      <c r="J165" s="33"/>
      <c r="K165" s="33"/>
      <c r="L165" s="34"/>
      <c r="M165" s="34"/>
      <c r="N165" s="34"/>
      <c r="O165" s="34"/>
      <c r="P165" s="33"/>
      <c r="Q165" s="35"/>
      <c r="R165" s="33"/>
      <c r="S165" s="33"/>
      <c r="T165" s="33"/>
      <c r="U165" s="33"/>
      <c r="V165" s="33"/>
      <c r="W165" s="33"/>
    </row>
    <row r="166" customFormat="false" ht="15" hidden="false" customHeight="false" outlineLevel="0" collapsed="false">
      <c r="A166" s="33"/>
      <c r="B166" s="33"/>
      <c r="C166" s="33"/>
      <c r="D166" s="33"/>
      <c r="E166" s="33"/>
      <c r="F166" s="33"/>
      <c r="G166" s="33"/>
      <c r="H166" s="33"/>
      <c r="I166" s="33"/>
      <c r="J166" s="33"/>
      <c r="K166" s="33"/>
      <c r="L166" s="34"/>
      <c r="M166" s="34"/>
      <c r="N166" s="34"/>
      <c r="O166" s="34"/>
      <c r="P166" s="33"/>
      <c r="Q166" s="35"/>
      <c r="R166" s="33"/>
      <c r="S166" s="33"/>
      <c r="T166" s="33"/>
      <c r="U166" s="33"/>
      <c r="V166" s="33"/>
      <c r="W166" s="33"/>
    </row>
    <row r="167" customFormat="false" ht="15" hidden="false" customHeight="false" outlineLevel="0" collapsed="false">
      <c r="A167" s="33"/>
      <c r="B167" s="33"/>
      <c r="C167" s="33"/>
      <c r="D167" s="33"/>
      <c r="E167" s="33"/>
      <c r="F167" s="33"/>
      <c r="G167" s="33"/>
      <c r="H167" s="33"/>
      <c r="I167" s="33"/>
      <c r="J167" s="33"/>
      <c r="K167" s="33"/>
      <c r="L167" s="34"/>
      <c r="M167" s="34"/>
      <c r="N167" s="34"/>
      <c r="O167" s="34"/>
      <c r="P167" s="33"/>
      <c r="Q167" s="35"/>
      <c r="R167" s="33"/>
      <c r="S167" s="33"/>
      <c r="T167" s="33"/>
      <c r="U167" s="33"/>
      <c r="V167" s="33"/>
      <c r="W167" s="33"/>
    </row>
    <row r="168" customFormat="false" ht="15" hidden="false" customHeight="false" outlineLevel="0" collapsed="false">
      <c r="A168" s="33"/>
      <c r="B168" s="33"/>
      <c r="C168" s="33"/>
      <c r="D168" s="33"/>
      <c r="E168" s="33"/>
      <c r="F168" s="33"/>
      <c r="G168" s="33"/>
      <c r="H168" s="33"/>
      <c r="I168" s="33"/>
      <c r="J168" s="33"/>
      <c r="K168" s="33"/>
      <c r="L168" s="34"/>
      <c r="M168" s="34"/>
      <c r="N168" s="34"/>
      <c r="O168" s="34"/>
      <c r="P168" s="33"/>
      <c r="Q168" s="35"/>
      <c r="R168" s="33"/>
      <c r="S168" s="33"/>
      <c r="T168" s="33"/>
      <c r="U168" s="33"/>
      <c r="V168" s="33"/>
      <c r="W168" s="33"/>
    </row>
    <row r="169" customFormat="false" ht="15" hidden="false" customHeight="false" outlineLevel="0" collapsed="false">
      <c r="A169" s="33"/>
      <c r="B169" s="33"/>
      <c r="C169" s="33"/>
      <c r="D169" s="33"/>
      <c r="E169" s="33"/>
      <c r="F169" s="33"/>
      <c r="G169" s="33"/>
      <c r="H169" s="33"/>
      <c r="I169" s="33"/>
      <c r="J169" s="33"/>
      <c r="K169" s="33"/>
      <c r="L169" s="34"/>
      <c r="M169" s="34"/>
      <c r="N169" s="34"/>
      <c r="O169" s="34"/>
      <c r="P169" s="33"/>
      <c r="Q169" s="35"/>
      <c r="R169" s="33"/>
      <c r="S169" s="33"/>
      <c r="T169" s="33"/>
      <c r="U169" s="33"/>
      <c r="V169" s="33"/>
      <c r="W169" s="33"/>
    </row>
    <row r="170" customFormat="false" ht="15" hidden="false" customHeight="false" outlineLevel="0" collapsed="false">
      <c r="A170" s="33"/>
      <c r="B170" s="33"/>
      <c r="C170" s="33"/>
      <c r="D170" s="33"/>
      <c r="E170" s="33"/>
      <c r="F170" s="33"/>
      <c r="G170" s="33"/>
      <c r="H170" s="33"/>
      <c r="I170" s="33"/>
      <c r="J170" s="33"/>
      <c r="K170" s="33"/>
      <c r="L170" s="34"/>
      <c r="M170" s="34"/>
      <c r="N170" s="34"/>
      <c r="O170" s="34"/>
      <c r="P170" s="33"/>
      <c r="Q170" s="35"/>
      <c r="R170" s="33"/>
      <c r="S170" s="33"/>
      <c r="T170" s="33"/>
      <c r="U170" s="33"/>
      <c r="V170" s="33"/>
      <c r="W170" s="33"/>
    </row>
    <row r="171" customFormat="false" ht="15" hidden="false" customHeight="false" outlineLevel="0" collapsed="false">
      <c r="A171" s="33"/>
      <c r="B171" s="33"/>
      <c r="C171" s="33"/>
      <c r="D171" s="33"/>
      <c r="E171" s="33"/>
      <c r="F171" s="33"/>
      <c r="G171" s="33"/>
      <c r="H171" s="33"/>
      <c r="I171" s="33"/>
      <c r="J171" s="33"/>
      <c r="K171" s="33"/>
      <c r="L171" s="34"/>
      <c r="M171" s="34"/>
      <c r="N171" s="34"/>
      <c r="O171" s="34"/>
      <c r="P171" s="33"/>
      <c r="Q171" s="35"/>
      <c r="R171" s="33"/>
      <c r="S171" s="33"/>
      <c r="T171" s="33"/>
      <c r="U171" s="33"/>
      <c r="V171" s="33"/>
      <c r="W171" s="33"/>
    </row>
    <row r="172" customFormat="false" ht="15" hidden="false" customHeight="false" outlineLevel="0" collapsed="false">
      <c r="A172" s="33"/>
      <c r="B172" s="33"/>
      <c r="C172" s="33"/>
      <c r="D172" s="33"/>
      <c r="E172" s="33"/>
      <c r="F172" s="33"/>
      <c r="G172" s="33"/>
      <c r="H172" s="33"/>
      <c r="I172" s="33"/>
      <c r="J172" s="33"/>
      <c r="K172" s="33"/>
      <c r="L172" s="34"/>
      <c r="M172" s="34"/>
      <c r="N172" s="34"/>
      <c r="O172" s="34"/>
      <c r="P172" s="33"/>
      <c r="Q172" s="35"/>
      <c r="R172" s="33"/>
      <c r="S172" s="33"/>
      <c r="T172" s="33"/>
      <c r="U172" s="33"/>
      <c r="V172" s="33"/>
      <c r="W172" s="33"/>
    </row>
    <row r="173" customFormat="false" ht="15" hidden="false" customHeight="false" outlineLevel="0" collapsed="false">
      <c r="A173" s="33"/>
      <c r="B173" s="33"/>
      <c r="C173" s="33"/>
      <c r="D173" s="33"/>
      <c r="E173" s="33"/>
      <c r="F173" s="33"/>
      <c r="G173" s="33"/>
      <c r="H173" s="33"/>
      <c r="I173" s="33"/>
      <c r="J173" s="33"/>
      <c r="K173" s="33"/>
      <c r="L173" s="34"/>
      <c r="M173" s="34"/>
      <c r="N173" s="34"/>
      <c r="O173" s="34"/>
      <c r="P173" s="33"/>
      <c r="Q173" s="35"/>
      <c r="R173" s="33"/>
      <c r="S173" s="33"/>
      <c r="T173" s="33"/>
      <c r="U173" s="33"/>
      <c r="V173" s="33"/>
      <c r="W173" s="33"/>
    </row>
    <row r="174" customFormat="false" ht="15" hidden="false" customHeight="false" outlineLevel="0" collapsed="false">
      <c r="A174" s="33"/>
      <c r="B174" s="33"/>
      <c r="C174" s="33"/>
      <c r="D174" s="33"/>
      <c r="E174" s="33"/>
      <c r="F174" s="33"/>
      <c r="G174" s="33"/>
      <c r="H174" s="33"/>
      <c r="I174" s="33"/>
      <c r="J174" s="33"/>
      <c r="K174" s="33"/>
      <c r="L174" s="34"/>
      <c r="M174" s="34"/>
      <c r="N174" s="34"/>
      <c r="O174" s="34"/>
      <c r="P174" s="33"/>
      <c r="Q174" s="35"/>
      <c r="R174" s="33"/>
      <c r="S174" s="33"/>
      <c r="T174" s="33"/>
      <c r="U174" s="33"/>
      <c r="V174" s="33"/>
      <c r="W174" s="33"/>
    </row>
    <row r="175" customFormat="false" ht="15" hidden="false" customHeight="false" outlineLevel="0" collapsed="false">
      <c r="A175" s="33"/>
      <c r="B175" s="33"/>
      <c r="C175" s="33"/>
      <c r="D175" s="33"/>
      <c r="E175" s="33"/>
      <c r="F175" s="33"/>
      <c r="G175" s="33"/>
      <c r="H175" s="33"/>
      <c r="I175" s="33"/>
      <c r="J175" s="33"/>
      <c r="K175" s="33"/>
      <c r="L175" s="34"/>
      <c r="M175" s="34"/>
      <c r="N175" s="34"/>
      <c r="O175" s="34"/>
      <c r="P175" s="33"/>
      <c r="Q175" s="35"/>
      <c r="R175" s="33"/>
      <c r="S175" s="33"/>
      <c r="T175" s="33"/>
      <c r="U175" s="33"/>
      <c r="V175" s="33"/>
      <c r="W175" s="33"/>
    </row>
    <row r="176" customFormat="false" ht="15" hidden="false" customHeight="false" outlineLevel="0" collapsed="false">
      <c r="A176" s="33"/>
      <c r="B176" s="33"/>
      <c r="C176" s="33"/>
      <c r="D176" s="33"/>
      <c r="E176" s="33"/>
      <c r="F176" s="33"/>
      <c r="G176" s="33"/>
      <c r="H176" s="33"/>
      <c r="I176" s="33"/>
      <c r="J176" s="33"/>
      <c r="K176" s="33"/>
      <c r="L176" s="34"/>
      <c r="M176" s="34"/>
      <c r="N176" s="34"/>
      <c r="O176" s="34"/>
      <c r="P176" s="33"/>
      <c r="Q176" s="35"/>
      <c r="R176" s="33"/>
      <c r="S176" s="33"/>
      <c r="T176" s="33"/>
      <c r="U176" s="33"/>
      <c r="V176" s="33"/>
      <c r="W176" s="33"/>
    </row>
    <row r="177" customFormat="false" ht="15" hidden="false" customHeight="false" outlineLevel="0" collapsed="false">
      <c r="A177" s="33"/>
      <c r="B177" s="33"/>
      <c r="C177" s="33"/>
      <c r="D177" s="33"/>
      <c r="E177" s="33"/>
      <c r="F177" s="33"/>
      <c r="G177" s="33"/>
      <c r="H177" s="33"/>
      <c r="I177" s="33"/>
      <c r="J177" s="33"/>
      <c r="K177" s="33"/>
      <c r="L177" s="34"/>
      <c r="M177" s="34"/>
      <c r="N177" s="34"/>
      <c r="O177" s="34"/>
      <c r="P177" s="33"/>
      <c r="Q177" s="35"/>
      <c r="R177" s="33"/>
      <c r="S177" s="33"/>
      <c r="T177" s="33"/>
      <c r="U177" s="33"/>
      <c r="V177" s="33"/>
      <c r="W177" s="33"/>
    </row>
    <row r="178" customFormat="false" ht="15" hidden="false" customHeight="false" outlineLevel="0" collapsed="false">
      <c r="A178" s="33"/>
      <c r="B178" s="33"/>
      <c r="C178" s="33"/>
      <c r="D178" s="33"/>
      <c r="E178" s="33"/>
      <c r="F178" s="33"/>
      <c r="G178" s="33"/>
      <c r="H178" s="33"/>
      <c r="I178" s="33"/>
      <c r="J178" s="33"/>
      <c r="K178" s="33"/>
      <c r="L178" s="34"/>
      <c r="M178" s="34"/>
      <c r="N178" s="34"/>
      <c r="O178" s="34"/>
      <c r="P178" s="33"/>
      <c r="Q178" s="35"/>
      <c r="R178" s="33"/>
      <c r="S178" s="33"/>
      <c r="T178" s="33"/>
      <c r="U178" s="33"/>
      <c r="V178" s="33"/>
      <c r="W178" s="33"/>
    </row>
    <row r="179" customFormat="false" ht="15" hidden="false" customHeight="false" outlineLevel="0" collapsed="false">
      <c r="A179" s="33"/>
      <c r="B179" s="33"/>
      <c r="C179" s="33"/>
      <c r="D179" s="33"/>
      <c r="E179" s="33"/>
      <c r="F179" s="33"/>
      <c r="G179" s="33"/>
      <c r="H179" s="33"/>
      <c r="I179" s="33"/>
      <c r="J179" s="33"/>
      <c r="K179" s="33"/>
      <c r="L179" s="34"/>
      <c r="M179" s="34"/>
      <c r="N179" s="34"/>
      <c r="O179" s="34"/>
      <c r="P179" s="33"/>
      <c r="Q179" s="35"/>
      <c r="R179" s="33"/>
      <c r="S179" s="33"/>
      <c r="T179" s="33"/>
      <c r="U179" s="33"/>
      <c r="V179" s="33"/>
      <c r="W179" s="33"/>
    </row>
    <row r="180" customFormat="false" ht="15" hidden="false" customHeight="false" outlineLevel="0" collapsed="false">
      <c r="A180" s="33"/>
      <c r="B180" s="33"/>
      <c r="C180" s="33"/>
      <c r="D180" s="33"/>
      <c r="E180" s="33"/>
      <c r="F180" s="33"/>
      <c r="G180" s="33"/>
      <c r="H180" s="33"/>
      <c r="I180" s="33"/>
      <c r="J180" s="33"/>
      <c r="K180" s="33"/>
      <c r="L180" s="34"/>
      <c r="M180" s="34"/>
      <c r="N180" s="34"/>
      <c r="O180" s="34"/>
      <c r="P180" s="33"/>
      <c r="Q180" s="35"/>
      <c r="R180" s="33"/>
      <c r="S180" s="33"/>
      <c r="T180" s="33"/>
      <c r="U180" s="33"/>
      <c r="V180" s="33"/>
      <c r="W180" s="33"/>
    </row>
    <row r="181" customFormat="false" ht="15" hidden="false" customHeight="false" outlineLevel="0" collapsed="false">
      <c r="A181" s="33"/>
      <c r="B181" s="33"/>
      <c r="C181" s="33"/>
      <c r="D181" s="33"/>
      <c r="E181" s="33"/>
      <c r="F181" s="33"/>
      <c r="G181" s="33"/>
      <c r="H181" s="33"/>
      <c r="I181" s="33"/>
      <c r="J181" s="33"/>
      <c r="K181" s="33"/>
      <c r="L181" s="34"/>
      <c r="M181" s="34"/>
      <c r="N181" s="34"/>
      <c r="O181" s="34"/>
      <c r="P181" s="33"/>
      <c r="Q181" s="35"/>
      <c r="R181" s="33"/>
      <c r="S181" s="33"/>
      <c r="T181" s="33"/>
      <c r="U181" s="33"/>
      <c r="V181" s="33"/>
      <c r="W181" s="33"/>
    </row>
    <row r="182" customFormat="false" ht="15" hidden="false" customHeight="false" outlineLevel="0" collapsed="false">
      <c r="A182" s="33"/>
      <c r="B182" s="33"/>
      <c r="C182" s="33"/>
      <c r="D182" s="33"/>
      <c r="E182" s="33"/>
      <c r="F182" s="33"/>
      <c r="G182" s="33"/>
      <c r="H182" s="33"/>
      <c r="I182" s="33"/>
      <c r="J182" s="33"/>
      <c r="K182" s="33"/>
      <c r="L182" s="34"/>
      <c r="M182" s="34"/>
      <c r="N182" s="34"/>
      <c r="O182" s="34"/>
      <c r="P182" s="33"/>
      <c r="Q182" s="35"/>
      <c r="R182" s="33"/>
      <c r="S182" s="33"/>
      <c r="T182" s="33"/>
      <c r="U182" s="33"/>
      <c r="V182" s="33"/>
      <c r="W182" s="33"/>
    </row>
    <row r="183" customFormat="false" ht="15" hidden="false" customHeight="false" outlineLevel="0" collapsed="false">
      <c r="A183" s="33"/>
      <c r="B183" s="33"/>
      <c r="C183" s="33"/>
      <c r="D183" s="33"/>
      <c r="E183" s="33"/>
      <c r="F183" s="33"/>
      <c r="G183" s="33"/>
      <c r="H183" s="33"/>
      <c r="I183" s="33"/>
      <c r="J183" s="33"/>
      <c r="K183" s="33"/>
      <c r="L183" s="34"/>
      <c r="M183" s="34"/>
      <c r="N183" s="34"/>
      <c r="O183" s="34"/>
      <c r="P183" s="33"/>
      <c r="Q183" s="35"/>
      <c r="R183" s="33"/>
      <c r="S183" s="33"/>
      <c r="T183" s="33"/>
      <c r="U183" s="33"/>
      <c r="V183" s="33"/>
      <c r="W183" s="33"/>
    </row>
    <row r="184" customFormat="false" ht="15" hidden="false" customHeight="false" outlineLevel="0" collapsed="false">
      <c r="A184" s="33"/>
      <c r="B184" s="33"/>
      <c r="C184" s="33"/>
      <c r="D184" s="33"/>
      <c r="E184" s="33"/>
      <c r="F184" s="33"/>
      <c r="G184" s="33"/>
      <c r="H184" s="33"/>
      <c r="I184" s="33"/>
      <c r="J184" s="33"/>
      <c r="K184" s="33"/>
      <c r="L184" s="34"/>
      <c r="M184" s="34"/>
      <c r="N184" s="34"/>
      <c r="O184" s="34"/>
      <c r="P184" s="33"/>
      <c r="Q184" s="35"/>
      <c r="R184" s="33"/>
      <c r="S184" s="33"/>
      <c r="T184" s="33"/>
      <c r="U184" s="33"/>
      <c r="V184" s="33"/>
      <c r="W184" s="33"/>
    </row>
    <row r="185" customFormat="false" ht="15" hidden="false" customHeight="false" outlineLevel="0" collapsed="false">
      <c r="A185" s="33"/>
      <c r="B185" s="33"/>
      <c r="C185" s="33"/>
      <c r="D185" s="33"/>
      <c r="E185" s="33"/>
      <c r="F185" s="33"/>
      <c r="G185" s="33"/>
      <c r="H185" s="33"/>
      <c r="I185" s="33"/>
      <c r="J185" s="33"/>
      <c r="K185" s="33"/>
      <c r="L185" s="34"/>
      <c r="M185" s="34"/>
      <c r="N185" s="34"/>
      <c r="O185" s="34"/>
      <c r="P185" s="33"/>
      <c r="Q185" s="35"/>
      <c r="R185" s="33"/>
      <c r="S185" s="33"/>
      <c r="T185" s="33"/>
      <c r="U185" s="33"/>
      <c r="V185" s="33"/>
      <c r="W185" s="33"/>
    </row>
    <row r="186" customFormat="false" ht="15" hidden="false" customHeight="false" outlineLevel="0" collapsed="false">
      <c r="A186" s="33"/>
      <c r="B186" s="33"/>
      <c r="C186" s="33"/>
      <c r="D186" s="33"/>
      <c r="E186" s="33"/>
      <c r="F186" s="33"/>
      <c r="G186" s="33"/>
      <c r="H186" s="33"/>
      <c r="I186" s="33"/>
      <c r="J186" s="33"/>
      <c r="K186" s="33"/>
      <c r="L186" s="34"/>
      <c r="M186" s="34"/>
      <c r="N186" s="34"/>
      <c r="O186" s="34"/>
      <c r="P186" s="33"/>
      <c r="Q186" s="35"/>
      <c r="R186" s="33"/>
      <c r="S186" s="33"/>
      <c r="T186" s="33"/>
      <c r="U186" s="33"/>
      <c r="V186" s="33"/>
      <c r="W186" s="33"/>
    </row>
    <row r="187" customFormat="false" ht="15" hidden="false" customHeight="false" outlineLevel="0" collapsed="false">
      <c r="A187" s="33"/>
      <c r="B187" s="33"/>
      <c r="C187" s="33"/>
      <c r="D187" s="33"/>
      <c r="E187" s="33"/>
      <c r="F187" s="33"/>
      <c r="G187" s="33"/>
      <c r="H187" s="33"/>
      <c r="I187" s="33"/>
      <c r="J187" s="33"/>
      <c r="K187" s="33"/>
      <c r="L187" s="34"/>
      <c r="M187" s="34"/>
      <c r="N187" s="34"/>
      <c r="O187" s="34"/>
      <c r="P187" s="33"/>
      <c r="Q187" s="35"/>
      <c r="R187" s="33"/>
      <c r="S187" s="33"/>
      <c r="T187" s="33"/>
      <c r="U187" s="33"/>
      <c r="V187" s="33"/>
      <c r="W187" s="33"/>
    </row>
    <row r="188" customFormat="false" ht="15" hidden="false" customHeight="false" outlineLevel="0" collapsed="false">
      <c r="A188" s="33"/>
      <c r="B188" s="33"/>
      <c r="C188" s="33"/>
      <c r="D188" s="33"/>
      <c r="E188" s="33"/>
      <c r="F188" s="33"/>
      <c r="G188" s="33"/>
      <c r="H188" s="33"/>
      <c r="I188" s="33"/>
      <c r="J188" s="33"/>
      <c r="K188" s="33"/>
      <c r="L188" s="34"/>
      <c r="M188" s="34"/>
      <c r="N188" s="34"/>
      <c r="O188" s="34"/>
      <c r="P188" s="33"/>
      <c r="Q188" s="35"/>
      <c r="R188" s="33"/>
      <c r="S188" s="33"/>
      <c r="T188" s="33"/>
      <c r="U188" s="33"/>
      <c r="V188" s="33"/>
      <c r="W188" s="33"/>
    </row>
    <row r="189" customFormat="false" ht="15" hidden="false" customHeight="false" outlineLevel="0" collapsed="false">
      <c r="A189" s="33"/>
      <c r="B189" s="33"/>
      <c r="C189" s="33"/>
      <c r="D189" s="33"/>
      <c r="E189" s="33"/>
      <c r="F189" s="33"/>
      <c r="G189" s="33"/>
      <c r="H189" s="33"/>
      <c r="I189" s="33"/>
      <c r="J189" s="33"/>
      <c r="K189" s="33"/>
      <c r="L189" s="34"/>
      <c r="M189" s="34"/>
      <c r="N189" s="34"/>
      <c r="O189" s="34"/>
      <c r="P189" s="33"/>
      <c r="Q189" s="35"/>
      <c r="R189" s="33"/>
      <c r="S189" s="33"/>
      <c r="T189" s="33"/>
      <c r="U189" s="33"/>
      <c r="V189" s="33"/>
      <c r="W189" s="33"/>
    </row>
    <row r="190" customFormat="false" ht="15" hidden="false" customHeight="false" outlineLevel="0" collapsed="false">
      <c r="A190" s="33"/>
      <c r="B190" s="33"/>
      <c r="C190" s="33"/>
      <c r="D190" s="33"/>
      <c r="E190" s="33"/>
      <c r="F190" s="33"/>
      <c r="G190" s="33"/>
      <c r="H190" s="33"/>
      <c r="I190" s="33"/>
      <c r="J190" s="33"/>
      <c r="K190" s="33"/>
      <c r="L190" s="34"/>
      <c r="M190" s="34"/>
      <c r="N190" s="34"/>
      <c r="O190" s="34"/>
      <c r="P190" s="33"/>
      <c r="Q190" s="35"/>
      <c r="R190" s="33"/>
      <c r="S190" s="33"/>
      <c r="T190" s="33"/>
      <c r="U190" s="33"/>
      <c r="V190" s="33"/>
      <c r="W190" s="33"/>
    </row>
    <row r="191" customFormat="false" ht="15" hidden="false" customHeight="false" outlineLevel="0" collapsed="false">
      <c r="A191" s="33"/>
      <c r="B191" s="33"/>
      <c r="C191" s="33"/>
      <c r="D191" s="33"/>
      <c r="E191" s="33"/>
      <c r="F191" s="33"/>
      <c r="G191" s="33"/>
      <c r="H191" s="33"/>
      <c r="I191" s="33"/>
      <c r="J191" s="33"/>
      <c r="K191" s="33"/>
      <c r="L191" s="34"/>
      <c r="M191" s="34"/>
      <c r="N191" s="34"/>
      <c r="O191" s="34"/>
      <c r="P191" s="33"/>
      <c r="Q191" s="35"/>
      <c r="R191" s="33"/>
      <c r="S191" s="33"/>
      <c r="T191" s="33"/>
      <c r="U191" s="33"/>
      <c r="V191" s="33"/>
      <c r="W191" s="33"/>
    </row>
    <row r="192" customFormat="false" ht="15" hidden="false" customHeight="false" outlineLevel="0" collapsed="false">
      <c r="A192" s="33"/>
      <c r="B192" s="33"/>
      <c r="C192" s="33"/>
      <c r="D192" s="33"/>
      <c r="E192" s="33"/>
      <c r="F192" s="33"/>
      <c r="G192" s="33"/>
      <c r="H192" s="33"/>
      <c r="I192" s="33"/>
      <c r="J192" s="33"/>
      <c r="K192" s="33"/>
      <c r="L192" s="34"/>
      <c r="M192" s="34"/>
      <c r="N192" s="34"/>
      <c r="O192" s="34"/>
      <c r="P192" s="33"/>
      <c r="Q192" s="35"/>
      <c r="R192" s="33"/>
      <c r="S192" s="33"/>
      <c r="T192" s="33"/>
      <c r="U192" s="33"/>
      <c r="V192" s="33"/>
      <c r="W192" s="33"/>
    </row>
    <row r="193" customFormat="false" ht="15" hidden="false" customHeight="false" outlineLevel="0" collapsed="false">
      <c r="A193" s="33"/>
      <c r="B193" s="33"/>
      <c r="C193" s="33"/>
      <c r="D193" s="33"/>
      <c r="E193" s="33"/>
      <c r="F193" s="33"/>
      <c r="G193" s="33"/>
      <c r="H193" s="33"/>
      <c r="I193" s="33"/>
      <c r="J193" s="33"/>
      <c r="K193" s="33"/>
      <c r="L193" s="34"/>
      <c r="M193" s="34"/>
      <c r="N193" s="34"/>
      <c r="O193" s="34"/>
      <c r="P193" s="33"/>
      <c r="Q193" s="35"/>
      <c r="R193" s="33"/>
      <c r="S193" s="33"/>
      <c r="T193" s="33"/>
      <c r="U193" s="33"/>
      <c r="V193" s="33"/>
      <c r="W193" s="33"/>
    </row>
    <row r="194" customFormat="false" ht="15" hidden="false" customHeight="false" outlineLevel="0" collapsed="false">
      <c r="A194" s="33"/>
      <c r="B194" s="33"/>
      <c r="C194" s="33"/>
      <c r="D194" s="33"/>
      <c r="E194" s="33"/>
      <c r="F194" s="33"/>
      <c r="G194" s="33"/>
      <c r="H194" s="33"/>
      <c r="I194" s="33"/>
      <c r="J194" s="33"/>
      <c r="K194" s="33"/>
      <c r="L194" s="34"/>
      <c r="M194" s="34"/>
      <c r="N194" s="34"/>
      <c r="O194" s="34"/>
      <c r="P194" s="33"/>
      <c r="Q194" s="35"/>
      <c r="R194" s="33"/>
      <c r="S194" s="33"/>
      <c r="T194" s="33"/>
      <c r="U194" s="33"/>
      <c r="V194" s="33"/>
      <c r="W194" s="33"/>
    </row>
    <row r="195" customFormat="false" ht="15" hidden="false" customHeight="false" outlineLevel="0" collapsed="false">
      <c r="A195" s="33"/>
      <c r="B195" s="33"/>
      <c r="C195" s="33"/>
      <c r="D195" s="33"/>
      <c r="E195" s="33"/>
      <c r="F195" s="33"/>
      <c r="G195" s="33"/>
      <c r="H195" s="33"/>
      <c r="I195" s="33"/>
      <c r="J195" s="33"/>
      <c r="K195" s="33"/>
      <c r="L195" s="34"/>
      <c r="M195" s="34"/>
      <c r="N195" s="34"/>
      <c r="O195" s="34"/>
      <c r="P195" s="33"/>
      <c r="Q195" s="35"/>
      <c r="R195" s="33"/>
      <c r="S195" s="33"/>
      <c r="T195" s="33"/>
      <c r="U195" s="33"/>
      <c r="V195" s="33"/>
      <c r="W195" s="33"/>
    </row>
    <row r="196" customFormat="false" ht="15" hidden="false" customHeight="false" outlineLevel="0" collapsed="false">
      <c r="A196" s="33"/>
      <c r="B196" s="33"/>
      <c r="C196" s="33"/>
      <c r="D196" s="33"/>
      <c r="E196" s="33"/>
      <c r="F196" s="33"/>
      <c r="G196" s="33"/>
      <c r="H196" s="33"/>
      <c r="I196" s="33"/>
      <c r="J196" s="33"/>
      <c r="K196" s="33"/>
      <c r="L196" s="34"/>
      <c r="M196" s="34"/>
      <c r="N196" s="34"/>
      <c r="O196" s="34"/>
      <c r="P196" s="33"/>
      <c r="Q196" s="35"/>
      <c r="R196" s="33"/>
      <c r="S196" s="33"/>
      <c r="T196" s="33"/>
      <c r="U196" s="33"/>
      <c r="V196" s="33"/>
      <c r="W196" s="33"/>
    </row>
    <row r="197" customFormat="false" ht="15" hidden="false" customHeight="false" outlineLevel="0" collapsed="false">
      <c r="A197" s="33"/>
      <c r="B197" s="33"/>
      <c r="C197" s="33"/>
      <c r="D197" s="33"/>
      <c r="E197" s="33"/>
      <c r="F197" s="33"/>
      <c r="G197" s="33"/>
      <c r="H197" s="33"/>
      <c r="I197" s="33"/>
      <c r="J197" s="33"/>
      <c r="K197" s="33"/>
      <c r="L197" s="34"/>
      <c r="M197" s="34"/>
      <c r="N197" s="34"/>
      <c r="O197" s="34"/>
      <c r="P197" s="33"/>
      <c r="Q197" s="35"/>
      <c r="R197" s="33"/>
      <c r="S197" s="33"/>
      <c r="T197" s="33"/>
      <c r="U197" s="33"/>
      <c r="V197" s="33"/>
      <c r="W197" s="33"/>
    </row>
    <row r="198" customFormat="false" ht="15" hidden="false" customHeight="false" outlineLevel="0" collapsed="false">
      <c r="A198" s="33"/>
      <c r="B198" s="33"/>
      <c r="C198" s="33"/>
      <c r="D198" s="33"/>
      <c r="E198" s="33"/>
      <c r="F198" s="33"/>
      <c r="G198" s="33"/>
      <c r="H198" s="33"/>
      <c r="I198" s="33"/>
      <c r="J198" s="33"/>
      <c r="K198" s="33"/>
      <c r="L198" s="34"/>
      <c r="M198" s="34"/>
      <c r="N198" s="34"/>
      <c r="O198" s="34"/>
      <c r="P198" s="33"/>
      <c r="Q198" s="35"/>
      <c r="R198" s="33"/>
      <c r="S198" s="33"/>
      <c r="T198" s="33"/>
      <c r="U198" s="33"/>
      <c r="V198" s="33"/>
      <c r="W198" s="33"/>
    </row>
    <row r="199" customFormat="false" ht="15" hidden="false" customHeight="false" outlineLevel="0" collapsed="false">
      <c r="A199" s="33"/>
      <c r="B199" s="33"/>
      <c r="C199" s="33"/>
      <c r="D199" s="33"/>
      <c r="E199" s="33"/>
      <c r="F199" s="33"/>
      <c r="G199" s="33"/>
      <c r="H199" s="33"/>
      <c r="I199" s="33"/>
      <c r="J199" s="33"/>
      <c r="K199" s="33"/>
      <c r="L199" s="34"/>
      <c r="M199" s="34"/>
      <c r="N199" s="34"/>
      <c r="O199" s="34"/>
      <c r="P199" s="33"/>
      <c r="Q199" s="35"/>
      <c r="R199" s="33"/>
      <c r="S199" s="33"/>
      <c r="T199" s="33"/>
      <c r="U199" s="33"/>
      <c r="V199" s="33"/>
      <c r="W199" s="33"/>
    </row>
    <row r="200" customFormat="false" ht="15" hidden="false" customHeight="false" outlineLevel="0" collapsed="false">
      <c r="A200" s="33"/>
      <c r="B200" s="33"/>
      <c r="C200" s="33"/>
      <c r="D200" s="33"/>
      <c r="E200" s="33"/>
      <c r="F200" s="33"/>
      <c r="G200" s="33"/>
      <c r="H200" s="33"/>
      <c r="I200" s="33"/>
      <c r="J200" s="33"/>
      <c r="K200" s="33"/>
      <c r="L200" s="34"/>
      <c r="M200" s="34"/>
      <c r="N200" s="34"/>
      <c r="O200" s="34"/>
      <c r="P200" s="33"/>
      <c r="Q200" s="35"/>
      <c r="R200" s="33"/>
      <c r="S200" s="33"/>
      <c r="T200" s="33"/>
      <c r="U200" s="33"/>
      <c r="V200" s="33"/>
      <c r="W200" s="33"/>
    </row>
    <row r="201" customFormat="false" ht="15" hidden="false" customHeight="false" outlineLevel="0" collapsed="false">
      <c r="A201" s="33"/>
      <c r="B201" s="33"/>
      <c r="C201" s="33"/>
      <c r="D201" s="33"/>
      <c r="E201" s="33"/>
      <c r="F201" s="33"/>
      <c r="G201" s="33"/>
      <c r="H201" s="33"/>
      <c r="I201" s="33"/>
      <c r="J201" s="33"/>
      <c r="K201" s="33"/>
      <c r="L201" s="34"/>
      <c r="M201" s="34"/>
      <c r="N201" s="34"/>
      <c r="O201" s="34"/>
      <c r="P201" s="33"/>
      <c r="Q201" s="35"/>
      <c r="R201" s="33"/>
      <c r="S201" s="33"/>
      <c r="T201" s="33"/>
      <c r="U201" s="33"/>
      <c r="V201" s="33"/>
      <c r="W201" s="33"/>
    </row>
    <row r="202" customFormat="false" ht="15" hidden="false" customHeight="false" outlineLevel="0" collapsed="false">
      <c r="A202" s="33"/>
      <c r="B202" s="33"/>
      <c r="C202" s="33"/>
      <c r="D202" s="33"/>
      <c r="E202" s="33"/>
      <c r="F202" s="33"/>
      <c r="G202" s="33"/>
      <c r="H202" s="33"/>
      <c r="I202" s="33"/>
      <c r="J202" s="33"/>
      <c r="K202" s="33"/>
      <c r="L202" s="34"/>
      <c r="M202" s="34"/>
      <c r="N202" s="34"/>
      <c r="O202" s="34"/>
      <c r="P202" s="33"/>
      <c r="Q202" s="35"/>
      <c r="R202" s="33"/>
      <c r="S202" s="33"/>
      <c r="T202" s="33"/>
      <c r="U202" s="33"/>
      <c r="V202" s="33"/>
      <c r="W202" s="33"/>
    </row>
    <row r="203" customFormat="false" ht="15" hidden="false" customHeight="false" outlineLevel="0" collapsed="false">
      <c r="A203" s="33"/>
      <c r="B203" s="33"/>
      <c r="C203" s="33"/>
      <c r="D203" s="33"/>
      <c r="E203" s="33"/>
      <c r="F203" s="33"/>
      <c r="G203" s="33"/>
      <c r="H203" s="33"/>
      <c r="I203" s="33"/>
      <c r="J203" s="33"/>
      <c r="K203" s="33"/>
      <c r="L203" s="34"/>
      <c r="M203" s="34"/>
      <c r="N203" s="34"/>
      <c r="O203" s="34"/>
      <c r="P203" s="33"/>
      <c r="Q203" s="35"/>
      <c r="R203" s="33"/>
      <c r="S203" s="33"/>
      <c r="T203" s="33"/>
      <c r="U203" s="33"/>
      <c r="V203" s="33"/>
      <c r="W203" s="33"/>
    </row>
    <row r="204" customFormat="false" ht="15" hidden="false" customHeight="false" outlineLevel="0" collapsed="false">
      <c r="A204" s="33"/>
      <c r="B204" s="33"/>
      <c r="C204" s="33"/>
      <c r="D204" s="33"/>
      <c r="E204" s="33"/>
      <c r="F204" s="33"/>
      <c r="G204" s="33"/>
      <c r="H204" s="33"/>
      <c r="I204" s="33"/>
      <c r="J204" s="33"/>
      <c r="K204" s="33"/>
      <c r="L204" s="34"/>
      <c r="M204" s="34"/>
      <c r="N204" s="34"/>
      <c r="O204" s="34"/>
      <c r="P204" s="33"/>
      <c r="Q204" s="35"/>
      <c r="R204" s="33"/>
      <c r="S204" s="33"/>
      <c r="T204" s="33"/>
      <c r="U204" s="33"/>
      <c r="V204" s="33"/>
      <c r="W204" s="33"/>
    </row>
    <row r="205" customFormat="false" ht="15" hidden="false" customHeight="false" outlineLevel="0" collapsed="false">
      <c r="A205" s="33"/>
      <c r="B205" s="33"/>
      <c r="C205" s="33"/>
      <c r="D205" s="33"/>
      <c r="E205" s="33"/>
      <c r="F205" s="33"/>
      <c r="G205" s="33"/>
      <c r="H205" s="33"/>
      <c r="I205" s="33"/>
      <c r="J205" s="33"/>
      <c r="K205" s="33"/>
      <c r="L205" s="34"/>
      <c r="M205" s="34"/>
      <c r="N205" s="34"/>
      <c r="O205" s="34"/>
      <c r="P205" s="33"/>
      <c r="Q205" s="35"/>
      <c r="R205" s="33"/>
      <c r="S205" s="33"/>
      <c r="T205" s="33"/>
      <c r="U205" s="33"/>
      <c r="V205" s="33"/>
      <c r="W205" s="33"/>
    </row>
    <row r="206" customFormat="false" ht="15" hidden="false" customHeight="false" outlineLevel="0" collapsed="false">
      <c r="A206" s="33"/>
      <c r="B206" s="33"/>
      <c r="C206" s="33"/>
      <c r="D206" s="33"/>
      <c r="E206" s="33"/>
      <c r="F206" s="33"/>
      <c r="G206" s="33"/>
      <c r="H206" s="33"/>
      <c r="I206" s="33"/>
      <c r="J206" s="33"/>
      <c r="K206" s="33"/>
      <c r="L206" s="34"/>
      <c r="M206" s="34"/>
      <c r="N206" s="34"/>
      <c r="O206" s="34"/>
      <c r="P206" s="33"/>
      <c r="Q206" s="35"/>
      <c r="R206" s="33"/>
      <c r="S206" s="33"/>
      <c r="T206" s="33"/>
      <c r="U206" s="33"/>
      <c r="V206" s="33"/>
      <c r="W206" s="33"/>
    </row>
    <row r="207" customFormat="false" ht="15" hidden="false" customHeight="false" outlineLevel="0" collapsed="false">
      <c r="A207" s="33"/>
      <c r="B207" s="33"/>
      <c r="C207" s="33"/>
      <c r="D207" s="33"/>
      <c r="E207" s="33"/>
      <c r="F207" s="33"/>
      <c r="G207" s="33"/>
      <c r="H207" s="33"/>
      <c r="I207" s="33"/>
      <c r="J207" s="33"/>
      <c r="K207" s="33"/>
      <c r="L207" s="34"/>
      <c r="M207" s="34"/>
      <c r="N207" s="34"/>
      <c r="O207" s="34"/>
      <c r="P207" s="33"/>
      <c r="Q207" s="35"/>
      <c r="R207" s="33"/>
      <c r="S207" s="33"/>
      <c r="T207" s="33"/>
      <c r="U207" s="33"/>
      <c r="V207" s="33"/>
      <c r="W207" s="33"/>
    </row>
    <row r="208" customFormat="false" ht="15" hidden="false" customHeight="false" outlineLevel="0" collapsed="false">
      <c r="A208" s="33"/>
      <c r="B208" s="33"/>
      <c r="C208" s="33"/>
      <c r="D208" s="33"/>
      <c r="E208" s="33"/>
      <c r="F208" s="33"/>
      <c r="G208" s="33"/>
      <c r="H208" s="33"/>
      <c r="I208" s="33"/>
      <c r="J208" s="33"/>
      <c r="K208" s="33"/>
      <c r="L208" s="34"/>
      <c r="M208" s="34"/>
      <c r="N208" s="34"/>
      <c r="O208" s="34"/>
      <c r="P208" s="33"/>
      <c r="Q208" s="35"/>
      <c r="R208" s="33"/>
      <c r="S208" s="33"/>
      <c r="T208" s="33"/>
      <c r="U208" s="33"/>
      <c r="V208" s="33"/>
      <c r="W208" s="33"/>
    </row>
    <row r="209" customFormat="false" ht="15" hidden="false" customHeight="false" outlineLevel="0" collapsed="false">
      <c r="A209" s="33"/>
      <c r="B209" s="33"/>
      <c r="C209" s="33"/>
      <c r="D209" s="33"/>
      <c r="E209" s="33"/>
      <c r="F209" s="33"/>
      <c r="G209" s="33"/>
      <c r="H209" s="33"/>
      <c r="I209" s="33"/>
      <c r="J209" s="33"/>
      <c r="K209" s="33"/>
      <c r="L209" s="34"/>
      <c r="M209" s="34"/>
      <c r="N209" s="34"/>
      <c r="O209" s="34"/>
      <c r="P209" s="33"/>
      <c r="Q209" s="35"/>
      <c r="R209" s="33"/>
      <c r="S209" s="33"/>
      <c r="T209" s="33"/>
      <c r="U209" s="33"/>
      <c r="V209" s="33"/>
      <c r="W209" s="33"/>
    </row>
    <row r="210" customFormat="false" ht="15" hidden="false" customHeight="false" outlineLevel="0" collapsed="false">
      <c r="A210" s="33"/>
      <c r="B210" s="33"/>
      <c r="C210" s="33"/>
      <c r="D210" s="33"/>
      <c r="E210" s="33"/>
      <c r="F210" s="33"/>
      <c r="G210" s="33"/>
      <c r="H210" s="33"/>
      <c r="I210" s="33"/>
      <c r="J210" s="33"/>
      <c r="K210" s="33"/>
      <c r="L210" s="34"/>
      <c r="M210" s="34"/>
      <c r="N210" s="34"/>
      <c r="O210" s="34"/>
      <c r="P210" s="33"/>
      <c r="Q210" s="35"/>
      <c r="R210" s="33"/>
      <c r="S210" s="33"/>
      <c r="T210" s="33"/>
      <c r="U210" s="33"/>
      <c r="V210" s="33"/>
      <c r="W210" s="33"/>
    </row>
    <row r="211" customFormat="false" ht="15" hidden="false" customHeight="false" outlineLevel="0" collapsed="false">
      <c r="A211" s="33"/>
      <c r="B211" s="33"/>
      <c r="C211" s="33"/>
      <c r="D211" s="33"/>
      <c r="E211" s="33"/>
      <c r="F211" s="33"/>
      <c r="G211" s="33"/>
      <c r="H211" s="33"/>
      <c r="I211" s="33"/>
      <c r="J211" s="33"/>
      <c r="K211" s="33"/>
      <c r="L211" s="34"/>
      <c r="M211" s="34"/>
      <c r="N211" s="34"/>
      <c r="O211" s="34"/>
      <c r="P211" s="33"/>
      <c r="Q211" s="35"/>
      <c r="R211" s="33"/>
      <c r="S211" s="33"/>
      <c r="T211" s="33"/>
      <c r="U211" s="33"/>
      <c r="V211" s="33"/>
      <c r="W211" s="33"/>
    </row>
    <row r="212" customFormat="false" ht="15" hidden="false" customHeight="false" outlineLevel="0" collapsed="false">
      <c r="A212" s="33"/>
      <c r="B212" s="33"/>
      <c r="C212" s="33"/>
      <c r="D212" s="33"/>
      <c r="E212" s="33"/>
      <c r="F212" s="33"/>
      <c r="G212" s="33"/>
      <c r="H212" s="33"/>
      <c r="I212" s="33"/>
      <c r="J212" s="33"/>
      <c r="K212" s="33"/>
      <c r="L212" s="34"/>
      <c r="M212" s="34"/>
      <c r="N212" s="34"/>
      <c r="O212" s="34"/>
      <c r="P212" s="33"/>
      <c r="Q212" s="35"/>
      <c r="R212" s="33"/>
      <c r="S212" s="33"/>
      <c r="T212" s="33"/>
      <c r="U212" s="33"/>
      <c r="V212" s="33"/>
      <c r="W212" s="33"/>
    </row>
    <row r="213" customFormat="false" ht="15" hidden="false" customHeight="false" outlineLevel="0" collapsed="false">
      <c r="A213" s="33"/>
      <c r="B213" s="33"/>
      <c r="C213" s="33"/>
      <c r="D213" s="33"/>
      <c r="E213" s="33"/>
      <c r="F213" s="33"/>
      <c r="G213" s="33"/>
      <c r="H213" s="33"/>
      <c r="I213" s="33"/>
      <c r="J213" s="33"/>
      <c r="K213" s="33"/>
      <c r="L213" s="34"/>
      <c r="M213" s="34"/>
      <c r="N213" s="34"/>
      <c r="O213" s="34"/>
      <c r="P213" s="33"/>
      <c r="Q213" s="35"/>
      <c r="R213" s="33"/>
      <c r="S213" s="33"/>
      <c r="T213" s="33"/>
      <c r="U213" s="33"/>
      <c r="V213" s="33"/>
      <c r="W213" s="33"/>
    </row>
    <row r="214" customFormat="false" ht="15" hidden="false" customHeight="false" outlineLevel="0" collapsed="false">
      <c r="A214" s="33"/>
      <c r="B214" s="33"/>
      <c r="C214" s="33"/>
      <c r="D214" s="33"/>
      <c r="E214" s="33"/>
      <c r="F214" s="33"/>
      <c r="G214" s="33"/>
      <c r="H214" s="33"/>
      <c r="I214" s="33"/>
      <c r="J214" s="33"/>
      <c r="K214" s="33"/>
      <c r="L214" s="34"/>
      <c r="M214" s="34"/>
      <c r="N214" s="34"/>
      <c r="O214" s="34"/>
      <c r="P214" s="33"/>
      <c r="Q214" s="35"/>
      <c r="R214" s="33"/>
      <c r="S214" s="33"/>
      <c r="T214" s="33"/>
      <c r="U214" s="33"/>
      <c r="V214" s="33"/>
      <c r="W214" s="33"/>
    </row>
    <row r="215" customFormat="false" ht="15" hidden="false" customHeight="false" outlineLevel="0" collapsed="false">
      <c r="A215" s="33"/>
      <c r="B215" s="33"/>
      <c r="C215" s="33"/>
      <c r="D215" s="33"/>
      <c r="E215" s="33"/>
      <c r="F215" s="33"/>
      <c r="G215" s="33"/>
      <c r="H215" s="33"/>
      <c r="I215" s="33"/>
      <c r="J215" s="33"/>
      <c r="K215" s="33"/>
      <c r="L215" s="34"/>
      <c r="M215" s="34"/>
      <c r="N215" s="34"/>
      <c r="O215" s="34"/>
      <c r="P215" s="33"/>
      <c r="Q215" s="35"/>
      <c r="R215" s="33"/>
      <c r="S215" s="33"/>
      <c r="T215" s="33"/>
      <c r="U215" s="33"/>
      <c r="V215" s="33"/>
      <c r="W215" s="33"/>
    </row>
    <row r="216" customFormat="false" ht="15" hidden="false" customHeight="false" outlineLevel="0" collapsed="false">
      <c r="A216" s="33"/>
      <c r="B216" s="33"/>
      <c r="C216" s="33"/>
      <c r="D216" s="33"/>
      <c r="E216" s="33"/>
      <c r="F216" s="33"/>
      <c r="G216" s="33"/>
      <c r="H216" s="33"/>
      <c r="I216" s="33"/>
      <c r="J216" s="33"/>
      <c r="K216" s="33"/>
      <c r="L216" s="34"/>
      <c r="M216" s="34"/>
      <c r="N216" s="34"/>
      <c r="O216" s="34"/>
      <c r="P216" s="33"/>
      <c r="Q216" s="35"/>
      <c r="R216" s="33"/>
      <c r="S216" s="33"/>
      <c r="T216" s="33"/>
      <c r="U216" s="33"/>
      <c r="V216" s="33"/>
      <c r="W216" s="33"/>
    </row>
    <row r="217" customFormat="false" ht="15" hidden="false" customHeight="false" outlineLevel="0" collapsed="false">
      <c r="A217" s="33"/>
      <c r="B217" s="33"/>
      <c r="C217" s="33"/>
      <c r="D217" s="33"/>
      <c r="E217" s="33"/>
      <c r="F217" s="33"/>
      <c r="G217" s="33"/>
      <c r="H217" s="33"/>
      <c r="I217" s="33"/>
      <c r="J217" s="33"/>
      <c r="K217" s="33"/>
      <c r="L217" s="34"/>
      <c r="M217" s="34"/>
      <c r="N217" s="34"/>
      <c r="O217" s="34"/>
      <c r="P217" s="33"/>
      <c r="Q217" s="35"/>
      <c r="R217" s="33"/>
      <c r="S217" s="33"/>
      <c r="T217" s="33"/>
      <c r="U217" s="33"/>
      <c r="V217" s="33"/>
      <c r="W217" s="33"/>
    </row>
    <row r="218" customFormat="false" ht="15" hidden="false" customHeight="false" outlineLevel="0" collapsed="false">
      <c r="A218" s="33"/>
      <c r="B218" s="33"/>
      <c r="C218" s="33"/>
      <c r="D218" s="33"/>
      <c r="E218" s="33"/>
      <c r="F218" s="33"/>
      <c r="G218" s="33"/>
      <c r="H218" s="33"/>
      <c r="I218" s="33"/>
      <c r="J218" s="33"/>
      <c r="K218" s="33"/>
      <c r="L218" s="34"/>
      <c r="M218" s="34"/>
      <c r="N218" s="34"/>
      <c r="O218" s="34"/>
      <c r="P218" s="33"/>
      <c r="Q218" s="35"/>
      <c r="R218" s="33"/>
      <c r="S218" s="33"/>
      <c r="T218" s="33"/>
      <c r="U218" s="33"/>
      <c r="V218" s="33"/>
      <c r="W218" s="33"/>
    </row>
    <row r="219" customFormat="false" ht="15" hidden="false" customHeight="false" outlineLevel="0" collapsed="false">
      <c r="A219" s="33"/>
      <c r="B219" s="33"/>
      <c r="C219" s="33"/>
      <c r="D219" s="33"/>
      <c r="E219" s="33"/>
      <c r="F219" s="33"/>
      <c r="G219" s="33"/>
      <c r="H219" s="33"/>
      <c r="I219" s="33"/>
      <c r="J219" s="33"/>
      <c r="K219" s="33"/>
      <c r="L219" s="34"/>
      <c r="M219" s="34"/>
      <c r="N219" s="34"/>
      <c r="O219" s="34"/>
      <c r="P219" s="33"/>
      <c r="Q219" s="35"/>
      <c r="R219" s="33"/>
      <c r="S219" s="33"/>
      <c r="T219" s="33"/>
      <c r="U219" s="33"/>
      <c r="V219" s="33"/>
      <c r="W219" s="33"/>
    </row>
    <row r="220" customFormat="false" ht="15" hidden="false" customHeight="false" outlineLevel="0" collapsed="false">
      <c r="A220" s="33"/>
      <c r="B220" s="33"/>
      <c r="C220" s="33"/>
      <c r="D220" s="33"/>
      <c r="E220" s="33"/>
      <c r="F220" s="33"/>
      <c r="G220" s="33"/>
      <c r="H220" s="33"/>
      <c r="I220" s="33"/>
      <c r="J220" s="33"/>
      <c r="K220" s="33"/>
      <c r="L220" s="34"/>
      <c r="M220" s="34"/>
      <c r="N220" s="34"/>
      <c r="O220" s="34"/>
      <c r="P220" s="33"/>
      <c r="Q220" s="35"/>
      <c r="R220" s="33"/>
      <c r="S220" s="33"/>
      <c r="T220" s="33"/>
      <c r="U220" s="33"/>
      <c r="V220" s="33"/>
      <c r="W220" s="33"/>
    </row>
    <row r="221" customFormat="false" ht="15" hidden="false" customHeight="false" outlineLevel="0" collapsed="false">
      <c r="A221" s="33"/>
      <c r="B221" s="33"/>
      <c r="C221" s="33"/>
      <c r="D221" s="33"/>
      <c r="E221" s="33"/>
      <c r="F221" s="33"/>
      <c r="G221" s="33"/>
      <c r="H221" s="33"/>
      <c r="I221" s="33"/>
      <c r="J221" s="33"/>
      <c r="K221" s="33"/>
      <c r="L221" s="34"/>
      <c r="M221" s="34"/>
      <c r="N221" s="34"/>
      <c r="O221" s="34"/>
      <c r="P221" s="33"/>
      <c r="Q221" s="35"/>
      <c r="R221" s="33"/>
      <c r="S221" s="33"/>
      <c r="T221" s="33"/>
      <c r="U221" s="33"/>
      <c r="V221" s="33"/>
      <c r="W221" s="33"/>
    </row>
    <row r="222" customFormat="false" ht="15" hidden="false" customHeight="false" outlineLevel="0" collapsed="false">
      <c r="A222" s="33"/>
      <c r="B222" s="33"/>
      <c r="C222" s="33"/>
      <c r="D222" s="33"/>
      <c r="E222" s="33"/>
      <c r="F222" s="33"/>
      <c r="G222" s="33"/>
      <c r="H222" s="33"/>
      <c r="I222" s="33"/>
      <c r="J222" s="33"/>
      <c r="K222" s="33"/>
      <c r="L222" s="34"/>
      <c r="M222" s="34"/>
      <c r="N222" s="34"/>
      <c r="O222" s="34"/>
      <c r="P222" s="33"/>
      <c r="Q222" s="35"/>
      <c r="R222" s="33"/>
      <c r="S222" s="33"/>
      <c r="T222" s="33"/>
      <c r="U222" s="33"/>
      <c r="V222" s="33"/>
      <c r="W222" s="33"/>
    </row>
    <row r="223" customFormat="false" ht="15" hidden="false" customHeight="false" outlineLevel="0" collapsed="false">
      <c r="A223" s="33"/>
      <c r="B223" s="33"/>
      <c r="C223" s="33"/>
      <c r="D223" s="33"/>
      <c r="E223" s="33"/>
      <c r="F223" s="33"/>
      <c r="G223" s="33"/>
      <c r="H223" s="33"/>
      <c r="I223" s="33"/>
      <c r="J223" s="33"/>
      <c r="K223" s="33"/>
      <c r="L223" s="34"/>
      <c r="M223" s="34"/>
      <c r="N223" s="34"/>
      <c r="O223" s="34"/>
      <c r="P223" s="33"/>
      <c r="Q223" s="35"/>
      <c r="R223" s="33"/>
      <c r="S223" s="33"/>
      <c r="T223" s="33"/>
      <c r="U223" s="33"/>
      <c r="V223" s="33"/>
      <c r="W223" s="33"/>
    </row>
    <row r="224" customFormat="false" ht="15" hidden="false" customHeight="false" outlineLevel="0" collapsed="false">
      <c r="A224" s="33"/>
      <c r="B224" s="33"/>
      <c r="C224" s="33"/>
      <c r="D224" s="33"/>
      <c r="E224" s="33"/>
      <c r="F224" s="33"/>
      <c r="G224" s="33"/>
      <c r="H224" s="33"/>
      <c r="I224" s="33"/>
      <c r="J224" s="33"/>
      <c r="K224" s="33"/>
      <c r="L224" s="34"/>
      <c r="M224" s="34"/>
      <c r="N224" s="34"/>
      <c r="O224" s="34"/>
      <c r="P224" s="33"/>
      <c r="Q224" s="35"/>
      <c r="R224" s="33"/>
      <c r="S224" s="33"/>
      <c r="T224" s="33"/>
      <c r="U224" s="33"/>
      <c r="V224" s="33"/>
      <c r="W224" s="33"/>
    </row>
    <row r="225" customFormat="false" ht="15" hidden="false" customHeight="false" outlineLevel="0" collapsed="false">
      <c r="A225" s="33"/>
      <c r="B225" s="33"/>
      <c r="C225" s="33"/>
      <c r="D225" s="33"/>
      <c r="E225" s="33"/>
      <c r="F225" s="33"/>
      <c r="G225" s="33"/>
      <c r="H225" s="33"/>
      <c r="I225" s="33"/>
      <c r="J225" s="33"/>
      <c r="K225" s="33"/>
      <c r="L225" s="34"/>
      <c r="M225" s="34"/>
      <c r="N225" s="34"/>
      <c r="O225" s="34"/>
      <c r="P225" s="33"/>
      <c r="Q225" s="35"/>
      <c r="R225" s="33"/>
      <c r="S225" s="33"/>
      <c r="T225" s="33"/>
      <c r="U225" s="33"/>
      <c r="V225" s="33"/>
      <c r="W225" s="33"/>
    </row>
    <row r="226" customFormat="false" ht="15" hidden="false" customHeight="false" outlineLevel="0" collapsed="false">
      <c r="A226" s="33"/>
      <c r="B226" s="33"/>
      <c r="C226" s="33"/>
      <c r="D226" s="33"/>
      <c r="E226" s="33"/>
      <c r="F226" s="33"/>
      <c r="G226" s="33"/>
      <c r="H226" s="33"/>
      <c r="I226" s="33"/>
      <c r="J226" s="33"/>
      <c r="K226" s="33"/>
      <c r="L226" s="34"/>
      <c r="M226" s="34"/>
      <c r="N226" s="34"/>
      <c r="O226" s="34"/>
      <c r="P226" s="33"/>
      <c r="Q226" s="35"/>
      <c r="R226" s="33"/>
      <c r="S226" s="33"/>
      <c r="T226" s="33"/>
      <c r="U226" s="33"/>
      <c r="V226" s="33"/>
      <c r="W226" s="33"/>
    </row>
    <row r="227" customFormat="false" ht="15" hidden="false" customHeight="false" outlineLevel="0" collapsed="false">
      <c r="A227" s="33"/>
      <c r="B227" s="33"/>
      <c r="C227" s="33"/>
      <c r="D227" s="33"/>
      <c r="E227" s="33"/>
      <c r="F227" s="33"/>
      <c r="G227" s="33"/>
      <c r="H227" s="33"/>
      <c r="I227" s="33"/>
      <c r="J227" s="33"/>
      <c r="K227" s="33"/>
      <c r="L227" s="34"/>
      <c r="M227" s="34"/>
      <c r="N227" s="34"/>
      <c r="O227" s="34"/>
      <c r="P227" s="33"/>
      <c r="Q227" s="35"/>
      <c r="R227" s="33"/>
      <c r="S227" s="33"/>
      <c r="T227" s="33"/>
      <c r="U227" s="33"/>
      <c r="V227" s="33"/>
      <c r="W227" s="33"/>
    </row>
    <row r="228" customFormat="false" ht="15" hidden="false" customHeight="false" outlineLevel="0" collapsed="false">
      <c r="A228" s="33"/>
      <c r="B228" s="33"/>
      <c r="C228" s="33"/>
      <c r="D228" s="33"/>
      <c r="E228" s="33"/>
      <c r="F228" s="33"/>
      <c r="G228" s="33"/>
      <c r="H228" s="33"/>
      <c r="I228" s="33"/>
      <c r="J228" s="33"/>
      <c r="K228" s="33"/>
      <c r="L228" s="34"/>
      <c r="M228" s="34"/>
      <c r="N228" s="34"/>
      <c r="O228" s="34"/>
      <c r="P228" s="33"/>
      <c r="Q228" s="35"/>
      <c r="R228" s="33"/>
      <c r="S228" s="33"/>
      <c r="T228" s="33"/>
      <c r="U228" s="33"/>
      <c r="V228" s="33"/>
      <c r="W228" s="33"/>
    </row>
    <row r="229" customFormat="false" ht="15" hidden="false" customHeight="false" outlineLevel="0" collapsed="false">
      <c r="A229" s="33"/>
      <c r="B229" s="33"/>
      <c r="C229" s="33"/>
      <c r="D229" s="33"/>
      <c r="E229" s="33"/>
      <c r="F229" s="33"/>
      <c r="G229" s="33"/>
      <c r="H229" s="33"/>
      <c r="I229" s="33"/>
      <c r="J229" s="33"/>
      <c r="K229" s="33"/>
      <c r="L229" s="34"/>
      <c r="M229" s="34"/>
      <c r="N229" s="34"/>
      <c r="O229" s="34"/>
      <c r="P229" s="33"/>
      <c r="Q229" s="35"/>
      <c r="R229" s="33"/>
      <c r="S229" s="33"/>
      <c r="T229" s="33"/>
      <c r="U229" s="33"/>
      <c r="V229" s="33"/>
      <c r="W229" s="33"/>
    </row>
    <row r="230" customFormat="false" ht="15" hidden="false" customHeight="false" outlineLevel="0" collapsed="false">
      <c r="A230" s="33"/>
      <c r="B230" s="33"/>
      <c r="C230" s="33"/>
      <c r="D230" s="33"/>
      <c r="E230" s="33"/>
      <c r="F230" s="33"/>
      <c r="G230" s="33"/>
      <c r="H230" s="33"/>
      <c r="I230" s="33"/>
      <c r="J230" s="33"/>
      <c r="K230" s="33"/>
      <c r="L230" s="34"/>
      <c r="M230" s="34"/>
      <c r="N230" s="34"/>
      <c r="O230" s="34"/>
      <c r="P230" s="33"/>
      <c r="Q230" s="35"/>
      <c r="R230" s="33"/>
      <c r="S230" s="33"/>
      <c r="T230" s="33"/>
      <c r="U230" s="33"/>
      <c r="V230" s="33"/>
      <c r="W230" s="33"/>
    </row>
    <row r="231" customFormat="false" ht="15" hidden="false" customHeight="false" outlineLevel="0" collapsed="false">
      <c r="A231" s="33"/>
      <c r="B231" s="33"/>
      <c r="C231" s="33"/>
      <c r="D231" s="33"/>
      <c r="E231" s="33"/>
      <c r="F231" s="33"/>
      <c r="G231" s="33"/>
      <c r="H231" s="33"/>
      <c r="I231" s="33"/>
      <c r="J231" s="33"/>
      <c r="K231" s="33"/>
      <c r="L231" s="34"/>
      <c r="M231" s="34"/>
      <c r="N231" s="34"/>
      <c r="O231" s="34"/>
      <c r="P231" s="33"/>
      <c r="Q231" s="35"/>
      <c r="R231" s="33"/>
      <c r="S231" s="33"/>
      <c r="T231" s="33"/>
      <c r="U231" s="33"/>
      <c r="V231" s="33"/>
      <c r="W231" s="33"/>
    </row>
    <row r="232" customFormat="false" ht="15" hidden="false" customHeight="false" outlineLevel="0" collapsed="false">
      <c r="A232" s="33"/>
      <c r="B232" s="33"/>
      <c r="C232" s="33"/>
      <c r="D232" s="33"/>
      <c r="E232" s="33"/>
      <c r="F232" s="33"/>
      <c r="G232" s="33"/>
      <c r="H232" s="33"/>
      <c r="I232" s="33"/>
      <c r="J232" s="33"/>
      <c r="K232" s="33"/>
      <c r="L232" s="34"/>
      <c r="M232" s="34"/>
      <c r="N232" s="34"/>
      <c r="O232" s="34"/>
      <c r="P232" s="33"/>
      <c r="Q232" s="35"/>
      <c r="R232" s="33"/>
      <c r="S232" s="33"/>
      <c r="T232" s="33"/>
      <c r="U232" s="33"/>
      <c r="V232" s="33"/>
      <c r="W232" s="33"/>
    </row>
    <row r="233" customFormat="false" ht="15" hidden="false" customHeight="false" outlineLevel="0" collapsed="false">
      <c r="A233" s="33"/>
      <c r="B233" s="33"/>
      <c r="C233" s="33"/>
      <c r="D233" s="33"/>
      <c r="E233" s="33"/>
      <c r="F233" s="33"/>
      <c r="G233" s="33"/>
      <c r="H233" s="33"/>
      <c r="I233" s="33"/>
      <c r="J233" s="33"/>
      <c r="K233" s="33"/>
      <c r="L233" s="34"/>
      <c r="M233" s="34"/>
      <c r="N233" s="34"/>
      <c r="O233" s="34"/>
      <c r="P233" s="33"/>
      <c r="Q233" s="35"/>
      <c r="R233" s="33"/>
      <c r="S233" s="33"/>
      <c r="T233" s="33"/>
      <c r="U233" s="33"/>
      <c r="V233" s="33"/>
      <c r="W233" s="33"/>
    </row>
    <row r="234" customFormat="false" ht="15" hidden="false" customHeight="false" outlineLevel="0" collapsed="false">
      <c r="A234" s="33"/>
      <c r="B234" s="33"/>
      <c r="C234" s="33"/>
      <c r="D234" s="33"/>
      <c r="E234" s="33"/>
      <c r="F234" s="33"/>
      <c r="G234" s="33"/>
      <c r="H234" s="33"/>
      <c r="I234" s="33"/>
      <c r="J234" s="33"/>
      <c r="K234" s="33"/>
      <c r="L234" s="34"/>
      <c r="M234" s="34"/>
      <c r="N234" s="34"/>
      <c r="O234" s="34"/>
      <c r="P234" s="33"/>
      <c r="Q234" s="35"/>
      <c r="R234" s="33"/>
      <c r="S234" s="33"/>
      <c r="T234" s="33"/>
      <c r="U234" s="33"/>
      <c r="V234" s="33"/>
      <c r="W234" s="33"/>
    </row>
    <row r="235" customFormat="false" ht="15" hidden="false" customHeight="false" outlineLevel="0" collapsed="false">
      <c r="A235" s="33"/>
      <c r="B235" s="33"/>
      <c r="C235" s="33"/>
      <c r="D235" s="33"/>
      <c r="E235" s="33"/>
      <c r="F235" s="33"/>
      <c r="G235" s="33"/>
      <c r="H235" s="33"/>
      <c r="I235" s="33"/>
      <c r="J235" s="33"/>
      <c r="K235" s="33"/>
      <c r="L235" s="34"/>
      <c r="M235" s="34"/>
      <c r="N235" s="34"/>
      <c r="O235" s="34"/>
      <c r="P235" s="33"/>
      <c r="Q235" s="35"/>
      <c r="R235" s="33"/>
      <c r="S235" s="33"/>
      <c r="T235" s="33"/>
      <c r="U235" s="33"/>
      <c r="V235" s="33"/>
      <c r="W235" s="33"/>
    </row>
    <row r="236" customFormat="false" ht="15" hidden="false" customHeight="false" outlineLevel="0" collapsed="false">
      <c r="A236" s="33"/>
      <c r="B236" s="33"/>
      <c r="C236" s="33"/>
      <c r="D236" s="33"/>
      <c r="E236" s="33"/>
      <c r="F236" s="33"/>
      <c r="G236" s="33"/>
      <c r="H236" s="33"/>
      <c r="I236" s="33"/>
      <c r="J236" s="33"/>
      <c r="K236" s="33"/>
      <c r="L236" s="34"/>
      <c r="M236" s="34"/>
      <c r="N236" s="34"/>
      <c r="O236" s="34"/>
      <c r="P236" s="33"/>
      <c r="Q236" s="35"/>
      <c r="R236" s="33"/>
      <c r="S236" s="33"/>
      <c r="T236" s="33"/>
      <c r="U236" s="33"/>
      <c r="V236" s="33"/>
      <c r="W236" s="33"/>
    </row>
    <row r="237" customFormat="false" ht="15" hidden="false" customHeight="false" outlineLevel="0" collapsed="false">
      <c r="A237" s="33"/>
      <c r="B237" s="33"/>
      <c r="C237" s="33"/>
      <c r="D237" s="33"/>
      <c r="E237" s="33"/>
      <c r="F237" s="33"/>
      <c r="G237" s="33"/>
      <c r="H237" s="33"/>
      <c r="I237" s="33"/>
      <c r="J237" s="33"/>
      <c r="K237" s="33"/>
      <c r="L237" s="34"/>
      <c r="M237" s="34"/>
      <c r="N237" s="34"/>
      <c r="O237" s="34"/>
      <c r="P237" s="33"/>
      <c r="Q237" s="35"/>
      <c r="R237" s="33"/>
      <c r="S237" s="33"/>
      <c r="T237" s="33"/>
      <c r="U237" s="33"/>
      <c r="V237" s="33"/>
      <c r="W237" s="33"/>
    </row>
    <row r="238" customFormat="false" ht="15" hidden="false" customHeight="false" outlineLevel="0" collapsed="false">
      <c r="A238" s="33"/>
      <c r="B238" s="33"/>
      <c r="C238" s="33"/>
      <c r="D238" s="33"/>
      <c r="E238" s="33"/>
      <c r="F238" s="33"/>
      <c r="G238" s="33"/>
      <c r="H238" s="33"/>
      <c r="I238" s="33"/>
      <c r="J238" s="33"/>
      <c r="K238" s="33"/>
      <c r="L238" s="34"/>
      <c r="M238" s="34"/>
      <c r="N238" s="34"/>
      <c r="O238" s="34"/>
      <c r="P238" s="33"/>
      <c r="Q238" s="35"/>
      <c r="R238" s="33"/>
      <c r="S238" s="33"/>
      <c r="T238" s="33"/>
      <c r="U238" s="33"/>
      <c r="V238" s="33"/>
      <c r="W238" s="33"/>
    </row>
    <row r="239" customFormat="false" ht="15" hidden="false" customHeight="false" outlineLevel="0" collapsed="false">
      <c r="A239" s="33"/>
      <c r="B239" s="33"/>
      <c r="C239" s="33"/>
      <c r="D239" s="33"/>
      <c r="E239" s="33"/>
      <c r="F239" s="33"/>
      <c r="G239" s="33"/>
      <c r="H239" s="33"/>
      <c r="I239" s="33"/>
      <c r="J239" s="33"/>
      <c r="K239" s="33"/>
      <c r="L239" s="34"/>
      <c r="M239" s="34"/>
      <c r="N239" s="34"/>
      <c r="O239" s="34"/>
      <c r="P239" s="33"/>
      <c r="Q239" s="35"/>
      <c r="R239" s="33"/>
      <c r="S239" s="33"/>
      <c r="T239" s="33"/>
      <c r="U239" s="33"/>
      <c r="V239" s="33"/>
      <c r="W239" s="33"/>
    </row>
    <row r="240" customFormat="false" ht="15" hidden="false" customHeight="false" outlineLevel="0" collapsed="false">
      <c r="A240" s="33"/>
      <c r="B240" s="33"/>
      <c r="C240" s="33"/>
      <c r="D240" s="33"/>
      <c r="E240" s="33"/>
      <c r="F240" s="33"/>
      <c r="G240" s="33"/>
      <c r="H240" s="33"/>
      <c r="I240" s="33"/>
      <c r="J240" s="33"/>
      <c r="K240" s="33"/>
      <c r="L240" s="34"/>
      <c r="M240" s="34"/>
      <c r="N240" s="34"/>
      <c r="O240" s="34"/>
      <c r="P240" s="33"/>
      <c r="Q240" s="35"/>
      <c r="R240" s="33"/>
      <c r="S240" s="33"/>
      <c r="T240" s="33"/>
      <c r="U240" s="33"/>
      <c r="V240" s="33"/>
      <c r="W240" s="33"/>
    </row>
    <row r="241" customFormat="false" ht="15" hidden="false" customHeight="false" outlineLevel="0" collapsed="false">
      <c r="A241" s="33"/>
      <c r="B241" s="33"/>
      <c r="C241" s="33"/>
      <c r="D241" s="33"/>
      <c r="E241" s="33"/>
      <c r="F241" s="33"/>
      <c r="G241" s="33"/>
      <c r="H241" s="33"/>
      <c r="I241" s="33"/>
      <c r="J241" s="33"/>
      <c r="K241" s="33"/>
      <c r="L241" s="34"/>
      <c r="M241" s="34"/>
      <c r="N241" s="34"/>
      <c r="O241" s="34"/>
      <c r="P241" s="33"/>
      <c r="Q241" s="35"/>
      <c r="R241" s="33"/>
      <c r="S241" s="33"/>
      <c r="T241" s="33"/>
      <c r="U241" s="33"/>
      <c r="V241" s="33"/>
      <c r="W241" s="33"/>
    </row>
    <row r="242" customFormat="false" ht="15" hidden="false" customHeight="false" outlineLevel="0" collapsed="false">
      <c r="A242" s="33"/>
      <c r="B242" s="33"/>
      <c r="C242" s="33"/>
      <c r="D242" s="33"/>
      <c r="E242" s="33"/>
      <c r="F242" s="33"/>
      <c r="G242" s="33"/>
      <c r="H242" s="33"/>
      <c r="I242" s="33"/>
      <c r="J242" s="33"/>
      <c r="K242" s="33"/>
      <c r="L242" s="34"/>
      <c r="M242" s="34"/>
      <c r="N242" s="34"/>
      <c r="O242" s="34"/>
      <c r="P242" s="33"/>
      <c r="Q242" s="35"/>
      <c r="R242" s="33"/>
      <c r="S242" s="33"/>
      <c r="T242" s="33"/>
      <c r="U242" s="33"/>
      <c r="V242" s="33"/>
      <c r="W242" s="33"/>
    </row>
    <row r="243" customFormat="false" ht="15" hidden="false" customHeight="false" outlineLevel="0" collapsed="false">
      <c r="A243" s="33"/>
      <c r="B243" s="33"/>
      <c r="C243" s="33"/>
      <c r="D243" s="33"/>
      <c r="E243" s="33"/>
      <c r="F243" s="33"/>
      <c r="G243" s="33"/>
      <c r="H243" s="33"/>
      <c r="I243" s="33"/>
      <c r="J243" s="33"/>
      <c r="K243" s="33"/>
      <c r="L243" s="34"/>
      <c r="M243" s="34"/>
      <c r="N243" s="34"/>
      <c r="O243" s="34"/>
      <c r="P243" s="33"/>
      <c r="Q243" s="35"/>
      <c r="R243" s="33"/>
      <c r="S243" s="33"/>
      <c r="T243" s="33"/>
      <c r="U243" s="33"/>
      <c r="V243" s="33"/>
      <c r="W243" s="33"/>
    </row>
    <row r="244" customFormat="false" ht="15" hidden="false" customHeight="false" outlineLevel="0" collapsed="false">
      <c r="A244" s="33"/>
      <c r="B244" s="33"/>
      <c r="C244" s="33"/>
      <c r="D244" s="33"/>
      <c r="E244" s="33"/>
      <c r="F244" s="33"/>
      <c r="G244" s="33"/>
      <c r="H244" s="33"/>
      <c r="I244" s="33"/>
      <c r="J244" s="33"/>
      <c r="K244" s="33"/>
      <c r="L244" s="34"/>
      <c r="M244" s="34"/>
      <c r="N244" s="34"/>
      <c r="O244" s="34"/>
      <c r="P244" s="33"/>
      <c r="Q244" s="35"/>
      <c r="R244" s="33"/>
      <c r="S244" s="33"/>
      <c r="T244" s="33"/>
      <c r="U244" s="33"/>
      <c r="V244" s="33"/>
      <c r="W244" s="33"/>
    </row>
    <row r="245" customFormat="false" ht="15" hidden="false" customHeight="false" outlineLevel="0" collapsed="false">
      <c r="A245" s="33"/>
      <c r="B245" s="33"/>
      <c r="C245" s="33"/>
      <c r="D245" s="33"/>
      <c r="E245" s="33"/>
      <c r="F245" s="33"/>
      <c r="G245" s="33"/>
      <c r="H245" s="33"/>
      <c r="I245" s="33"/>
      <c r="J245" s="33"/>
      <c r="K245" s="33"/>
      <c r="L245" s="34"/>
      <c r="M245" s="34"/>
      <c r="N245" s="34"/>
      <c r="O245" s="34"/>
      <c r="P245" s="33"/>
      <c r="Q245" s="35"/>
      <c r="R245" s="33"/>
      <c r="S245" s="33"/>
      <c r="T245" s="33"/>
      <c r="U245" s="33"/>
      <c r="V245" s="33"/>
      <c r="W245" s="33"/>
    </row>
    <row r="246" customFormat="false" ht="15" hidden="false" customHeight="false" outlineLevel="0" collapsed="false">
      <c r="A246" s="33"/>
      <c r="B246" s="33"/>
      <c r="C246" s="33"/>
      <c r="D246" s="33"/>
      <c r="E246" s="33"/>
      <c r="F246" s="33"/>
      <c r="G246" s="33"/>
      <c r="H246" s="33"/>
      <c r="I246" s="33"/>
      <c r="J246" s="33"/>
      <c r="K246" s="33"/>
      <c r="L246" s="34"/>
      <c r="M246" s="34"/>
      <c r="N246" s="34"/>
      <c r="O246" s="34"/>
      <c r="P246" s="33"/>
      <c r="Q246" s="35"/>
      <c r="R246" s="33"/>
      <c r="S246" s="33"/>
      <c r="T246" s="33"/>
      <c r="U246" s="33"/>
      <c r="V246" s="33"/>
      <c r="W246" s="33"/>
    </row>
    <row r="247" customFormat="false" ht="15" hidden="false" customHeight="false" outlineLevel="0" collapsed="false">
      <c r="A247" s="33"/>
      <c r="B247" s="33"/>
      <c r="C247" s="33"/>
      <c r="D247" s="33"/>
      <c r="E247" s="33"/>
      <c r="F247" s="33"/>
      <c r="G247" s="33"/>
      <c r="H247" s="33"/>
      <c r="I247" s="33"/>
      <c r="J247" s="33"/>
      <c r="K247" s="33"/>
      <c r="L247" s="34"/>
      <c r="M247" s="34"/>
      <c r="N247" s="34"/>
      <c r="O247" s="34"/>
      <c r="P247" s="33"/>
      <c r="Q247" s="35"/>
      <c r="R247" s="33"/>
      <c r="S247" s="33"/>
      <c r="T247" s="33"/>
      <c r="U247" s="33"/>
      <c r="V247" s="33"/>
      <c r="W247" s="33"/>
    </row>
    <row r="248" customFormat="false" ht="15" hidden="false" customHeight="false" outlineLevel="0" collapsed="false">
      <c r="A248" s="33"/>
      <c r="B248" s="33"/>
      <c r="C248" s="33"/>
      <c r="D248" s="33"/>
      <c r="E248" s="33"/>
      <c r="F248" s="33"/>
      <c r="G248" s="33"/>
      <c r="H248" s="33"/>
      <c r="I248" s="33"/>
      <c r="J248" s="33"/>
      <c r="K248" s="33"/>
      <c r="L248" s="34"/>
      <c r="M248" s="34"/>
      <c r="N248" s="34"/>
      <c r="O248" s="34"/>
      <c r="P248" s="33"/>
      <c r="Q248" s="35"/>
      <c r="R248" s="33"/>
      <c r="S248" s="33"/>
      <c r="T248" s="33"/>
      <c r="U248" s="33"/>
      <c r="V248" s="33"/>
      <c r="W248" s="33"/>
    </row>
    <row r="249" customFormat="false" ht="15" hidden="false" customHeight="false" outlineLevel="0" collapsed="false">
      <c r="A249" s="33"/>
      <c r="B249" s="33"/>
      <c r="C249" s="33"/>
      <c r="D249" s="33"/>
      <c r="E249" s="33"/>
      <c r="F249" s="33"/>
      <c r="G249" s="33"/>
      <c r="H249" s="33"/>
      <c r="I249" s="33"/>
      <c r="J249" s="33"/>
      <c r="K249" s="33"/>
      <c r="L249" s="34"/>
      <c r="M249" s="34"/>
      <c r="N249" s="34"/>
      <c r="O249" s="34"/>
      <c r="P249" s="33"/>
      <c r="Q249" s="35"/>
      <c r="R249" s="33"/>
      <c r="S249" s="33"/>
      <c r="T249" s="33"/>
      <c r="U249" s="33"/>
      <c r="V249" s="33"/>
      <c r="W249" s="33"/>
    </row>
    <row r="250" customFormat="false" ht="15" hidden="false" customHeight="false" outlineLevel="0" collapsed="false">
      <c r="A250" s="33"/>
      <c r="B250" s="33"/>
      <c r="C250" s="33"/>
      <c r="D250" s="33"/>
      <c r="E250" s="33"/>
      <c r="F250" s="33"/>
      <c r="G250" s="33"/>
      <c r="H250" s="33"/>
      <c r="I250" s="33"/>
      <c r="J250" s="33"/>
      <c r="K250" s="33"/>
      <c r="L250" s="34"/>
      <c r="M250" s="34"/>
      <c r="N250" s="34"/>
      <c r="O250" s="34"/>
      <c r="P250" s="33"/>
      <c r="Q250" s="35"/>
      <c r="R250" s="33"/>
      <c r="S250" s="33"/>
      <c r="T250" s="33"/>
      <c r="U250" s="33"/>
      <c r="V250" s="33"/>
      <c r="W250" s="33"/>
    </row>
    <row r="251" customFormat="false" ht="15" hidden="false" customHeight="false" outlineLevel="0" collapsed="false">
      <c r="A251" s="33"/>
      <c r="B251" s="33"/>
      <c r="C251" s="33"/>
      <c r="D251" s="33"/>
      <c r="E251" s="33"/>
      <c r="F251" s="33"/>
      <c r="G251" s="33"/>
      <c r="H251" s="33"/>
      <c r="I251" s="33"/>
      <c r="J251" s="33"/>
      <c r="K251" s="33"/>
      <c r="L251" s="34"/>
      <c r="M251" s="34"/>
      <c r="N251" s="34"/>
      <c r="O251" s="34"/>
      <c r="P251" s="33"/>
      <c r="Q251" s="35"/>
      <c r="R251" s="33"/>
      <c r="S251" s="33"/>
      <c r="T251" s="33"/>
      <c r="U251" s="33"/>
      <c r="V251" s="33"/>
      <c r="W251" s="33"/>
    </row>
    <row r="252" customFormat="false" ht="15" hidden="false" customHeight="false" outlineLevel="0" collapsed="false">
      <c r="A252" s="33"/>
      <c r="B252" s="33"/>
      <c r="C252" s="33"/>
      <c r="D252" s="33"/>
      <c r="E252" s="33"/>
      <c r="F252" s="33"/>
      <c r="G252" s="33"/>
      <c r="H252" s="33"/>
      <c r="I252" s="33"/>
      <c r="J252" s="33"/>
      <c r="K252" s="33"/>
      <c r="L252" s="34"/>
      <c r="M252" s="34"/>
      <c r="N252" s="34"/>
      <c r="O252" s="34"/>
      <c r="P252" s="33"/>
      <c r="Q252" s="35"/>
      <c r="R252" s="33"/>
      <c r="S252" s="33"/>
      <c r="T252" s="33"/>
      <c r="U252" s="33"/>
      <c r="V252" s="33"/>
      <c r="W252" s="33"/>
    </row>
    <row r="253" customFormat="false" ht="15" hidden="false" customHeight="false" outlineLevel="0" collapsed="false">
      <c r="A253" s="33"/>
      <c r="B253" s="33"/>
      <c r="C253" s="33"/>
      <c r="D253" s="33"/>
      <c r="E253" s="33"/>
      <c r="F253" s="33"/>
      <c r="G253" s="33"/>
      <c r="H253" s="33"/>
      <c r="I253" s="33"/>
      <c r="J253" s="33"/>
      <c r="K253" s="33"/>
      <c r="L253" s="34"/>
      <c r="M253" s="34"/>
      <c r="N253" s="34"/>
      <c r="O253" s="34"/>
      <c r="P253" s="33"/>
      <c r="Q253" s="35"/>
      <c r="R253" s="33"/>
      <c r="S253" s="33"/>
      <c r="T253" s="33"/>
      <c r="U253" s="33"/>
      <c r="V253" s="33"/>
      <c r="W253" s="33"/>
    </row>
    <row r="254" customFormat="false" ht="15" hidden="false" customHeight="false" outlineLevel="0" collapsed="false">
      <c r="A254" s="33"/>
      <c r="B254" s="33"/>
      <c r="C254" s="33"/>
      <c r="D254" s="33"/>
      <c r="E254" s="33"/>
      <c r="F254" s="33"/>
      <c r="G254" s="33"/>
      <c r="H254" s="33"/>
      <c r="I254" s="33"/>
      <c r="J254" s="33"/>
      <c r="K254" s="33"/>
      <c r="L254" s="34"/>
      <c r="M254" s="34"/>
      <c r="N254" s="34"/>
      <c r="O254" s="34"/>
      <c r="P254" s="33"/>
      <c r="Q254" s="35"/>
      <c r="R254" s="33"/>
      <c r="S254" s="33"/>
      <c r="T254" s="33"/>
      <c r="U254" s="33"/>
      <c r="V254" s="33"/>
      <c r="W254" s="33"/>
    </row>
    <row r="255" customFormat="false" ht="15" hidden="false" customHeight="false" outlineLevel="0" collapsed="false">
      <c r="A255" s="33"/>
      <c r="B255" s="33"/>
      <c r="C255" s="33"/>
      <c r="D255" s="33"/>
      <c r="E255" s="33"/>
      <c r="F255" s="33"/>
      <c r="G255" s="33"/>
      <c r="H255" s="33"/>
      <c r="I255" s="33"/>
      <c r="J255" s="33"/>
      <c r="K255" s="33"/>
      <c r="L255" s="34"/>
      <c r="M255" s="34"/>
      <c r="N255" s="34"/>
      <c r="O255" s="34"/>
      <c r="P255" s="33"/>
      <c r="Q255" s="35"/>
      <c r="R255" s="33"/>
      <c r="S255" s="33"/>
      <c r="T255" s="33"/>
      <c r="U255" s="33"/>
      <c r="V255" s="33"/>
      <c r="W255" s="33"/>
    </row>
    <row r="256" customFormat="false" ht="15" hidden="false" customHeight="false" outlineLevel="0" collapsed="false">
      <c r="A256" s="33"/>
      <c r="B256" s="33"/>
      <c r="C256" s="33"/>
      <c r="D256" s="33"/>
      <c r="E256" s="33"/>
      <c r="F256" s="33"/>
      <c r="G256" s="33"/>
      <c r="H256" s="33"/>
      <c r="I256" s="33"/>
      <c r="J256" s="33"/>
      <c r="K256" s="33"/>
      <c r="L256" s="34"/>
      <c r="M256" s="34"/>
      <c r="N256" s="34"/>
      <c r="O256" s="34"/>
      <c r="P256" s="33"/>
      <c r="Q256" s="35"/>
      <c r="R256" s="33"/>
      <c r="S256" s="33"/>
      <c r="T256" s="33"/>
      <c r="U256" s="33"/>
      <c r="V256" s="33"/>
      <c r="W256" s="33"/>
    </row>
    <row r="257" customFormat="false" ht="15" hidden="false" customHeight="false" outlineLevel="0" collapsed="false">
      <c r="A257" s="33"/>
      <c r="B257" s="33"/>
      <c r="C257" s="33"/>
      <c r="D257" s="33"/>
      <c r="E257" s="33"/>
      <c r="F257" s="33"/>
      <c r="G257" s="33"/>
      <c r="H257" s="33"/>
      <c r="I257" s="33"/>
      <c r="J257" s="33"/>
      <c r="K257" s="33"/>
      <c r="L257" s="34"/>
      <c r="M257" s="34"/>
      <c r="N257" s="34"/>
      <c r="O257" s="34"/>
      <c r="P257" s="33"/>
      <c r="Q257" s="35"/>
      <c r="R257" s="33"/>
      <c r="S257" s="33"/>
      <c r="T257" s="33"/>
      <c r="U257" s="33"/>
      <c r="V257" s="33"/>
      <c r="W257" s="33"/>
    </row>
    <row r="258" customFormat="false" ht="15" hidden="false" customHeight="false" outlineLevel="0" collapsed="false">
      <c r="A258" s="33"/>
      <c r="B258" s="33"/>
      <c r="C258" s="33"/>
      <c r="D258" s="33"/>
      <c r="E258" s="33"/>
      <c r="F258" s="33"/>
      <c r="G258" s="33"/>
      <c r="H258" s="33"/>
      <c r="I258" s="33"/>
      <c r="J258" s="33"/>
      <c r="K258" s="33"/>
      <c r="L258" s="34"/>
      <c r="M258" s="34"/>
      <c r="N258" s="34"/>
      <c r="O258" s="34"/>
      <c r="P258" s="33"/>
      <c r="Q258" s="35"/>
      <c r="R258" s="33"/>
      <c r="S258" s="33"/>
      <c r="T258" s="33"/>
      <c r="U258" s="33"/>
      <c r="V258" s="33"/>
      <c r="W258" s="33"/>
    </row>
    <row r="259" customFormat="false" ht="15" hidden="false" customHeight="false" outlineLevel="0" collapsed="false">
      <c r="A259" s="33"/>
      <c r="B259" s="33"/>
      <c r="C259" s="33"/>
      <c r="D259" s="33"/>
      <c r="E259" s="33"/>
      <c r="F259" s="33"/>
      <c r="G259" s="33"/>
      <c r="H259" s="33"/>
      <c r="I259" s="33"/>
      <c r="J259" s="33"/>
      <c r="K259" s="33"/>
      <c r="L259" s="34"/>
      <c r="M259" s="34"/>
      <c r="N259" s="34"/>
      <c r="O259" s="34"/>
      <c r="P259" s="33"/>
      <c r="Q259" s="35"/>
      <c r="R259" s="33"/>
      <c r="S259" s="33"/>
      <c r="T259" s="33"/>
      <c r="U259" s="33"/>
      <c r="V259" s="33"/>
      <c r="W259" s="33"/>
    </row>
    <row r="260" customFormat="false" ht="15" hidden="false" customHeight="false" outlineLevel="0" collapsed="false">
      <c r="A260" s="33"/>
      <c r="B260" s="33"/>
      <c r="C260" s="33"/>
      <c r="D260" s="33"/>
      <c r="E260" s="33"/>
      <c r="F260" s="33"/>
      <c r="G260" s="33"/>
      <c r="H260" s="33"/>
      <c r="I260" s="33"/>
      <c r="J260" s="33"/>
      <c r="K260" s="33"/>
      <c r="L260" s="34"/>
      <c r="M260" s="34"/>
      <c r="N260" s="34"/>
      <c r="O260" s="34"/>
      <c r="P260" s="33"/>
      <c r="Q260" s="35"/>
      <c r="R260" s="33"/>
      <c r="S260" s="33"/>
      <c r="T260" s="33"/>
      <c r="U260" s="33"/>
      <c r="V260" s="33"/>
      <c r="W260" s="33"/>
    </row>
    <row r="261" customFormat="false" ht="15" hidden="false" customHeight="false" outlineLevel="0" collapsed="false">
      <c r="A261" s="33"/>
      <c r="B261" s="33"/>
      <c r="C261" s="33"/>
      <c r="D261" s="33"/>
      <c r="E261" s="33"/>
      <c r="F261" s="33"/>
      <c r="G261" s="33"/>
      <c r="H261" s="33"/>
      <c r="I261" s="33"/>
      <c r="J261" s="33"/>
      <c r="K261" s="33"/>
      <c r="L261" s="34"/>
      <c r="M261" s="34"/>
      <c r="N261" s="34"/>
      <c r="O261" s="34"/>
      <c r="P261" s="33"/>
      <c r="Q261" s="35"/>
      <c r="R261" s="33"/>
      <c r="S261" s="33"/>
      <c r="T261" s="33"/>
      <c r="U261" s="33"/>
      <c r="V261" s="33"/>
      <c r="W261" s="33"/>
    </row>
    <row r="262" customFormat="false" ht="15" hidden="false" customHeight="false" outlineLevel="0" collapsed="false">
      <c r="A262" s="33"/>
      <c r="B262" s="33"/>
      <c r="C262" s="33"/>
      <c r="D262" s="33"/>
      <c r="E262" s="33"/>
      <c r="F262" s="33"/>
      <c r="G262" s="33"/>
      <c r="H262" s="33"/>
      <c r="I262" s="33"/>
      <c r="J262" s="33"/>
      <c r="K262" s="33"/>
      <c r="L262" s="34"/>
      <c r="M262" s="34"/>
      <c r="N262" s="34"/>
      <c r="O262" s="34"/>
      <c r="P262" s="33"/>
      <c r="Q262" s="35"/>
      <c r="R262" s="33"/>
      <c r="S262" s="33"/>
      <c r="T262" s="33"/>
      <c r="U262" s="33"/>
      <c r="V262" s="33"/>
      <c r="W262" s="33"/>
    </row>
    <row r="263" customFormat="false" ht="15" hidden="false" customHeight="false" outlineLevel="0" collapsed="false">
      <c r="A263" s="33"/>
      <c r="B263" s="33"/>
      <c r="C263" s="33"/>
      <c r="D263" s="33"/>
      <c r="E263" s="33"/>
      <c r="F263" s="33"/>
      <c r="G263" s="33"/>
      <c r="H263" s="33"/>
      <c r="I263" s="33"/>
      <c r="J263" s="33"/>
      <c r="K263" s="33"/>
      <c r="L263" s="34"/>
      <c r="M263" s="34"/>
      <c r="N263" s="34"/>
      <c r="O263" s="34"/>
      <c r="P263" s="33"/>
      <c r="Q263" s="35"/>
      <c r="R263" s="33"/>
      <c r="S263" s="33"/>
      <c r="T263" s="33"/>
      <c r="U263" s="33"/>
      <c r="V263" s="33"/>
      <c r="W263" s="33"/>
    </row>
    <row r="264" customFormat="false" ht="15" hidden="false" customHeight="false" outlineLevel="0" collapsed="false">
      <c r="A264" s="33"/>
      <c r="B264" s="33"/>
      <c r="C264" s="33"/>
      <c r="D264" s="33"/>
      <c r="E264" s="33"/>
      <c r="F264" s="33"/>
      <c r="G264" s="33"/>
      <c r="H264" s="33"/>
      <c r="I264" s="33"/>
      <c r="J264" s="33"/>
      <c r="K264" s="33"/>
      <c r="L264" s="34"/>
      <c r="M264" s="34"/>
      <c r="N264" s="34"/>
      <c r="O264" s="34"/>
      <c r="P264" s="33"/>
      <c r="Q264" s="35"/>
      <c r="R264" s="33"/>
      <c r="S264" s="33"/>
      <c r="T264" s="33"/>
      <c r="U264" s="33"/>
      <c r="V264" s="33"/>
      <c r="W264" s="33"/>
    </row>
    <row r="265" customFormat="false" ht="15" hidden="false" customHeight="false" outlineLevel="0" collapsed="false">
      <c r="A265" s="33"/>
      <c r="B265" s="33"/>
      <c r="C265" s="33"/>
      <c r="D265" s="33"/>
      <c r="E265" s="33"/>
      <c r="F265" s="33"/>
      <c r="G265" s="33"/>
      <c r="H265" s="33"/>
      <c r="I265" s="33"/>
      <c r="J265" s="33"/>
      <c r="K265" s="33"/>
      <c r="L265" s="34"/>
      <c r="M265" s="34"/>
      <c r="N265" s="34"/>
      <c r="O265" s="34"/>
      <c r="P265" s="33"/>
      <c r="Q265" s="35"/>
      <c r="R265" s="33"/>
      <c r="S265" s="33"/>
      <c r="T265" s="33"/>
      <c r="U265" s="33"/>
      <c r="V265" s="33"/>
      <c r="W265" s="33"/>
    </row>
    <row r="266" customFormat="false" ht="15" hidden="false" customHeight="false" outlineLevel="0" collapsed="false">
      <c r="A266" s="33"/>
      <c r="B266" s="33"/>
      <c r="C266" s="33"/>
      <c r="D266" s="33"/>
      <c r="E266" s="33"/>
      <c r="F266" s="33"/>
      <c r="G266" s="33"/>
      <c r="H266" s="33"/>
      <c r="I266" s="33"/>
      <c r="J266" s="33"/>
      <c r="K266" s="33"/>
      <c r="L266" s="34"/>
      <c r="M266" s="34"/>
      <c r="N266" s="34"/>
      <c r="O266" s="34"/>
      <c r="P266" s="33"/>
      <c r="Q266" s="35"/>
      <c r="R266" s="33"/>
      <c r="S266" s="33"/>
      <c r="T266" s="33"/>
      <c r="U266" s="33"/>
      <c r="V266" s="33"/>
      <c r="W266" s="33"/>
    </row>
    <row r="267" customFormat="false" ht="15" hidden="false" customHeight="false" outlineLevel="0" collapsed="false">
      <c r="A267" s="33"/>
      <c r="B267" s="33"/>
      <c r="C267" s="33"/>
      <c r="D267" s="33"/>
      <c r="E267" s="33"/>
      <c r="F267" s="33"/>
      <c r="G267" s="33"/>
      <c r="H267" s="33"/>
      <c r="I267" s="33"/>
      <c r="J267" s="33"/>
      <c r="K267" s="33"/>
      <c r="L267" s="34"/>
      <c r="M267" s="34"/>
      <c r="N267" s="34"/>
      <c r="O267" s="34"/>
      <c r="P267" s="33"/>
      <c r="Q267" s="35"/>
      <c r="R267" s="33"/>
      <c r="S267" s="33"/>
      <c r="T267" s="33"/>
      <c r="U267" s="33"/>
      <c r="V267" s="33"/>
      <c r="W267" s="33"/>
    </row>
    <row r="268" customFormat="false" ht="15" hidden="false" customHeight="false" outlineLevel="0" collapsed="false">
      <c r="A268" s="33"/>
      <c r="B268" s="33"/>
      <c r="C268" s="33"/>
      <c r="D268" s="33"/>
      <c r="E268" s="33"/>
      <c r="F268" s="33"/>
      <c r="G268" s="33"/>
      <c r="H268" s="33"/>
      <c r="I268" s="33"/>
      <c r="J268" s="33"/>
      <c r="K268" s="33"/>
      <c r="L268" s="34"/>
      <c r="M268" s="34"/>
      <c r="N268" s="34"/>
      <c r="O268" s="34"/>
      <c r="P268" s="33"/>
      <c r="Q268" s="35"/>
      <c r="R268" s="33"/>
      <c r="S268" s="33"/>
      <c r="T268" s="33"/>
      <c r="U268" s="33"/>
      <c r="V268" s="33"/>
      <c r="W268" s="33"/>
    </row>
    <row r="269" customFormat="false" ht="15" hidden="false" customHeight="false" outlineLevel="0" collapsed="false">
      <c r="A269" s="33"/>
      <c r="B269" s="33"/>
      <c r="C269" s="33"/>
      <c r="D269" s="33"/>
      <c r="E269" s="33"/>
      <c r="F269" s="33"/>
      <c r="G269" s="33"/>
      <c r="H269" s="33"/>
      <c r="I269" s="33"/>
      <c r="J269" s="33"/>
      <c r="K269" s="33"/>
      <c r="L269" s="34"/>
      <c r="M269" s="34"/>
      <c r="N269" s="34"/>
      <c r="O269" s="34"/>
      <c r="P269" s="33"/>
      <c r="Q269" s="35"/>
      <c r="R269" s="33"/>
      <c r="S269" s="33"/>
      <c r="T269" s="33"/>
      <c r="U269" s="33"/>
      <c r="V269" s="33"/>
      <c r="W269" s="33"/>
    </row>
    <row r="270" customFormat="false" ht="15" hidden="false" customHeight="false" outlineLevel="0" collapsed="false">
      <c r="A270" s="33"/>
      <c r="B270" s="33"/>
      <c r="C270" s="33"/>
      <c r="D270" s="33"/>
      <c r="E270" s="33"/>
      <c r="F270" s="33"/>
      <c r="G270" s="33"/>
      <c r="H270" s="33"/>
      <c r="I270" s="33"/>
      <c r="J270" s="33"/>
      <c r="K270" s="33"/>
      <c r="L270" s="34"/>
      <c r="M270" s="34"/>
      <c r="N270" s="34"/>
      <c r="O270" s="34"/>
      <c r="P270" s="33"/>
      <c r="Q270" s="35"/>
      <c r="R270" s="33"/>
      <c r="S270" s="33"/>
      <c r="T270" s="33"/>
      <c r="U270" s="33"/>
      <c r="V270" s="33"/>
      <c r="W270" s="33"/>
    </row>
    <row r="271" customFormat="false" ht="15" hidden="false" customHeight="false" outlineLevel="0" collapsed="false">
      <c r="A271" s="33"/>
      <c r="B271" s="33"/>
      <c r="C271" s="33"/>
      <c r="D271" s="33"/>
      <c r="E271" s="33"/>
      <c r="F271" s="33"/>
      <c r="G271" s="33"/>
      <c r="H271" s="33"/>
      <c r="I271" s="33"/>
      <c r="J271" s="33"/>
      <c r="K271" s="33"/>
      <c r="L271" s="34"/>
      <c r="M271" s="34"/>
      <c r="N271" s="34"/>
      <c r="O271" s="34"/>
      <c r="P271" s="33"/>
      <c r="Q271" s="35"/>
      <c r="R271" s="33"/>
      <c r="S271" s="33"/>
      <c r="T271" s="33"/>
      <c r="U271" s="33"/>
      <c r="V271" s="33"/>
      <c r="W271" s="33"/>
    </row>
    <row r="272" customFormat="false" ht="15" hidden="false" customHeight="false" outlineLevel="0" collapsed="false">
      <c r="A272" s="33"/>
      <c r="B272" s="33"/>
      <c r="C272" s="33"/>
      <c r="D272" s="33"/>
      <c r="E272" s="33"/>
      <c r="F272" s="33"/>
      <c r="G272" s="33"/>
      <c r="H272" s="33"/>
      <c r="I272" s="33"/>
      <c r="J272" s="33"/>
      <c r="K272" s="33"/>
      <c r="L272" s="34"/>
      <c r="M272" s="34"/>
      <c r="N272" s="34"/>
      <c r="O272" s="34"/>
      <c r="P272" s="33"/>
      <c r="Q272" s="35"/>
      <c r="R272" s="33"/>
      <c r="S272" s="33"/>
      <c r="T272" s="33"/>
      <c r="U272" s="33"/>
      <c r="V272" s="33"/>
      <c r="W272" s="33"/>
    </row>
    <row r="273" customFormat="false" ht="15" hidden="false" customHeight="false" outlineLevel="0" collapsed="false">
      <c r="A273" s="33"/>
      <c r="B273" s="33"/>
      <c r="C273" s="33"/>
      <c r="D273" s="33"/>
      <c r="E273" s="33"/>
      <c r="F273" s="33"/>
      <c r="G273" s="33"/>
      <c r="H273" s="33"/>
      <c r="I273" s="33"/>
      <c r="J273" s="33"/>
      <c r="K273" s="33"/>
      <c r="L273" s="34"/>
      <c r="M273" s="34"/>
      <c r="N273" s="34"/>
      <c r="O273" s="34"/>
      <c r="P273" s="33"/>
      <c r="Q273" s="35"/>
      <c r="R273" s="33"/>
      <c r="S273" s="33"/>
      <c r="T273" s="33"/>
      <c r="U273" s="33"/>
      <c r="V273" s="33"/>
      <c r="W273" s="33"/>
    </row>
    <row r="274" customFormat="false" ht="15" hidden="false" customHeight="false" outlineLevel="0" collapsed="false">
      <c r="A274" s="33"/>
      <c r="B274" s="33"/>
      <c r="C274" s="33"/>
      <c r="D274" s="33"/>
      <c r="E274" s="33"/>
      <c r="F274" s="33"/>
      <c r="G274" s="33"/>
      <c r="H274" s="33"/>
      <c r="I274" s="33"/>
      <c r="J274" s="33"/>
      <c r="K274" s="33"/>
      <c r="L274" s="34"/>
      <c r="M274" s="34"/>
      <c r="N274" s="34"/>
      <c r="O274" s="34"/>
      <c r="P274" s="33"/>
      <c r="Q274" s="35"/>
      <c r="R274" s="33"/>
      <c r="S274" s="33"/>
      <c r="T274" s="33"/>
      <c r="U274" s="33"/>
      <c r="V274" s="33"/>
      <c r="W274" s="33"/>
    </row>
    <row r="275" customFormat="false" ht="15" hidden="false" customHeight="false" outlineLevel="0" collapsed="false">
      <c r="A275" s="33"/>
      <c r="B275" s="33"/>
      <c r="C275" s="33"/>
      <c r="D275" s="33"/>
      <c r="E275" s="33"/>
      <c r="F275" s="33"/>
      <c r="G275" s="33"/>
      <c r="H275" s="33"/>
      <c r="I275" s="33"/>
      <c r="J275" s="33"/>
      <c r="K275" s="33"/>
      <c r="L275" s="34"/>
      <c r="M275" s="34"/>
      <c r="N275" s="34"/>
      <c r="O275" s="34"/>
      <c r="P275" s="33"/>
      <c r="Q275" s="35"/>
      <c r="R275" s="33"/>
      <c r="S275" s="33"/>
      <c r="T275" s="33"/>
      <c r="U275" s="33"/>
      <c r="V275" s="33"/>
      <c r="W275" s="33"/>
    </row>
    <row r="276" customFormat="false" ht="15" hidden="false" customHeight="false" outlineLevel="0" collapsed="false">
      <c r="A276" s="33"/>
      <c r="B276" s="33"/>
      <c r="C276" s="33"/>
      <c r="D276" s="33"/>
      <c r="E276" s="33"/>
      <c r="F276" s="33"/>
      <c r="G276" s="33"/>
      <c r="H276" s="33"/>
      <c r="I276" s="33"/>
      <c r="J276" s="33"/>
      <c r="K276" s="33"/>
      <c r="L276" s="34"/>
      <c r="M276" s="34"/>
      <c r="N276" s="34"/>
      <c r="O276" s="34"/>
      <c r="P276" s="33"/>
      <c r="Q276" s="35"/>
      <c r="R276" s="33"/>
      <c r="S276" s="33"/>
      <c r="T276" s="33"/>
      <c r="U276" s="33"/>
      <c r="V276" s="33"/>
      <c r="W276" s="33"/>
    </row>
    <row r="277" customFormat="false" ht="15" hidden="false" customHeight="false" outlineLevel="0" collapsed="false">
      <c r="A277" s="33"/>
      <c r="B277" s="33"/>
      <c r="C277" s="33"/>
      <c r="D277" s="33"/>
      <c r="E277" s="33"/>
      <c r="F277" s="33"/>
      <c r="G277" s="33"/>
      <c r="H277" s="33"/>
      <c r="I277" s="33"/>
      <c r="J277" s="33"/>
      <c r="K277" s="33"/>
      <c r="L277" s="34"/>
      <c r="M277" s="34"/>
      <c r="N277" s="34"/>
      <c r="O277" s="34"/>
      <c r="P277" s="33"/>
      <c r="Q277" s="35"/>
      <c r="R277" s="33"/>
      <c r="S277" s="33"/>
      <c r="T277" s="33"/>
      <c r="U277" s="33"/>
      <c r="V277" s="33"/>
      <c r="W277" s="33"/>
    </row>
    <row r="278" customFormat="false" ht="15" hidden="false" customHeight="false" outlineLevel="0" collapsed="false">
      <c r="A278" s="33"/>
      <c r="B278" s="33"/>
      <c r="C278" s="33"/>
      <c r="D278" s="33"/>
      <c r="E278" s="33"/>
      <c r="F278" s="33"/>
      <c r="G278" s="33"/>
      <c r="H278" s="33"/>
      <c r="I278" s="33"/>
      <c r="J278" s="33"/>
      <c r="K278" s="33"/>
      <c r="L278" s="34"/>
      <c r="M278" s="34"/>
      <c r="N278" s="34"/>
      <c r="O278" s="34"/>
      <c r="P278" s="33"/>
      <c r="Q278" s="35"/>
      <c r="R278" s="33"/>
      <c r="S278" s="33"/>
      <c r="T278" s="33"/>
      <c r="U278" s="33"/>
      <c r="V278" s="33"/>
      <c r="W278" s="33"/>
    </row>
    <row r="279" customFormat="false" ht="15" hidden="false" customHeight="false" outlineLevel="0" collapsed="false">
      <c r="A279" s="33"/>
      <c r="B279" s="33"/>
      <c r="C279" s="33"/>
      <c r="D279" s="33"/>
      <c r="E279" s="33"/>
      <c r="F279" s="33"/>
      <c r="G279" s="33"/>
      <c r="H279" s="33"/>
      <c r="I279" s="33"/>
      <c r="J279" s="33"/>
      <c r="K279" s="33"/>
      <c r="L279" s="34"/>
      <c r="M279" s="34"/>
      <c r="N279" s="34"/>
      <c r="O279" s="34"/>
      <c r="P279" s="33"/>
      <c r="Q279" s="35"/>
      <c r="R279" s="33"/>
      <c r="S279" s="33"/>
      <c r="T279" s="33"/>
      <c r="U279" s="33"/>
      <c r="V279" s="33"/>
      <c r="W279" s="33"/>
    </row>
    <row r="280" customFormat="false" ht="15" hidden="false" customHeight="false" outlineLevel="0" collapsed="false">
      <c r="A280" s="33"/>
      <c r="B280" s="33"/>
      <c r="C280" s="33"/>
      <c r="D280" s="33"/>
      <c r="E280" s="33"/>
      <c r="F280" s="33"/>
      <c r="G280" s="33"/>
      <c r="H280" s="33"/>
      <c r="I280" s="33"/>
      <c r="J280" s="33"/>
      <c r="K280" s="33"/>
      <c r="L280" s="34"/>
      <c r="M280" s="34"/>
      <c r="N280" s="34"/>
      <c r="O280" s="34"/>
      <c r="P280" s="33"/>
      <c r="Q280" s="35"/>
      <c r="R280" s="33"/>
      <c r="S280" s="33"/>
      <c r="T280" s="33"/>
      <c r="U280" s="33"/>
      <c r="V280" s="33"/>
      <c r="W280" s="33"/>
    </row>
    <row r="281" customFormat="false" ht="15" hidden="false" customHeight="false" outlineLevel="0" collapsed="false">
      <c r="A281" s="33"/>
      <c r="B281" s="33"/>
      <c r="C281" s="33"/>
      <c r="D281" s="33"/>
      <c r="E281" s="33"/>
      <c r="F281" s="33"/>
      <c r="G281" s="33"/>
      <c r="H281" s="33"/>
      <c r="I281" s="33"/>
      <c r="J281" s="33"/>
      <c r="K281" s="33"/>
      <c r="L281" s="34"/>
      <c r="M281" s="34"/>
      <c r="N281" s="34"/>
      <c r="O281" s="34"/>
      <c r="P281" s="33"/>
      <c r="Q281" s="35"/>
      <c r="R281" s="33"/>
      <c r="S281" s="33"/>
      <c r="T281" s="33"/>
      <c r="U281" s="33"/>
      <c r="V281" s="33"/>
      <c r="W281" s="33"/>
    </row>
    <row r="282" customFormat="false" ht="15" hidden="false" customHeight="false" outlineLevel="0" collapsed="false">
      <c r="A282" s="33"/>
      <c r="B282" s="33"/>
      <c r="C282" s="33"/>
      <c r="D282" s="33"/>
      <c r="E282" s="33"/>
      <c r="F282" s="33"/>
      <c r="G282" s="33"/>
      <c r="H282" s="33"/>
      <c r="I282" s="33"/>
      <c r="J282" s="33"/>
      <c r="K282" s="33"/>
      <c r="L282" s="34"/>
      <c r="M282" s="34"/>
      <c r="N282" s="34"/>
      <c r="O282" s="34"/>
      <c r="P282" s="33"/>
      <c r="Q282" s="35"/>
      <c r="R282" s="33"/>
      <c r="S282" s="33"/>
      <c r="T282" s="33"/>
      <c r="U282" s="33"/>
      <c r="V282" s="33"/>
      <c r="W282" s="33"/>
    </row>
    <row r="283" customFormat="false" ht="15" hidden="false" customHeight="false" outlineLevel="0" collapsed="false">
      <c r="A283" s="33"/>
      <c r="B283" s="33"/>
      <c r="C283" s="33"/>
      <c r="D283" s="33"/>
      <c r="E283" s="33"/>
      <c r="F283" s="33"/>
      <c r="G283" s="33"/>
      <c r="H283" s="33"/>
      <c r="I283" s="33"/>
      <c r="J283" s="33"/>
      <c r="K283" s="33"/>
      <c r="L283" s="34"/>
      <c r="M283" s="34"/>
      <c r="N283" s="34"/>
      <c r="O283" s="34"/>
      <c r="P283" s="33"/>
      <c r="Q283" s="35"/>
      <c r="R283" s="33"/>
      <c r="S283" s="33"/>
      <c r="T283" s="33"/>
      <c r="U283" s="33"/>
      <c r="V283" s="33"/>
      <c r="W283" s="33"/>
    </row>
    <row r="284" customFormat="false" ht="15" hidden="false" customHeight="false" outlineLevel="0" collapsed="false">
      <c r="A284" s="33"/>
      <c r="B284" s="33"/>
      <c r="C284" s="33"/>
      <c r="D284" s="33"/>
      <c r="E284" s="33"/>
      <c r="F284" s="33"/>
      <c r="G284" s="33"/>
      <c r="H284" s="33"/>
      <c r="I284" s="33"/>
      <c r="J284" s="33"/>
      <c r="K284" s="33"/>
      <c r="L284" s="34"/>
      <c r="M284" s="34"/>
      <c r="N284" s="34"/>
      <c r="O284" s="34"/>
      <c r="P284" s="33"/>
      <c r="Q284" s="35"/>
      <c r="R284" s="33"/>
      <c r="S284" s="33"/>
      <c r="T284" s="33"/>
      <c r="U284" s="33"/>
      <c r="V284" s="33"/>
      <c r="W284" s="33"/>
    </row>
    <row r="285" customFormat="false" ht="15" hidden="false" customHeight="false" outlineLevel="0" collapsed="false">
      <c r="A285" s="33"/>
      <c r="B285" s="33"/>
      <c r="C285" s="33"/>
      <c r="D285" s="33"/>
      <c r="E285" s="33"/>
      <c r="F285" s="33"/>
      <c r="G285" s="33"/>
      <c r="H285" s="33"/>
      <c r="I285" s="33"/>
      <c r="J285" s="33"/>
      <c r="K285" s="33"/>
      <c r="L285" s="34"/>
      <c r="M285" s="34"/>
      <c r="N285" s="34"/>
      <c r="O285" s="34"/>
      <c r="P285" s="33"/>
      <c r="Q285" s="35"/>
      <c r="R285" s="33"/>
      <c r="S285" s="33"/>
      <c r="T285" s="33"/>
      <c r="U285" s="33"/>
      <c r="V285" s="33"/>
      <c r="W285" s="33"/>
    </row>
    <row r="286" customFormat="false" ht="15" hidden="false" customHeight="false" outlineLevel="0" collapsed="false">
      <c r="A286" s="33"/>
      <c r="B286" s="33"/>
      <c r="C286" s="33"/>
      <c r="D286" s="33"/>
      <c r="E286" s="33"/>
      <c r="F286" s="33"/>
      <c r="G286" s="33"/>
      <c r="H286" s="33"/>
      <c r="I286" s="33"/>
      <c r="J286" s="33"/>
      <c r="K286" s="33"/>
      <c r="L286" s="34"/>
      <c r="M286" s="34"/>
      <c r="N286" s="34"/>
      <c r="O286" s="34"/>
      <c r="P286" s="33"/>
      <c r="Q286" s="35"/>
      <c r="R286" s="33"/>
      <c r="S286" s="33"/>
      <c r="T286" s="33"/>
      <c r="U286" s="33"/>
      <c r="V286" s="33"/>
      <c r="W286" s="33"/>
    </row>
    <row r="287" customFormat="false" ht="15" hidden="false" customHeight="false" outlineLevel="0" collapsed="false">
      <c r="A287" s="33"/>
      <c r="B287" s="33"/>
      <c r="C287" s="33"/>
      <c r="D287" s="33"/>
      <c r="E287" s="33"/>
      <c r="F287" s="33"/>
      <c r="G287" s="33"/>
      <c r="H287" s="33"/>
      <c r="I287" s="33"/>
      <c r="J287" s="33"/>
      <c r="K287" s="33"/>
      <c r="L287" s="34"/>
      <c r="M287" s="34"/>
      <c r="N287" s="34"/>
      <c r="O287" s="34"/>
      <c r="P287" s="33"/>
      <c r="Q287" s="35"/>
      <c r="R287" s="33"/>
      <c r="S287" s="33"/>
      <c r="T287" s="33"/>
      <c r="U287" s="33"/>
      <c r="V287" s="33"/>
      <c r="W287" s="33"/>
    </row>
    <row r="288" customFormat="false" ht="15" hidden="false" customHeight="false" outlineLevel="0" collapsed="false">
      <c r="A288" s="33"/>
      <c r="B288" s="33"/>
      <c r="C288" s="33"/>
      <c r="D288" s="33"/>
      <c r="E288" s="33"/>
      <c r="F288" s="33"/>
      <c r="G288" s="33"/>
      <c r="H288" s="33"/>
      <c r="I288" s="33"/>
      <c r="J288" s="33"/>
      <c r="K288" s="33"/>
      <c r="L288" s="34"/>
      <c r="M288" s="34"/>
      <c r="N288" s="34"/>
      <c r="O288" s="34"/>
      <c r="P288" s="33"/>
      <c r="Q288" s="35"/>
      <c r="R288" s="33"/>
      <c r="S288" s="33"/>
      <c r="T288" s="33"/>
      <c r="U288" s="33"/>
      <c r="V288" s="33"/>
      <c r="W288" s="33"/>
    </row>
    <row r="289" customFormat="false" ht="15" hidden="false" customHeight="false" outlineLevel="0" collapsed="false">
      <c r="A289" s="33"/>
      <c r="B289" s="33"/>
      <c r="C289" s="33"/>
      <c r="D289" s="33"/>
      <c r="E289" s="33"/>
      <c r="F289" s="33"/>
      <c r="G289" s="33"/>
      <c r="H289" s="33"/>
      <c r="I289" s="33"/>
      <c r="J289" s="33"/>
      <c r="K289" s="33"/>
      <c r="L289" s="34"/>
      <c r="M289" s="34"/>
      <c r="N289" s="34"/>
      <c r="O289" s="34"/>
      <c r="P289" s="33"/>
      <c r="Q289" s="35"/>
      <c r="R289" s="33"/>
      <c r="S289" s="33"/>
      <c r="T289" s="33"/>
      <c r="U289" s="33"/>
      <c r="V289" s="33"/>
      <c r="W289" s="33"/>
    </row>
    <row r="290" customFormat="false" ht="15" hidden="false" customHeight="false" outlineLevel="0" collapsed="false">
      <c r="A290" s="33"/>
      <c r="B290" s="33"/>
      <c r="C290" s="33"/>
      <c r="D290" s="33"/>
      <c r="E290" s="33"/>
      <c r="F290" s="33"/>
      <c r="G290" s="33"/>
      <c r="H290" s="33"/>
      <c r="I290" s="33"/>
      <c r="J290" s="33"/>
      <c r="K290" s="33"/>
      <c r="L290" s="34"/>
      <c r="M290" s="34"/>
      <c r="N290" s="34"/>
      <c r="O290" s="34"/>
      <c r="P290" s="33"/>
      <c r="Q290" s="35"/>
      <c r="R290" s="33"/>
      <c r="S290" s="33"/>
      <c r="T290" s="33"/>
      <c r="U290" s="33"/>
      <c r="V290" s="33"/>
      <c r="W290" s="33"/>
    </row>
    <row r="291" customFormat="false" ht="15" hidden="false" customHeight="false" outlineLevel="0" collapsed="false">
      <c r="A291" s="33"/>
      <c r="B291" s="33"/>
      <c r="C291" s="33"/>
      <c r="D291" s="33"/>
      <c r="E291" s="33"/>
      <c r="F291" s="33"/>
      <c r="G291" s="33"/>
      <c r="H291" s="33"/>
      <c r="I291" s="33"/>
      <c r="J291" s="33"/>
      <c r="K291" s="33"/>
      <c r="L291" s="34"/>
      <c r="M291" s="34"/>
      <c r="N291" s="34"/>
      <c r="O291" s="34"/>
      <c r="P291" s="33"/>
      <c r="Q291" s="35"/>
      <c r="R291" s="33"/>
      <c r="S291" s="33"/>
      <c r="T291" s="33"/>
      <c r="U291" s="33"/>
      <c r="V291" s="33"/>
      <c r="W291" s="33"/>
    </row>
    <row r="292" customFormat="false" ht="15" hidden="false" customHeight="false" outlineLevel="0" collapsed="false">
      <c r="A292" s="33"/>
      <c r="B292" s="33"/>
      <c r="C292" s="33"/>
      <c r="D292" s="33"/>
      <c r="E292" s="33"/>
      <c r="F292" s="33"/>
      <c r="G292" s="33"/>
      <c r="H292" s="33"/>
      <c r="I292" s="33"/>
      <c r="J292" s="33"/>
      <c r="K292" s="33"/>
      <c r="L292" s="34"/>
      <c r="M292" s="34"/>
      <c r="N292" s="34"/>
      <c r="O292" s="34"/>
      <c r="P292" s="33"/>
      <c r="Q292" s="35"/>
      <c r="R292" s="33"/>
      <c r="S292" s="33"/>
      <c r="T292" s="33"/>
      <c r="U292" s="33"/>
      <c r="V292" s="33"/>
      <c r="W292" s="33"/>
    </row>
    <row r="293" customFormat="false" ht="15" hidden="false" customHeight="false" outlineLevel="0" collapsed="false">
      <c r="A293" s="33"/>
      <c r="B293" s="33"/>
      <c r="C293" s="33"/>
      <c r="D293" s="33"/>
      <c r="E293" s="33"/>
      <c r="F293" s="33"/>
      <c r="G293" s="33"/>
      <c r="H293" s="33"/>
      <c r="I293" s="33"/>
      <c r="J293" s="33"/>
      <c r="K293" s="33"/>
      <c r="L293" s="34"/>
      <c r="M293" s="34"/>
      <c r="N293" s="34"/>
      <c r="O293" s="34"/>
      <c r="P293" s="33"/>
      <c r="Q293" s="35"/>
      <c r="R293" s="33"/>
      <c r="S293" s="33"/>
      <c r="T293" s="33"/>
      <c r="U293" s="33"/>
      <c r="V293" s="33"/>
      <c r="W293" s="33"/>
    </row>
    <row r="294" customFormat="false" ht="15" hidden="false" customHeight="false" outlineLevel="0" collapsed="false">
      <c r="A294" s="33"/>
      <c r="B294" s="33"/>
      <c r="C294" s="33"/>
      <c r="D294" s="33"/>
      <c r="E294" s="33"/>
      <c r="F294" s="33"/>
      <c r="G294" s="33"/>
      <c r="H294" s="33"/>
      <c r="I294" s="33"/>
      <c r="J294" s="33"/>
      <c r="K294" s="33"/>
      <c r="L294" s="34"/>
      <c r="M294" s="34"/>
      <c r="N294" s="34"/>
      <c r="O294" s="34"/>
      <c r="P294" s="33"/>
      <c r="Q294" s="35"/>
      <c r="R294" s="33"/>
      <c r="S294" s="33"/>
      <c r="T294" s="33"/>
      <c r="U294" s="33"/>
      <c r="V294" s="33"/>
      <c r="W294" s="33"/>
    </row>
    <row r="295" customFormat="false" ht="15" hidden="false" customHeight="false" outlineLevel="0" collapsed="false">
      <c r="A295" s="33"/>
      <c r="B295" s="33"/>
      <c r="C295" s="33"/>
      <c r="D295" s="33"/>
      <c r="E295" s="33"/>
      <c r="F295" s="33"/>
      <c r="G295" s="33"/>
      <c r="H295" s="33"/>
      <c r="I295" s="33"/>
      <c r="J295" s="33"/>
      <c r="K295" s="33"/>
      <c r="L295" s="34"/>
      <c r="M295" s="34"/>
      <c r="N295" s="34"/>
      <c r="O295" s="34"/>
      <c r="P295" s="33"/>
      <c r="Q295" s="35"/>
      <c r="R295" s="33"/>
      <c r="S295" s="33"/>
      <c r="T295" s="33"/>
      <c r="U295" s="33"/>
      <c r="V295" s="33"/>
      <c r="W295" s="33"/>
    </row>
    <row r="296" customFormat="false" ht="15" hidden="false" customHeight="false" outlineLevel="0" collapsed="false">
      <c r="A296" s="33"/>
      <c r="B296" s="33"/>
      <c r="C296" s="33"/>
      <c r="D296" s="33"/>
      <c r="E296" s="33"/>
      <c r="F296" s="33"/>
      <c r="G296" s="33"/>
      <c r="H296" s="33"/>
      <c r="I296" s="33"/>
      <c r="J296" s="33"/>
      <c r="K296" s="33"/>
      <c r="L296" s="34"/>
      <c r="M296" s="34"/>
      <c r="N296" s="34"/>
      <c r="O296" s="34"/>
      <c r="P296" s="33"/>
      <c r="Q296" s="35"/>
      <c r="R296" s="33"/>
      <c r="S296" s="33"/>
      <c r="T296" s="33"/>
      <c r="U296" s="33"/>
      <c r="V296" s="33"/>
      <c r="W296" s="33"/>
    </row>
    <row r="297" customFormat="false" ht="15" hidden="false" customHeight="false" outlineLevel="0" collapsed="false">
      <c r="A297" s="33"/>
      <c r="B297" s="33"/>
      <c r="C297" s="33"/>
      <c r="D297" s="33"/>
      <c r="E297" s="33"/>
      <c r="F297" s="33"/>
      <c r="G297" s="33"/>
      <c r="H297" s="33"/>
      <c r="I297" s="33"/>
      <c r="J297" s="33"/>
      <c r="K297" s="33"/>
      <c r="L297" s="34"/>
      <c r="M297" s="34"/>
      <c r="N297" s="34"/>
      <c r="O297" s="34"/>
      <c r="P297" s="33"/>
      <c r="Q297" s="35"/>
      <c r="R297" s="33"/>
      <c r="S297" s="33"/>
      <c r="T297" s="33"/>
      <c r="U297" s="33"/>
      <c r="V297" s="33"/>
      <c r="W297" s="33"/>
    </row>
    <row r="298" customFormat="false" ht="15" hidden="false" customHeight="false" outlineLevel="0" collapsed="false">
      <c r="A298" s="33"/>
      <c r="B298" s="33"/>
      <c r="C298" s="33"/>
      <c r="D298" s="33"/>
      <c r="E298" s="33"/>
      <c r="F298" s="33"/>
      <c r="G298" s="33"/>
      <c r="H298" s="33"/>
      <c r="I298" s="33"/>
      <c r="J298" s="33"/>
      <c r="K298" s="33"/>
      <c r="L298" s="34"/>
      <c r="M298" s="34"/>
      <c r="N298" s="34"/>
      <c r="O298" s="34"/>
      <c r="P298" s="33"/>
      <c r="Q298" s="35"/>
      <c r="R298" s="33"/>
      <c r="S298" s="33"/>
      <c r="T298" s="33"/>
      <c r="U298" s="33"/>
      <c r="V298" s="33"/>
      <c r="W298" s="33"/>
    </row>
    <row r="299" customFormat="false" ht="15" hidden="false" customHeight="false" outlineLevel="0" collapsed="false">
      <c r="A299" s="33"/>
      <c r="B299" s="33"/>
      <c r="C299" s="33"/>
      <c r="D299" s="33"/>
      <c r="E299" s="33"/>
      <c r="F299" s="33"/>
      <c r="G299" s="33"/>
      <c r="H299" s="33"/>
      <c r="I299" s="33"/>
      <c r="J299" s="33"/>
      <c r="K299" s="33"/>
      <c r="L299" s="34"/>
      <c r="M299" s="34"/>
      <c r="N299" s="34"/>
      <c r="O299" s="34"/>
      <c r="P299" s="33"/>
      <c r="Q299" s="35"/>
      <c r="R299" s="33"/>
      <c r="S299" s="33"/>
      <c r="T299" s="33"/>
      <c r="U299" s="33"/>
      <c r="V299" s="33"/>
      <c r="W299" s="33"/>
    </row>
    <row r="300" customFormat="false" ht="15" hidden="false" customHeight="false" outlineLevel="0" collapsed="false">
      <c r="A300" s="33"/>
      <c r="B300" s="33"/>
      <c r="C300" s="33"/>
      <c r="D300" s="33"/>
      <c r="E300" s="33"/>
      <c r="F300" s="33"/>
      <c r="G300" s="33"/>
      <c r="H300" s="33"/>
      <c r="I300" s="33"/>
      <c r="J300" s="33"/>
      <c r="K300" s="33"/>
      <c r="L300" s="34"/>
      <c r="M300" s="34"/>
      <c r="N300" s="34"/>
      <c r="O300" s="34"/>
      <c r="P300" s="33"/>
      <c r="Q300" s="35"/>
      <c r="R300" s="33"/>
      <c r="S300" s="33"/>
      <c r="T300" s="33"/>
      <c r="U300" s="33"/>
      <c r="V300" s="33"/>
      <c r="W300" s="33"/>
    </row>
  </sheetData>
  <autoFilter ref="A4:W12"/>
  <mergeCells count="6">
    <mergeCell ref="A3:C3"/>
    <mergeCell ref="D3:H3"/>
    <mergeCell ref="I3:O3"/>
    <mergeCell ref="P3:R3"/>
    <mergeCell ref="S3:U3"/>
    <mergeCell ref="V3:W3"/>
  </mergeCells>
  <conditionalFormatting sqref="P5:P300">
    <cfRule type="expression" priority="2" aboveAverage="0" equalAverage="0" bottom="0" percent="0" rank="0" text="" dxfId="5">
      <formula>$P5="AVL"</formula>
    </cfRule>
    <cfRule type="expression" priority="3" aboveAverage="0" equalAverage="0" bottom="0" percent="0" rank="0" text="" dxfId="6">
      <formula>$P5="Qualified"</formula>
    </cfRule>
    <cfRule type="expression" priority="4" aboveAverage="0" equalAverage="0" bottom="0" percent="0" rank="0" text="" dxfId="7">
      <formula>$P5="Prequalified"</formula>
    </cfRule>
    <cfRule type="expression" priority="5" aboveAverage="0" equalAverage="0" bottom="0" percent="0" rank="0" text="" dxfId="8">
      <formula>$P5="On Hold"</formula>
    </cfRule>
    <cfRule type="expression" priority="6" aboveAverage="0" equalAverage="0" bottom="0" percent="0" rank="0" text="" dxfId="9">
      <formula>$P5="Disqualified"</formula>
    </cfRule>
  </conditionalFormatting>
  <conditionalFormatting sqref="W5:W300">
    <cfRule type="expression" priority="7" aboveAverage="0" equalAverage="0" bottom="0" percent="0" rank="0" text="" dxfId="9">
      <formula>$W5="High"</formula>
    </cfRule>
    <cfRule type="expression" priority="8" aboveAverage="0" equalAverage="0" bottom="0" percent="0" rank="0" text="" dxfId="10">
      <formula>$W5="FEOC Review"</formula>
    </cfRule>
    <cfRule type="expression" priority="9" aboveAverage="0" equalAverage="0" bottom="0" percent="0" rank="0" text="" dxfId="8">
      <formula>$W5="Medium"</formula>
    </cfRule>
    <cfRule type="expression" priority="10" aboveAverage="0" equalAverage="0" bottom="0" percent="0" rank="0" text="" dxfId="5">
      <formula>$W5="Low"</formula>
    </cfRule>
  </conditionalFormatting>
  <dataValidations count="5">
    <dataValidation allowBlank="true" error="Pick a value from the list (edit the Lists tab to change options)." errorStyle="stop" errorTitle="Invalid entry" operator="between" showDropDown="false" showErrorMessage="true" showInputMessage="false" sqref="P5:P300" type="list">
      <formula1>lst_status</formula1>
      <formula2>0</formula2>
    </dataValidation>
    <dataValidation allowBlank="true" error="Pick a value from the list (edit the Lists tab to change options)." errorStyle="stop" errorTitle="Invalid entry" operator="between" showDropDown="false" showErrorMessage="true" showInputMessage="false" sqref="R5:R300" type="list">
      <formula1>lst_rfx</formula1>
      <formula2>0</formula2>
    </dataValidation>
    <dataValidation allowBlank="true" error="Pick a value from the list (edit the Lists tab to change options)." errorStyle="stop" errorTitle="Invalid entry" operator="between" showDropDown="false" showErrorMessage="true" showInputMessage="false" sqref="T5:T300" type="list">
      <formula1>lst_fin</formula1>
      <formula2>0</formula2>
    </dataValidation>
    <dataValidation allowBlank="true" error="Pick a value from the list (edit the Lists tab to change options)." errorStyle="stop" errorTitle="Invalid entry" operator="between" showDropDown="false" showErrorMessage="true" showInputMessage="false" sqref="W5:W300" type="list">
      <formula1>lst_scr</formula1>
      <formula2>0</formula2>
    </dataValidation>
    <dataValidation allowBlank="true" error="Enter a date (yyyy-mm-dd)." errorStyle="stop" operator="greaterThan" showDropDown="false" showErrorMessage="true" showInputMessage="false" sqref="Q5:Q300" type="date">
      <formula1>DATE(2020,1,1)</formula1>
      <formula2>0</formula2>
    </dataValidation>
  </dataValidations>
  <hyperlinks>
    <hyperlink ref="I5" r:id="rId2" display="https://www.powereng.com/"/>
    <hyperlink ref="I6" r:id="rId3" display="https://www.burnsmcd.com/"/>
    <hyperlink ref="K6" r:id="rId4" display="https://info.burnsmcd.com/contact-us"/>
    <hyperlink ref="I7" r:id="rId5" display="https://www.sargentlundy.com/"/>
    <hyperlink ref="K7" r:id="rId6" display="https://www.sargentlundy.com/contact-us"/>
    <hyperlink ref="I8" r:id="rId7" display="https://www.bv.com/"/>
    <hyperlink ref="K8" r:id="rId8" display="https://www.bv.com/contact-us"/>
    <hyperlink ref="I9" r:id="rId9" display="https://epeconsulting.com/"/>
    <hyperlink ref="K9" r:id="rId10" display="https://epeconsulting.com/contact"/>
    <hyperlink ref="I10" r:id="rId11" display="https://www.trccompanies.com/"/>
    <hyperlink ref="K10" r:id="rId12" display="https://www.trccompanies.com/contact-us/"/>
    <hyperlink ref="I11" r:id="rId13" display="https://www.leidos.com/"/>
    <hyperlink ref="K11" r:id="rId14" display="https://www.leidos.com/contact-us"/>
    <hyperlink ref="I12" r:id="rId15" display="https://eciusa.c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6"/>
  <legacyDrawing r:id="rId17"/>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C8A"/>
    <pageSetUpPr fitToPage="false"/>
  </sheetPr>
  <dimension ref="A1:W30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40"/>
    <col collapsed="false" customWidth="true" hidden="false" outlineLevel="0" max="4" min="4" style="0" width="15"/>
    <col collapsed="false" customWidth="true" hidden="false" outlineLevel="0" max="5" min="5" style="0" width="11"/>
    <col collapsed="false" customWidth="true" hidden="false" outlineLevel="0" max="6" min="6" style="0" width="13"/>
    <col collapsed="false" customWidth="true" hidden="false" outlineLevel="0" max="7" min="7" style="0" width="18"/>
    <col collapsed="false" customWidth="true" hidden="false" outlineLevel="0" max="9" min="8" style="0" width="28"/>
    <col collapsed="false" customWidth="true" hidden="false" outlineLevel="0" max="10" min="10" style="0" width="18"/>
    <col collapsed="false" customWidth="true" hidden="false" outlineLevel="0" max="11" min="11" style="0" width="28"/>
    <col collapsed="false" customWidth="true" hidden="false" outlineLevel="0" max="12" min="12" style="0" width="20"/>
    <col collapsed="false" customWidth="true" hidden="false" outlineLevel="0" max="13" min="13" style="0" width="18"/>
    <col collapsed="false" customWidth="true" hidden="false" outlineLevel="0" max="14" min="14" style="0" width="24"/>
    <col collapsed="false" customWidth="true" hidden="false" outlineLevel="0" max="16" min="15" style="0" width="15"/>
    <col collapsed="false" customWidth="true" hidden="false" outlineLevel="0" max="17" min="17" style="0" width="12"/>
    <col collapsed="false" customWidth="true" hidden="false" outlineLevel="0" max="18" min="18" style="0" width="14"/>
    <col collapsed="false" customWidth="true" hidden="false" outlineLevel="0" max="19" min="19" style="0" width="24"/>
    <col collapsed="false" customWidth="true" hidden="false" outlineLevel="0" max="20" min="20" style="0" width="13"/>
    <col collapsed="false" customWidth="true" hidden="false" outlineLevel="0" max="22" min="21" style="0" width="45"/>
    <col collapsed="false" customWidth="true" hidden="false" outlineLevel="0" max="23" min="23" style="0" width="13"/>
  </cols>
  <sheetData>
    <row r="1" customFormat="false" ht="17.35" hidden="false" customHeight="false" outlineLevel="0" collapsed="false">
      <c r="A1" s="16" t="s">
        <v>368</v>
      </c>
    </row>
    <row r="2" customFormat="false" ht="15" hidden="false" customHeight="false" outlineLevel="0" collapsed="false">
      <c r="A2" s="2" t="s">
        <v>87</v>
      </c>
    </row>
    <row r="3" customFormat="false" ht="15" hidden="false" customHeight="false" outlineLevel="0" collapsed="false">
      <c r="A3" s="22" t="s">
        <v>58</v>
      </c>
      <c r="B3" s="22"/>
      <c r="C3" s="22"/>
      <c r="D3" s="23" t="s">
        <v>60</v>
      </c>
      <c r="E3" s="23"/>
      <c r="F3" s="23"/>
      <c r="G3" s="23"/>
      <c r="H3" s="23"/>
      <c r="I3" s="24" t="s">
        <v>61</v>
      </c>
      <c r="J3" s="24"/>
      <c r="K3" s="24"/>
      <c r="L3" s="24"/>
      <c r="M3" s="24"/>
      <c r="N3" s="24"/>
      <c r="O3" s="24"/>
      <c r="P3" s="25" t="s">
        <v>62</v>
      </c>
      <c r="Q3" s="25"/>
      <c r="R3" s="25"/>
      <c r="S3" s="26" t="s">
        <v>32</v>
      </c>
      <c r="T3" s="26"/>
      <c r="U3" s="26"/>
      <c r="V3" s="27" t="s">
        <v>34</v>
      </c>
      <c r="W3" s="27"/>
    </row>
    <row r="4" customFormat="false" ht="31.5" hidden="false" customHeight="true" outlineLevel="0" collapsed="false">
      <c r="A4" s="28" t="s">
        <v>88</v>
      </c>
      <c r="B4" s="28" t="s">
        <v>89</v>
      </c>
      <c r="C4" s="28" t="s">
        <v>369</v>
      </c>
      <c r="D4" s="28" t="s">
        <v>91</v>
      </c>
      <c r="E4" s="28" t="s">
        <v>92</v>
      </c>
      <c r="F4" s="28" t="s">
        <v>93</v>
      </c>
      <c r="G4" s="28" t="s">
        <v>94</v>
      </c>
      <c r="H4" s="28" t="s">
        <v>95</v>
      </c>
      <c r="I4" s="28" t="s">
        <v>96</v>
      </c>
      <c r="J4" s="28" t="s">
        <v>97</v>
      </c>
      <c r="K4" s="28" t="s">
        <v>98</v>
      </c>
      <c r="L4" s="28" t="s">
        <v>99</v>
      </c>
      <c r="M4" s="28" t="s">
        <v>100</v>
      </c>
      <c r="N4" s="28" t="s">
        <v>101</v>
      </c>
      <c r="O4" s="28" t="s">
        <v>102</v>
      </c>
      <c r="P4" s="28" t="s">
        <v>103</v>
      </c>
      <c r="Q4" s="28" t="s">
        <v>104</v>
      </c>
      <c r="R4" s="28" t="s">
        <v>105</v>
      </c>
      <c r="S4" s="28" t="s">
        <v>106</v>
      </c>
      <c r="T4" s="28" t="s">
        <v>41</v>
      </c>
      <c r="U4" s="28" t="s">
        <v>107</v>
      </c>
      <c r="V4" s="28" t="s">
        <v>108</v>
      </c>
      <c r="W4" s="28" t="s">
        <v>109</v>
      </c>
    </row>
    <row r="5" customFormat="false" ht="53.7" hidden="false" customHeight="false" outlineLevel="0" collapsed="false">
      <c r="A5" s="29" t="s">
        <v>370</v>
      </c>
      <c r="B5" s="29" t="s">
        <v>371</v>
      </c>
      <c r="C5" s="29" t="s">
        <v>372</v>
      </c>
      <c r="D5" s="29" t="s">
        <v>373</v>
      </c>
      <c r="E5" s="29" t="s">
        <v>374</v>
      </c>
      <c r="F5" s="29" t="s">
        <v>127</v>
      </c>
      <c r="G5" s="29"/>
      <c r="H5" s="29"/>
      <c r="I5" s="30" t="s">
        <v>375</v>
      </c>
      <c r="J5" s="29"/>
      <c r="K5" s="30" t="s">
        <v>376</v>
      </c>
      <c r="L5" s="31"/>
      <c r="M5" s="31"/>
      <c r="N5" s="31"/>
      <c r="O5" s="31"/>
      <c r="P5" s="29" t="s">
        <v>19</v>
      </c>
      <c r="Q5" s="32" t="n">
        <v>46300</v>
      </c>
      <c r="R5" s="29" t="s">
        <v>117</v>
      </c>
      <c r="S5" s="29" t="s">
        <v>377</v>
      </c>
      <c r="T5" s="29" t="s">
        <v>119</v>
      </c>
      <c r="U5" s="29" t="s">
        <v>378</v>
      </c>
      <c r="V5" s="29" t="s">
        <v>379</v>
      </c>
      <c r="W5" s="29" t="s">
        <v>119</v>
      </c>
    </row>
    <row r="6" customFormat="false" ht="32.8" hidden="false" customHeight="false" outlineLevel="0" collapsed="false">
      <c r="A6" s="29" t="s">
        <v>380</v>
      </c>
      <c r="B6" s="29" t="s">
        <v>381</v>
      </c>
      <c r="C6" s="29" t="s">
        <v>382</v>
      </c>
      <c r="D6" s="29"/>
      <c r="E6" s="29"/>
      <c r="F6" s="29"/>
      <c r="G6" s="29"/>
      <c r="H6" s="29"/>
      <c r="I6" s="30" t="s">
        <v>383</v>
      </c>
      <c r="J6" s="29" t="s">
        <v>384</v>
      </c>
      <c r="K6" s="30" t="s">
        <v>385</v>
      </c>
      <c r="L6" s="31"/>
      <c r="M6" s="31"/>
      <c r="N6" s="31"/>
      <c r="O6" s="31"/>
      <c r="P6" s="29" t="s">
        <v>19</v>
      </c>
      <c r="Q6" s="32" t="n">
        <v>46300</v>
      </c>
      <c r="R6" s="29" t="s">
        <v>117</v>
      </c>
      <c r="S6" s="29"/>
      <c r="T6" s="29" t="s">
        <v>119</v>
      </c>
      <c r="U6" s="29"/>
      <c r="V6" s="29" t="s">
        <v>386</v>
      </c>
      <c r="W6" s="29" t="s">
        <v>119</v>
      </c>
    </row>
    <row r="7" customFormat="false" ht="43.25" hidden="false" customHeight="false" outlineLevel="0" collapsed="false">
      <c r="A7" s="29" t="s">
        <v>387</v>
      </c>
      <c r="B7" s="29" t="s">
        <v>388</v>
      </c>
      <c r="C7" s="29" t="s">
        <v>389</v>
      </c>
      <c r="D7" s="29" t="s">
        <v>390</v>
      </c>
      <c r="E7" s="29" t="s">
        <v>374</v>
      </c>
      <c r="F7" s="29" t="s">
        <v>127</v>
      </c>
      <c r="G7" s="29"/>
      <c r="H7" s="29"/>
      <c r="I7" s="30" t="s">
        <v>391</v>
      </c>
      <c r="J7" s="29" t="s">
        <v>392</v>
      </c>
      <c r="K7" s="30" t="s">
        <v>393</v>
      </c>
      <c r="L7" s="31"/>
      <c r="M7" s="31"/>
      <c r="N7" s="31"/>
      <c r="O7" s="31"/>
      <c r="P7" s="29" t="s">
        <v>19</v>
      </c>
      <c r="Q7" s="32" t="n">
        <v>46300</v>
      </c>
      <c r="R7" s="29" t="s">
        <v>117</v>
      </c>
      <c r="S7" s="29"/>
      <c r="T7" s="29" t="s">
        <v>119</v>
      </c>
      <c r="U7" s="29"/>
      <c r="V7" s="29" t="s">
        <v>394</v>
      </c>
      <c r="W7" s="29" t="s">
        <v>119</v>
      </c>
    </row>
    <row r="8" customFormat="false" ht="32.8" hidden="false" customHeight="false" outlineLevel="0" collapsed="false">
      <c r="A8" s="29" t="s">
        <v>395</v>
      </c>
      <c r="B8" s="29" t="s">
        <v>396</v>
      </c>
      <c r="C8" s="29" t="s">
        <v>397</v>
      </c>
      <c r="D8" s="29" t="s">
        <v>171</v>
      </c>
      <c r="E8" s="29" t="s">
        <v>172</v>
      </c>
      <c r="F8" s="29" t="s">
        <v>127</v>
      </c>
      <c r="G8" s="29"/>
      <c r="H8" s="29" t="s">
        <v>398</v>
      </c>
      <c r="I8" s="30" t="s">
        <v>399</v>
      </c>
      <c r="J8" s="29" t="s">
        <v>400</v>
      </c>
      <c r="K8" s="30" t="s">
        <v>401</v>
      </c>
      <c r="L8" s="31"/>
      <c r="M8" s="31"/>
      <c r="N8" s="31"/>
      <c r="O8" s="31"/>
      <c r="P8" s="29" t="s">
        <v>19</v>
      </c>
      <c r="Q8" s="32" t="n">
        <v>46300</v>
      </c>
      <c r="R8" s="29" t="s">
        <v>117</v>
      </c>
      <c r="S8" s="29" t="s">
        <v>402</v>
      </c>
      <c r="T8" s="29" t="s">
        <v>119</v>
      </c>
      <c r="U8" s="29"/>
      <c r="V8" s="29" t="s">
        <v>403</v>
      </c>
      <c r="W8" s="29" t="s">
        <v>119</v>
      </c>
    </row>
    <row r="9" customFormat="false" ht="32.8" hidden="false" customHeight="false" outlineLevel="0" collapsed="false">
      <c r="A9" s="29" t="s">
        <v>404</v>
      </c>
      <c r="B9" s="29" t="s">
        <v>405</v>
      </c>
      <c r="C9" s="29" t="s">
        <v>406</v>
      </c>
      <c r="D9" s="29" t="s">
        <v>407</v>
      </c>
      <c r="E9" s="29"/>
      <c r="F9" s="29" t="s">
        <v>408</v>
      </c>
      <c r="G9" s="29"/>
      <c r="H9" s="29" t="s">
        <v>409</v>
      </c>
      <c r="I9" s="30" t="s">
        <v>410</v>
      </c>
      <c r="J9" s="29"/>
      <c r="K9" s="30" t="s">
        <v>411</v>
      </c>
      <c r="L9" s="31"/>
      <c r="M9" s="31"/>
      <c r="N9" s="31"/>
      <c r="O9" s="31"/>
      <c r="P9" s="29" t="s">
        <v>19</v>
      </c>
      <c r="Q9" s="32" t="n">
        <v>46300</v>
      </c>
      <c r="R9" s="29" t="s">
        <v>117</v>
      </c>
      <c r="S9" s="29" t="s">
        <v>412</v>
      </c>
      <c r="T9" s="29" t="s">
        <v>119</v>
      </c>
      <c r="U9" s="29" t="s">
        <v>413</v>
      </c>
      <c r="V9" s="29" t="s">
        <v>414</v>
      </c>
      <c r="W9" s="29" t="s">
        <v>119</v>
      </c>
    </row>
    <row r="10" customFormat="false" ht="32.8" hidden="false" customHeight="false" outlineLevel="0" collapsed="false">
      <c r="A10" s="29" t="s">
        <v>415</v>
      </c>
      <c r="B10" s="29" t="s">
        <v>416</v>
      </c>
      <c r="C10" s="29" t="s">
        <v>417</v>
      </c>
      <c r="D10" s="29" t="s">
        <v>418</v>
      </c>
      <c r="E10" s="29" t="s">
        <v>282</v>
      </c>
      <c r="F10" s="29" t="s">
        <v>127</v>
      </c>
      <c r="G10" s="29"/>
      <c r="H10" s="29" t="s">
        <v>419</v>
      </c>
      <c r="I10" s="30" t="s">
        <v>420</v>
      </c>
      <c r="J10" s="29" t="s">
        <v>421</v>
      </c>
      <c r="K10" s="30" t="s">
        <v>422</v>
      </c>
      <c r="L10" s="31"/>
      <c r="M10" s="31"/>
      <c r="N10" s="31"/>
      <c r="O10" s="31"/>
      <c r="P10" s="29" t="s">
        <v>19</v>
      </c>
      <c r="Q10" s="32" t="n">
        <v>46300</v>
      </c>
      <c r="R10" s="29" t="s">
        <v>117</v>
      </c>
      <c r="S10" s="29" t="s">
        <v>423</v>
      </c>
      <c r="T10" s="29" t="s">
        <v>119</v>
      </c>
      <c r="U10" s="29" t="s">
        <v>424</v>
      </c>
      <c r="V10" s="29" t="s">
        <v>425</v>
      </c>
      <c r="W10" s="29" t="s">
        <v>119</v>
      </c>
    </row>
    <row r="11" customFormat="false" ht="32.8" hidden="false" customHeight="false" outlineLevel="0" collapsed="false">
      <c r="A11" s="29" t="s">
        <v>426</v>
      </c>
      <c r="B11" s="29" t="s">
        <v>427</v>
      </c>
      <c r="C11" s="29" t="s">
        <v>428</v>
      </c>
      <c r="D11" s="29" t="s">
        <v>429</v>
      </c>
      <c r="E11" s="29" t="s">
        <v>126</v>
      </c>
      <c r="F11" s="29" t="s">
        <v>127</v>
      </c>
      <c r="G11" s="29"/>
      <c r="H11" s="29" t="s">
        <v>271</v>
      </c>
      <c r="I11" s="30" t="s">
        <v>430</v>
      </c>
      <c r="J11" s="29" t="s">
        <v>431</v>
      </c>
      <c r="K11" s="29"/>
      <c r="L11" s="31"/>
      <c r="M11" s="31"/>
      <c r="N11" s="31"/>
      <c r="O11" s="31"/>
      <c r="P11" s="29" t="s">
        <v>19</v>
      </c>
      <c r="Q11" s="32" t="n">
        <v>46300</v>
      </c>
      <c r="R11" s="29" t="s">
        <v>117</v>
      </c>
      <c r="S11" s="29" t="s">
        <v>432</v>
      </c>
      <c r="T11" s="29" t="s">
        <v>119</v>
      </c>
      <c r="U11" s="29" t="s">
        <v>433</v>
      </c>
      <c r="V11" s="29" t="s">
        <v>434</v>
      </c>
      <c r="W11" s="29" t="s">
        <v>119</v>
      </c>
    </row>
    <row r="12" customFormat="false" ht="15" hidden="false" customHeight="false" outlineLevel="0" collapsed="false">
      <c r="A12" s="29"/>
      <c r="B12" s="29"/>
      <c r="C12" s="29"/>
      <c r="D12" s="29"/>
      <c r="E12" s="29"/>
      <c r="F12" s="29"/>
      <c r="G12" s="29"/>
      <c r="H12" s="29"/>
      <c r="I12" s="29"/>
      <c r="J12" s="29"/>
      <c r="K12" s="29"/>
      <c r="L12" s="31"/>
      <c r="M12" s="31"/>
      <c r="N12" s="31"/>
      <c r="O12" s="31"/>
      <c r="P12" s="29"/>
      <c r="Q12" s="32"/>
      <c r="R12" s="29"/>
      <c r="S12" s="29"/>
      <c r="T12" s="29"/>
      <c r="U12" s="29"/>
      <c r="V12" s="29"/>
      <c r="W12" s="29"/>
    </row>
    <row r="13" customFormat="false" ht="15" hidden="false" customHeight="false" outlineLevel="0" collapsed="false">
      <c r="A13" s="29"/>
      <c r="B13" s="29"/>
      <c r="C13" s="29"/>
      <c r="D13" s="29"/>
      <c r="E13" s="29"/>
      <c r="F13" s="29"/>
      <c r="G13" s="29"/>
      <c r="H13" s="29"/>
      <c r="I13" s="29"/>
      <c r="J13" s="29"/>
      <c r="K13" s="29"/>
      <c r="L13" s="31"/>
      <c r="M13" s="31"/>
      <c r="N13" s="31"/>
      <c r="O13" s="31"/>
      <c r="P13" s="29"/>
      <c r="Q13" s="32"/>
      <c r="R13" s="29"/>
      <c r="S13" s="29"/>
      <c r="T13" s="29"/>
      <c r="U13" s="29"/>
      <c r="V13" s="29"/>
      <c r="W13" s="29"/>
    </row>
    <row r="14" customFormat="false" ht="15" hidden="false" customHeight="false" outlineLevel="0" collapsed="false">
      <c r="A14" s="29"/>
      <c r="B14" s="29"/>
      <c r="C14" s="29"/>
      <c r="D14" s="29"/>
      <c r="E14" s="29"/>
      <c r="F14" s="29"/>
      <c r="G14" s="29"/>
      <c r="H14" s="29"/>
      <c r="I14" s="29"/>
      <c r="J14" s="29"/>
      <c r="K14" s="29"/>
      <c r="L14" s="31"/>
      <c r="M14" s="31"/>
      <c r="N14" s="31"/>
      <c r="O14" s="31"/>
      <c r="P14" s="29"/>
      <c r="Q14" s="32"/>
      <c r="R14" s="29"/>
      <c r="S14" s="29"/>
      <c r="T14" s="29"/>
      <c r="U14" s="29"/>
      <c r="V14" s="29"/>
      <c r="W14" s="29"/>
    </row>
    <row r="15" customFormat="false" ht="15" hidden="false" customHeight="false" outlineLevel="0" collapsed="false">
      <c r="A15" s="29"/>
      <c r="B15" s="29"/>
      <c r="C15" s="29"/>
      <c r="D15" s="29"/>
      <c r="E15" s="29"/>
      <c r="F15" s="29"/>
      <c r="G15" s="29"/>
      <c r="H15" s="29"/>
      <c r="I15" s="29"/>
      <c r="J15" s="29"/>
      <c r="K15" s="29"/>
      <c r="L15" s="31"/>
      <c r="M15" s="31"/>
      <c r="N15" s="31"/>
      <c r="O15" s="31"/>
      <c r="P15" s="29"/>
      <c r="Q15" s="32"/>
      <c r="R15" s="29"/>
      <c r="S15" s="29"/>
      <c r="T15" s="29"/>
      <c r="U15" s="29"/>
      <c r="V15" s="29"/>
      <c r="W15" s="29"/>
    </row>
    <row r="16" customFormat="false" ht="15" hidden="false" customHeight="false" outlineLevel="0" collapsed="false">
      <c r="A16" s="29"/>
      <c r="B16" s="29"/>
      <c r="C16" s="29"/>
      <c r="D16" s="29"/>
      <c r="E16" s="29"/>
      <c r="F16" s="29"/>
      <c r="G16" s="29"/>
      <c r="H16" s="29"/>
      <c r="I16" s="29"/>
      <c r="J16" s="29"/>
      <c r="K16" s="29"/>
      <c r="L16" s="31"/>
      <c r="M16" s="31"/>
      <c r="N16" s="31"/>
      <c r="O16" s="31"/>
      <c r="P16" s="29"/>
      <c r="Q16" s="32"/>
      <c r="R16" s="29"/>
      <c r="S16" s="29"/>
      <c r="T16" s="29"/>
      <c r="U16" s="29"/>
      <c r="V16" s="29"/>
      <c r="W16" s="29"/>
    </row>
    <row r="17" customFormat="false" ht="15" hidden="false" customHeight="false" outlineLevel="0" collapsed="false">
      <c r="A17" s="29"/>
      <c r="B17" s="29"/>
      <c r="C17" s="29"/>
      <c r="D17" s="29"/>
      <c r="E17" s="29"/>
      <c r="F17" s="29"/>
      <c r="G17" s="29"/>
      <c r="H17" s="29"/>
      <c r="I17" s="29"/>
      <c r="J17" s="29"/>
      <c r="K17" s="29"/>
      <c r="L17" s="31"/>
      <c r="M17" s="31"/>
      <c r="N17" s="31"/>
      <c r="O17" s="31"/>
      <c r="P17" s="29"/>
      <c r="Q17" s="32"/>
      <c r="R17" s="29"/>
      <c r="S17" s="29"/>
      <c r="T17" s="29"/>
      <c r="U17" s="29"/>
      <c r="V17" s="29"/>
      <c r="W17" s="29"/>
    </row>
    <row r="18" customFormat="false" ht="15" hidden="false" customHeight="false" outlineLevel="0" collapsed="false">
      <c r="A18" s="29"/>
      <c r="B18" s="29"/>
      <c r="C18" s="29"/>
      <c r="D18" s="29"/>
      <c r="E18" s="29"/>
      <c r="F18" s="29"/>
      <c r="G18" s="29"/>
      <c r="H18" s="29"/>
      <c r="I18" s="29"/>
      <c r="J18" s="29"/>
      <c r="K18" s="29"/>
      <c r="L18" s="31"/>
      <c r="M18" s="31"/>
      <c r="N18" s="31"/>
      <c r="O18" s="31"/>
      <c r="P18" s="29"/>
      <c r="Q18" s="32"/>
      <c r="R18" s="29"/>
      <c r="S18" s="29"/>
      <c r="T18" s="29"/>
      <c r="U18" s="29"/>
      <c r="V18" s="29"/>
      <c r="W18" s="29"/>
    </row>
    <row r="19" customFormat="false" ht="15" hidden="false" customHeight="false" outlineLevel="0" collapsed="false">
      <c r="A19" s="29"/>
      <c r="B19" s="29"/>
      <c r="C19" s="29"/>
      <c r="D19" s="29"/>
      <c r="E19" s="29"/>
      <c r="F19" s="29"/>
      <c r="G19" s="29"/>
      <c r="H19" s="29"/>
      <c r="I19" s="29"/>
      <c r="J19" s="29"/>
      <c r="K19" s="29"/>
      <c r="L19" s="31"/>
      <c r="M19" s="31"/>
      <c r="N19" s="31"/>
      <c r="O19" s="31"/>
      <c r="P19" s="29"/>
      <c r="Q19" s="32"/>
      <c r="R19" s="29"/>
      <c r="S19" s="29"/>
      <c r="T19" s="29"/>
      <c r="U19" s="29"/>
      <c r="V19" s="29"/>
      <c r="W19" s="29"/>
    </row>
    <row r="20" customFormat="false" ht="15" hidden="false" customHeight="false" outlineLevel="0" collapsed="false">
      <c r="A20" s="29"/>
      <c r="B20" s="29"/>
      <c r="C20" s="29"/>
      <c r="D20" s="29"/>
      <c r="E20" s="29"/>
      <c r="F20" s="29"/>
      <c r="G20" s="29"/>
      <c r="H20" s="29"/>
      <c r="I20" s="29"/>
      <c r="J20" s="29"/>
      <c r="K20" s="29"/>
      <c r="L20" s="31"/>
      <c r="M20" s="31"/>
      <c r="N20" s="31"/>
      <c r="O20" s="31"/>
      <c r="P20" s="29"/>
      <c r="Q20" s="32"/>
      <c r="R20" s="29"/>
      <c r="S20" s="29"/>
      <c r="T20" s="29"/>
      <c r="U20" s="29"/>
      <c r="V20" s="29"/>
      <c r="W20" s="29"/>
    </row>
    <row r="21" customFormat="false" ht="15" hidden="false" customHeight="false" outlineLevel="0" collapsed="false">
      <c r="A21" s="29"/>
      <c r="B21" s="29"/>
      <c r="C21" s="29"/>
      <c r="D21" s="29"/>
      <c r="E21" s="29"/>
      <c r="F21" s="29"/>
      <c r="G21" s="29"/>
      <c r="H21" s="29"/>
      <c r="I21" s="29"/>
      <c r="J21" s="29"/>
      <c r="K21" s="29"/>
      <c r="L21" s="31"/>
      <c r="M21" s="31"/>
      <c r="N21" s="31"/>
      <c r="O21" s="31"/>
      <c r="P21" s="29"/>
      <c r="Q21" s="32"/>
      <c r="R21" s="29"/>
      <c r="S21" s="29"/>
      <c r="T21" s="29"/>
      <c r="U21" s="29"/>
      <c r="V21" s="29"/>
      <c r="W21" s="29"/>
    </row>
    <row r="22" customFormat="false" ht="15" hidden="false" customHeight="false" outlineLevel="0" collapsed="false">
      <c r="A22" s="29"/>
      <c r="B22" s="29"/>
      <c r="C22" s="29"/>
      <c r="D22" s="29"/>
      <c r="E22" s="29"/>
      <c r="F22" s="29"/>
      <c r="G22" s="29"/>
      <c r="H22" s="29"/>
      <c r="I22" s="29"/>
      <c r="J22" s="29"/>
      <c r="K22" s="29"/>
      <c r="L22" s="31"/>
      <c r="M22" s="31"/>
      <c r="N22" s="31"/>
      <c r="O22" s="31"/>
      <c r="P22" s="29"/>
      <c r="Q22" s="32"/>
      <c r="R22" s="29"/>
      <c r="S22" s="29"/>
      <c r="T22" s="29"/>
      <c r="U22" s="29"/>
      <c r="V22" s="29"/>
      <c r="W22" s="29"/>
    </row>
    <row r="23" customFormat="false" ht="15" hidden="false" customHeight="false" outlineLevel="0" collapsed="false">
      <c r="A23" s="29"/>
      <c r="B23" s="29"/>
      <c r="C23" s="29"/>
      <c r="D23" s="29"/>
      <c r="E23" s="29"/>
      <c r="F23" s="29"/>
      <c r="G23" s="29"/>
      <c r="H23" s="29"/>
      <c r="I23" s="29"/>
      <c r="J23" s="29"/>
      <c r="K23" s="29"/>
      <c r="L23" s="31"/>
      <c r="M23" s="31"/>
      <c r="N23" s="31"/>
      <c r="O23" s="31"/>
      <c r="P23" s="29"/>
      <c r="Q23" s="32"/>
      <c r="R23" s="29"/>
      <c r="S23" s="29"/>
      <c r="T23" s="29"/>
      <c r="U23" s="29"/>
      <c r="V23" s="29"/>
      <c r="W23" s="29"/>
    </row>
    <row r="24" customFormat="false" ht="15" hidden="false" customHeight="false" outlineLevel="0" collapsed="false">
      <c r="A24" s="29"/>
      <c r="B24" s="29"/>
      <c r="C24" s="29"/>
      <c r="D24" s="29"/>
      <c r="E24" s="29"/>
      <c r="F24" s="29"/>
      <c r="G24" s="29"/>
      <c r="H24" s="29"/>
      <c r="I24" s="29"/>
      <c r="J24" s="29"/>
      <c r="K24" s="29"/>
      <c r="L24" s="31"/>
      <c r="M24" s="31"/>
      <c r="N24" s="31"/>
      <c r="O24" s="31"/>
      <c r="P24" s="29"/>
      <c r="Q24" s="32"/>
      <c r="R24" s="29"/>
      <c r="S24" s="29"/>
      <c r="T24" s="29"/>
      <c r="U24" s="29"/>
      <c r="V24" s="29"/>
      <c r="W24" s="29"/>
    </row>
    <row r="25" customFormat="false" ht="15" hidden="false" customHeight="false" outlineLevel="0" collapsed="false">
      <c r="A25" s="29"/>
      <c r="B25" s="29"/>
      <c r="C25" s="29"/>
      <c r="D25" s="29"/>
      <c r="E25" s="29"/>
      <c r="F25" s="29"/>
      <c r="G25" s="29"/>
      <c r="H25" s="29"/>
      <c r="I25" s="29"/>
      <c r="J25" s="29"/>
      <c r="K25" s="29"/>
      <c r="L25" s="31"/>
      <c r="M25" s="31"/>
      <c r="N25" s="31"/>
      <c r="O25" s="31"/>
      <c r="P25" s="29"/>
      <c r="Q25" s="32"/>
      <c r="R25" s="29"/>
      <c r="S25" s="29"/>
      <c r="T25" s="29"/>
      <c r="U25" s="29"/>
      <c r="V25" s="29"/>
      <c r="W25" s="29"/>
    </row>
    <row r="26" customFormat="false" ht="15" hidden="false" customHeight="false" outlineLevel="0" collapsed="false">
      <c r="A26" s="29"/>
      <c r="B26" s="29"/>
      <c r="C26" s="29"/>
      <c r="D26" s="29"/>
      <c r="E26" s="29"/>
      <c r="F26" s="29"/>
      <c r="G26" s="29"/>
      <c r="H26" s="29"/>
      <c r="I26" s="29"/>
      <c r="J26" s="29"/>
      <c r="K26" s="29"/>
      <c r="L26" s="31"/>
      <c r="M26" s="31"/>
      <c r="N26" s="31"/>
      <c r="O26" s="31"/>
      <c r="P26" s="29"/>
      <c r="Q26" s="32"/>
      <c r="R26" s="29"/>
      <c r="S26" s="29"/>
      <c r="T26" s="29"/>
      <c r="U26" s="29"/>
      <c r="V26" s="29"/>
      <c r="W26" s="29"/>
    </row>
    <row r="27" customFormat="false" ht="15" hidden="false" customHeight="false" outlineLevel="0" collapsed="false">
      <c r="A27" s="33"/>
      <c r="B27" s="33"/>
      <c r="C27" s="33"/>
      <c r="D27" s="33"/>
      <c r="E27" s="33"/>
      <c r="F27" s="33"/>
      <c r="G27" s="33"/>
      <c r="H27" s="33"/>
      <c r="I27" s="33"/>
      <c r="J27" s="33"/>
      <c r="K27" s="33"/>
      <c r="L27" s="34"/>
      <c r="M27" s="34"/>
      <c r="N27" s="34"/>
      <c r="O27" s="34"/>
      <c r="P27" s="33"/>
      <c r="Q27" s="35"/>
      <c r="R27" s="33"/>
      <c r="S27" s="33"/>
      <c r="T27" s="33"/>
      <c r="U27" s="33"/>
      <c r="V27" s="33"/>
      <c r="W27" s="33"/>
    </row>
    <row r="28" customFormat="false" ht="15" hidden="false" customHeight="false" outlineLevel="0" collapsed="false">
      <c r="A28" s="33"/>
      <c r="B28" s="33"/>
      <c r="C28" s="33"/>
      <c r="D28" s="33"/>
      <c r="E28" s="33"/>
      <c r="F28" s="33"/>
      <c r="G28" s="33"/>
      <c r="H28" s="33"/>
      <c r="I28" s="33"/>
      <c r="J28" s="33"/>
      <c r="K28" s="33"/>
      <c r="L28" s="34"/>
      <c r="M28" s="34"/>
      <c r="N28" s="34"/>
      <c r="O28" s="34"/>
      <c r="P28" s="33"/>
      <c r="Q28" s="35"/>
      <c r="R28" s="33"/>
      <c r="S28" s="33"/>
      <c r="T28" s="33"/>
      <c r="U28" s="33"/>
      <c r="V28" s="33"/>
      <c r="W28" s="33"/>
    </row>
    <row r="29" customFormat="false" ht="15" hidden="false" customHeight="false" outlineLevel="0" collapsed="false">
      <c r="A29" s="33"/>
      <c r="B29" s="33"/>
      <c r="C29" s="33"/>
      <c r="D29" s="33"/>
      <c r="E29" s="33"/>
      <c r="F29" s="33"/>
      <c r="G29" s="33"/>
      <c r="H29" s="33"/>
      <c r="I29" s="33"/>
      <c r="J29" s="33"/>
      <c r="K29" s="33"/>
      <c r="L29" s="34"/>
      <c r="M29" s="34"/>
      <c r="N29" s="34"/>
      <c r="O29" s="34"/>
      <c r="P29" s="33"/>
      <c r="Q29" s="35"/>
      <c r="R29" s="33"/>
      <c r="S29" s="33"/>
      <c r="T29" s="33"/>
      <c r="U29" s="33"/>
      <c r="V29" s="33"/>
      <c r="W29" s="33"/>
    </row>
    <row r="30" customFormat="false" ht="15" hidden="false" customHeight="false" outlineLevel="0" collapsed="false">
      <c r="A30" s="33"/>
      <c r="B30" s="33"/>
      <c r="C30" s="33"/>
      <c r="D30" s="33"/>
      <c r="E30" s="33"/>
      <c r="F30" s="33"/>
      <c r="G30" s="33"/>
      <c r="H30" s="33"/>
      <c r="I30" s="33"/>
      <c r="J30" s="33"/>
      <c r="K30" s="33"/>
      <c r="L30" s="34"/>
      <c r="M30" s="34"/>
      <c r="N30" s="34"/>
      <c r="O30" s="34"/>
      <c r="P30" s="33"/>
      <c r="Q30" s="35"/>
      <c r="R30" s="33"/>
      <c r="S30" s="33"/>
      <c r="T30" s="33"/>
      <c r="U30" s="33"/>
      <c r="V30" s="33"/>
      <c r="W30" s="33"/>
    </row>
    <row r="31" customFormat="false" ht="15" hidden="false" customHeight="false" outlineLevel="0" collapsed="false">
      <c r="A31" s="33"/>
      <c r="B31" s="33"/>
      <c r="C31" s="33"/>
      <c r="D31" s="33"/>
      <c r="E31" s="33"/>
      <c r="F31" s="33"/>
      <c r="G31" s="33"/>
      <c r="H31" s="33"/>
      <c r="I31" s="33"/>
      <c r="J31" s="33"/>
      <c r="K31" s="33"/>
      <c r="L31" s="34"/>
      <c r="M31" s="34"/>
      <c r="N31" s="34"/>
      <c r="O31" s="34"/>
      <c r="P31" s="33"/>
      <c r="Q31" s="35"/>
      <c r="R31" s="33"/>
      <c r="S31" s="33"/>
      <c r="T31" s="33"/>
      <c r="U31" s="33"/>
      <c r="V31" s="33"/>
      <c r="W31" s="33"/>
    </row>
    <row r="32" customFormat="false" ht="15" hidden="false" customHeight="false" outlineLevel="0" collapsed="false">
      <c r="A32" s="33"/>
      <c r="B32" s="33"/>
      <c r="C32" s="33"/>
      <c r="D32" s="33"/>
      <c r="E32" s="33"/>
      <c r="F32" s="33"/>
      <c r="G32" s="33"/>
      <c r="H32" s="33"/>
      <c r="I32" s="33"/>
      <c r="J32" s="33"/>
      <c r="K32" s="33"/>
      <c r="L32" s="34"/>
      <c r="M32" s="34"/>
      <c r="N32" s="34"/>
      <c r="O32" s="34"/>
      <c r="P32" s="33"/>
      <c r="Q32" s="35"/>
      <c r="R32" s="33"/>
      <c r="S32" s="33"/>
      <c r="T32" s="33"/>
      <c r="U32" s="33"/>
      <c r="V32" s="33"/>
      <c r="W32" s="33"/>
    </row>
    <row r="33" customFormat="false" ht="15" hidden="false" customHeight="false" outlineLevel="0" collapsed="false">
      <c r="A33" s="33"/>
      <c r="B33" s="33"/>
      <c r="C33" s="33"/>
      <c r="D33" s="33"/>
      <c r="E33" s="33"/>
      <c r="F33" s="33"/>
      <c r="G33" s="33"/>
      <c r="H33" s="33"/>
      <c r="I33" s="33"/>
      <c r="J33" s="33"/>
      <c r="K33" s="33"/>
      <c r="L33" s="34"/>
      <c r="M33" s="34"/>
      <c r="N33" s="34"/>
      <c r="O33" s="34"/>
      <c r="P33" s="33"/>
      <c r="Q33" s="35"/>
      <c r="R33" s="33"/>
      <c r="S33" s="33"/>
      <c r="T33" s="33"/>
      <c r="U33" s="33"/>
      <c r="V33" s="33"/>
      <c r="W33" s="33"/>
    </row>
    <row r="34" customFormat="false" ht="15" hidden="false" customHeight="false" outlineLevel="0" collapsed="false">
      <c r="A34" s="33"/>
      <c r="B34" s="33"/>
      <c r="C34" s="33"/>
      <c r="D34" s="33"/>
      <c r="E34" s="33"/>
      <c r="F34" s="33"/>
      <c r="G34" s="33"/>
      <c r="H34" s="33"/>
      <c r="I34" s="33"/>
      <c r="J34" s="33"/>
      <c r="K34" s="33"/>
      <c r="L34" s="34"/>
      <c r="M34" s="34"/>
      <c r="N34" s="34"/>
      <c r="O34" s="34"/>
      <c r="P34" s="33"/>
      <c r="Q34" s="35"/>
      <c r="R34" s="33"/>
      <c r="S34" s="33"/>
      <c r="T34" s="33"/>
      <c r="U34" s="33"/>
      <c r="V34" s="33"/>
      <c r="W34" s="33"/>
    </row>
    <row r="35" customFormat="false" ht="15" hidden="false" customHeight="false" outlineLevel="0" collapsed="false">
      <c r="A35" s="33"/>
      <c r="B35" s="33"/>
      <c r="C35" s="33"/>
      <c r="D35" s="33"/>
      <c r="E35" s="33"/>
      <c r="F35" s="33"/>
      <c r="G35" s="33"/>
      <c r="H35" s="33"/>
      <c r="I35" s="33"/>
      <c r="J35" s="33"/>
      <c r="K35" s="33"/>
      <c r="L35" s="34"/>
      <c r="M35" s="34"/>
      <c r="N35" s="34"/>
      <c r="O35" s="34"/>
      <c r="P35" s="33"/>
      <c r="Q35" s="35"/>
      <c r="R35" s="33"/>
      <c r="S35" s="33"/>
      <c r="T35" s="33"/>
      <c r="U35" s="33"/>
      <c r="V35" s="33"/>
      <c r="W35" s="33"/>
    </row>
    <row r="36" customFormat="false" ht="15" hidden="false" customHeight="false" outlineLevel="0" collapsed="false">
      <c r="A36" s="33"/>
      <c r="B36" s="33"/>
      <c r="C36" s="33"/>
      <c r="D36" s="33"/>
      <c r="E36" s="33"/>
      <c r="F36" s="33"/>
      <c r="G36" s="33"/>
      <c r="H36" s="33"/>
      <c r="I36" s="33"/>
      <c r="J36" s="33"/>
      <c r="K36" s="33"/>
      <c r="L36" s="34"/>
      <c r="M36" s="34"/>
      <c r="N36" s="34"/>
      <c r="O36" s="34"/>
      <c r="P36" s="33"/>
      <c r="Q36" s="35"/>
      <c r="R36" s="33"/>
      <c r="S36" s="33"/>
      <c r="T36" s="33"/>
      <c r="U36" s="33"/>
      <c r="V36" s="33"/>
      <c r="W36" s="33"/>
    </row>
    <row r="37" customFormat="false" ht="15" hidden="false" customHeight="false" outlineLevel="0" collapsed="false">
      <c r="A37" s="33"/>
      <c r="B37" s="33"/>
      <c r="C37" s="33"/>
      <c r="D37" s="33"/>
      <c r="E37" s="33"/>
      <c r="F37" s="33"/>
      <c r="G37" s="33"/>
      <c r="H37" s="33"/>
      <c r="I37" s="33"/>
      <c r="J37" s="33"/>
      <c r="K37" s="33"/>
      <c r="L37" s="34"/>
      <c r="M37" s="34"/>
      <c r="N37" s="34"/>
      <c r="O37" s="34"/>
      <c r="P37" s="33"/>
      <c r="Q37" s="35"/>
      <c r="R37" s="33"/>
      <c r="S37" s="33"/>
      <c r="T37" s="33"/>
      <c r="U37" s="33"/>
      <c r="V37" s="33"/>
      <c r="W37" s="33"/>
    </row>
    <row r="38" customFormat="false" ht="15" hidden="false" customHeight="false" outlineLevel="0" collapsed="false">
      <c r="A38" s="33"/>
      <c r="B38" s="33"/>
      <c r="C38" s="33"/>
      <c r="D38" s="33"/>
      <c r="E38" s="33"/>
      <c r="F38" s="33"/>
      <c r="G38" s="33"/>
      <c r="H38" s="33"/>
      <c r="I38" s="33"/>
      <c r="J38" s="33"/>
      <c r="K38" s="33"/>
      <c r="L38" s="34"/>
      <c r="M38" s="34"/>
      <c r="N38" s="34"/>
      <c r="O38" s="34"/>
      <c r="P38" s="33"/>
      <c r="Q38" s="35"/>
      <c r="R38" s="33"/>
      <c r="S38" s="33"/>
      <c r="T38" s="33"/>
      <c r="U38" s="33"/>
      <c r="V38" s="33"/>
      <c r="W38" s="33"/>
    </row>
    <row r="39" customFormat="false" ht="15" hidden="false" customHeight="false" outlineLevel="0" collapsed="false">
      <c r="A39" s="33"/>
      <c r="B39" s="33"/>
      <c r="C39" s="33"/>
      <c r="D39" s="33"/>
      <c r="E39" s="33"/>
      <c r="F39" s="33"/>
      <c r="G39" s="33"/>
      <c r="H39" s="33"/>
      <c r="I39" s="33"/>
      <c r="J39" s="33"/>
      <c r="K39" s="33"/>
      <c r="L39" s="34"/>
      <c r="M39" s="34"/>
      <c r="N39" s="34"/>
      <c r="O39" s="34"/>
      <c r="P39" s="33"/>
      <c r="Q39" s="35"/>
      <c r="R39" s="33"/>
      <c r="S39" s="33"/>
      <c r="T39" s="33"/>
      <c r="U39" s="33"/>
      <c r="V39" s="33"/>
      <c r="W39" s="33"/>
    </row>
    <row r="40" customFormat="false" ht="15" hidden="false" customHeight="false" outlineLevel="0" collapsed="false">
      <c r="A40" s="33"/>
      <c r="B40" s="33"/>
      <c r="C40" s="33"/>
      <c r="D40" s="33"/>
      <c r="E40" s="33"/>
      <c r="F40" s="33"/>
      <c r="G40" s="33"/>
      <c r="H40" s="33"/>
      <c r="I40" s="33"/>
      <c r="J40" s="33"/>
      <c r="K40" s="33"/>
      <c r="L40" s="34"/>
      <c r="M40" s="34"/>
      <c r="N40" s="34"/>
      <c r="O40" s="34"/>
      <c r="P40" s="33"/>
      <c r="Q40" s="35"/>
      <c r="R40" s="33"/>
      <c r="S40" s="33"/>
      <c r="T40" s="33"/>
      <c r="U40" s="33"/>
      <c r="V40" s="33"/>
      <c r="W40" s="33"/>
    </row>
    <row r="41" customFormat="false" ht="15" hidden="false" customHeight="false" outlineLevel="0" collapsed="false">
      <c r="A41" s="33"/>
      <c r="B41" s="33"/>
      <c r="C41" s="33"/>
      <c r="D41" s="33"/>
      <c r="E41" s="33"/>
      <c r="F41" s="33"/>
      <c r="G41" s="33"/>
      <c r="H41" s="33"/>
      <c r="I41" s="33"/>
      <c r="J41" s="33"/>
      <c r="K41" s="33"/>
      <c r="L41" s="34"/>
      <c r="M41" s="34"/>
      <c r="N41" s="34"/>
      <c r="O41" s="34"/>
      <c r="P41" s="33"/>
      <c r="Q41" s="35"/>
      <c r="R41" s="33"/>
      <c r="S41" s="33"/>
      <c r="T41" s="33"/>
      <c r="U41" s="33"/>
      <c r="V41" s="33"/>
      <c r="W41" s="33"/>
    </row>
    <row r="42" customFormat="false" ht="15" hidden="false" customHeight="false" outlineLevel="0" collapsed="false">
      <c r="A42" s="33"/>
      <c r="B42" s="33"/>
      <c r="C42" s="33"/>
      <c r="D42" s="33"/>
      <c r="E42" s="33"/>
      <c r="F42" s="33"/>
      <c r="G42" s="33"/>
      <c r="H42" s="33"/>
      <c r="I42" s="33"/>
      <c r="J42" s="33"/>
      <c r="K42" s="33"/>
      <c r="L42" s="34"/>
      <c r="M42" s="34"/>
      <c r="N42" s="34"/>
      <c r="O42" s="34"/>
      <c r="P42" s="33"/>
      <c r="Q42" s="35"/>
      <c r="R42" s="33"/>
      <c r="S42" s="33"/>
      <c r="T42" s="33"/>
      <c r="U42" s="33"/>
      <c r="V42" s="33"/>
      <c r="W42" s="33"/>
    </row>
    <row r="43" customFormat="false" ht="15" hidden="false" customHeight="false" outlineLevel="0" collapsed="false">
      <c r="A43" s="33"/>
      <c r="B43" s="33"/>
      <c r="C43" s="33"/>
      <c r="D43" s="33"/>
      <c r="E43" s="33"/>
      <c r="F43" s="33"/>
      <c r="G43" s="33"/>
      <c r="H43" s="33"/>
      <c r="I43" s="33"/>
      <c r="J43" s="33"/>
      <c r="K43" s="33"/>
      <c r="L43" s="34"/>
      <c r="M43" s="34"/>
      <c r="N43" s="34"/>
      <c r="O43" s="34"/>
      <c r="P43" s="33"/>
      <c r="Q43" s="35"/>
      <c r="R43" s="33"/>
      <c r="S43" s="33"/>
      <c r="T43" s="33"/>
      <c r="U43" s="33"/>
      <c r="V43" s="33"/>
      <c r="W43" s="33"/>
    </row>
    <row r="44" customFormat="false" ht="15" hidden="false" customHeight="false" outlineLevel="0" collapsed="false">
      <c r="A44" s="33"/>
      <c r="B44" s="33"/>
      <c r="C44" s="33"/>
      <c r="D44" s="33"/>
      <c r="E44" s="33"/>
      <c r="F44" s="33"/>
      <c r="G44" s="33"/>
      <c r="H44" s="33"/>
      <c r="I44" s="33"/>
      <c r="J44" s="33"/>
      <c r="K44" s="33"/>
      <c r="L44" s="34"/>
      <c r="M44" s="34"/>
      <c r="N44" s="34"/>
      <c r="O44" s="34"/>
      <c r="P44" s="33"/>
      <c r="Q44" s="35"/>
      <c r="R44" s="33"/>
      <c r="S44" s="33"/>
      <c r="T44" s="33"/>
      <c r="U44" s="33"/>
      <c r="V44" s="33"/>
      <c r="W44" s="33"/>
    </row>
    <row r="45" customFormat="false" ht="15" hidden="false" customHeight="false" outlineLevel="0" collapsed="false">
      <c r="A45" s="33"/>
      <c r="B45" s="33"/>
      <c r="C45" s="33"/>
      <c r="D45" s="33"/>
      <c r="E45" s="33"/>
      <c r="F45" s="33"/>
      <c r="G45" s="33"/>
      <c r="H45" s="33"/>
      <c r="I45" s="33"/>
      <c r="J45" s="33"/>
      <c r="K45" s="33"/>
      <c r="L45" s="34"/>
      <c r="M45" s="34"/>
      <c r="N45" s="34"/>
      <c r="O45" s="34"/>
      <c r="P45" s="33"/>
      <c r="Q45" s="35"/>
      <c r="R45" s="33"/>
      <c r="S45" s="33"/>
      <c r="T45" s="33"/>
      <c r="U45" s="33"/>
      <c r="V45" s="33"/>
      <c r="W45" s="33"/>
    </row>
    <row r="46" customFormat="false" ht="15" hidden="false" customHeight="false" outlineLevel="0" collapsed="false">
      <c r="A46" s="33"/>
      <c r="B46" s="33"/>
      <c r="C46" s="33"/>
      <c r="D46" s="33"/>
      <c r="E46" s="33"/>
      <c r="F46" s="33"/>
      <c r="G46" s="33"/>
      <c r="H46" s="33"/>
      <c r="I46" s="33"/>
      <c r="J46" s="33"/>
      <c r="K46" s="33"/>
      <c r="L46" s="34"/>
      <c r="M46" s="34"/>
      <c r="N46" s="34"/>
      <c r="O46" s="34"/>
      <c r="P46" s="33"/>
      <c r="Q46" s="35"/>
      <c r="R46" s="33"/>
      <c r="S46" s="33"/>
      <c r="T46" s="33"/>
      <c r="U46" s="33"/>
      <c r="V46" s="33"/>
      <c r="W46" s="33"/>
    </row>
    <row r="47" customFormat="false" ht="15" hidden="false" customHeight="false" outlineLevel="0" collapsed="false">
      <c r="A47" s="33"/>
      <c r="B47" s="33"/>
      <c r="C47" s="33"/>
      <c r="D47" s="33"/>
      <c r="E47" s="33"/>
      <c r="F47" s="33"/>
      <c r="G47" s="33"/>
      <c r="H47" s="33"/>
      <c r="I47" s="33"/>
      <c r="J47" s="33"/>
      <c r="K47" s="33"/>
      <c r="L47" s="34"/>
      <c r="M47" s="34"/>
      <c r="N47" s="34"/>
      <c r="O47" s="34"/>
      <c r="P47" s="33"/>
      <c r="Q47" s="35"/>
      <c r="R47" s="33"/>
      <c r="S47" s="33"/>
      <c r="T47" s="33"/>
      <c r="U47" s="33"/>
      <c r="V47" s="33"/>
      <c r="W47" s="33"/>
    </row>
    <row r="48" customFormat="false" ht="15" hidden="false" customHeight="false" outlineLevel="0" collapsed="false">
      <c r="A48" s="33"/>
      <c r="B48" s="33"/>
      <c r="C48" s="33"/>
      <c r="D48" s="33"/>
      <c r="E48" s="33"/>
      <c r="F48" s="33"/>
      <c r="G48" s="33"/>
      <c r="H48" s="33"/>
      <c r="I48" s="33"/>
      <c r="J48" s="33"/>
      <c r="K48" s="33"/>
      <c r="L48" s="34"/>
      <c r="M48" s="34"/>
      <c r="N48" s="34"/>
      <c r="O48" s="34"/>
      <c r="P48" s="33"/>
      <c r="Q48" s="35"/>
      <c r="R48" s="33"/>
      <c r="S48" s="33"/>
      <c r="T48" s="33"/>
      <c r="U48" s="33"/>
      <c r="V48" s="33"/>
      <c r="W48" s="33"/>
    </row>
    <row r="49" customFormat="false" ht="15" hidden="false" customHeight="false" outlineLevel="0" collapsed="false">
      <c r="A49" s="33"/>
      <c r="B49" s="33"/>
      <c r="C49" s="33"/>
      <c r="D49" s="33"/>
      <c r="E49" s="33"/>
      <c r="F49" s="33"/>
      <c r="G49" s="33"/>
      <c r="H49" s="33"/>
      <c r="I49" s="33"/>
      <c r="J49" s="33"/>
      <c r="K49" s="33"/>
      <c r="L49" s="34"/>
      <c r="M49" s="34"/>
      <c r="N49" s="34"/>
      <c r="O49" s="34"/>
      <c r="P49" s="33"/>
      <c r="Q49" s="35"/>
      <c r="R49" s="33"/>
      <c r="S49" s="33"/>
      <c r="T49" s="33"/>
      <c r="U49" s="33"/>
      <c r="V49" s="33"/>
      <c r="W49" s="33"/>
    </row>
    <row r="50" customFormat="false" ht="15" hidden="false" customHeight="false" outlineLevel="0" collapsed="false">
      <c r="A50" s="33"/>
      <c r="B50" s="33"/>
      <c r="C50" s="33"/>
      <c r="D50" s="33"/>
      <c r="E50" s="33"/>
      <c r="F50" s="33"/>
      <c r="G50" s="33"/>
      <c r="H50" s="33"/>
      <c r="I50" s="33"/>
      <c r="J50" s="33"/>
      <c r="K50" s="33"/>
      <c r="L50" s="34"/>
      <c r="M50" s="34"/>
      <c r="N50" s="34"/>
      <c r="O50" s="34"/>
      <c r="P50" s="33"/>
      <c r="Q50" s="35"/>
      <c r="R50" s="33"/>
      <c r="S50" s="33"/>
      <c r="T50" s="33"/>
      <c r="U50" s="33"/>
      <c r="V50" s="33"/>
      <c r="W50" s="33"/>
    </row>
    <row r="51" customFormat="false" ht="15" hidden="false" customHeight="false" outlineLevel="0" collapsed="false">
      <c r="A51" s="33"/>
      <c r="B51" s="33"/>
      <c r="C51" s="33"/>
      <c r="D51" s="33"/>
      <c r="E51" s="33"/>
      <c r="F51" s="33"/>
      <c r="G51" s="33"/>
      <c r="H51" s="33"/>
      <c r="I51" s="33"/>
      <c r="J51" s="33"/>
      <c r="K51" s="33"/>
      <c r="L51" s="34"/>
      <c r="M51" s="34"/>
      <c r="N51" s="34"/>
      <c r="O51" s="34"/>
      <c r="P51" s="33"/>
      <c r="Q51" s="35"/>
      <c r="R51" s="33"/>
      <c r="S51" s="33"/>
      <c r="T51" s="33"/>
      <c r="U51" s="33"/>
      <c r="V51" s="33"/>
      <c r="W51" s="33"/>
    </row>
    <row r="52" customFormat="false" ht="15" hidden="false" customHeight="false" outlineLevel="0" collapsed="false">
      <c r="A52" s="33"/>
      <c r="B52" s="33"/>
      <c r="C52" s="33"/>
      <c r="D52" s="33"/>
      <c r="E52" s="33"/>
      <c r="F52" s="33"/>
      <c r="G52" s="33"/>
      <c r="H52" s="33"/>
      <c r="I52" s="33"/>
      <c r="J52" s="33"/>
      <c r="K52" s="33"/>
      <c r="L52" s="34"/>
      <c r="M52" s="34"/>
      <c r="N52" s="34"/>
      <c r="O52" s="34"/>
      <c r="P52" s="33"/>
      <c r="Q52" s="35"/>
      <c r="R52" s="33"/>
      <c r="S52" s="33"/>
      <c r="T52" s="33"/>
      <c r="U52" s="33"/>
      <c r="V52" s="33"/>
      <c r="W52" s="33"/>
    </row>
    <row r="53" customFormat="false" ht="15" hidden="false" customHeight="false" outlineLevel="0" collapsed="false">
      <c r="A53" s="33"/>
      <c r="B53" s="33"/>
      <c r="C53" s="33"/>
      <c r="D53" s="33"/>
      <c r="E53" s="33"/>
      <c r="F53" s="33"/>
      <c r="G53" s="33"/>
      <c r="H53" s="33"/>
      <c r="I53" s="33"/>
      <c r="J53" s="33"/>
      <c r="K53" s="33"/>
      <c r="L53" s="34"/>
      <c r="M53" s="34"/>
      <c r="N53" s="34"/>
      <c r="O53" s="34"/>
      <c r="P53" s="33"/>
      <c r="Q53" s="35"/>
      <c r="R53" s="33"/>
      <c r="S53" s="33"/>
      <c r="T53" s="33"/>
      <c r="U53" s="33"/>
      <c r="V53" s="33"/>
      <c r="W53" s="33"/>
    </row>
    <row r="54" customFormat="false" ht="15" hidden="false" customHeight="false" outlineLevel="0" collapsed="false">
      <c r="A54" s="33"/>
      <c r="B54" s="33"/>
      <c r="C54" s="33"/>
      <c r="D54" s="33"/>
      <c r="E54" s="33"/>
      <c r="F54" s="33"/>
      <c r="G54" s="33"/>
      <c r="H54" s="33"/>
      <c r="I54" s="33"/>
      <c r="J54" s="33"/>
      <c r="K54" s="33"/>
      <c r="L54" s="34"/>
      <c r="M54" s="34"/>
      <c r="N54" s="34"/>
      <c r="O54" s="34"/>
      <c r="P54" s="33"/>
      <c r="Q54" s="35"/>
      <c r="R54" s="33"/>
      <c r="S54" s="33"/>
      <c r="T54" s="33"/>
      <c r="U54" s="33"/>
      <c r="V54" s="33"/>
      <c r="W54" s="33"/>
    </row>
    <row r="55" customFormat="false" ht="15" hidden="false" customHeight="false" outlineLevel="0" collapsed="false">
      <c r="A55" s="33"/>
      <c r="B55" s="33"/>
      <c r="C55" s="33"/>
      <c r="D55" s="33"/>
      <c r="E55" s="33"/>
      <c r="F55" s="33"/>
      <c r="G55" s="33"/>
      <c r="H55" s="33"/>
      <c r="I55" s="33"/>
      <c r="J55" s="33"/>
      <c r="K55" s="33"/>
      <c r="L55" s="34"/>
      <c r="M55" s="34"/>
      <c r="N55" s="34"/>
      <c r="O55" s="34"/>
      <c r="P55" s="33"/>
      <c r="Q55" s="35"/>
      <c r="R55" s="33"/>
      <c r="S55" s="33"/>
      <c r="T55" s="33"/>
      <c r="U55" s="33"/>
      <c r="V55" s="33"/>
      <c r="W55" s="33"/>
    </row>
    <row r="56" customFormat="false" ht="15" hidden="false" customHeight="false" outlineLevel="0" collapsed="false">
      <c r="A56" s="33"/>
      <c r="B56" s="33"/>
      <c r="C56" s="33"/>
      <c r="D56" s="33"/>
      <c r="E56" s="33"/>
      <c r="F56" s="33"/>
      <c r="G56" s="33"/>
      <c r="H56" s="33"/>
      <c r="I56" s="33"/>
      <c r="J56" s="33"/>
      <c r="K56" s="33"/>
      <c r="L56" s="34"/>
      <c r="M56" s="34"/>
      <c r="N56" s="34"/>
      <c r="O56" s="34"/>
      <c r="P56" s="33"/>
      <c r="Q56" s="35"/>
      <c r="R56" s="33"/>
      <c r="S56" s="33"/>
      <c r="T56" s="33"/>
      <c r="U56" s="33"/>
      <c r="V56" s="33"/>
      <c r="W56" s="33"/>
    </row>
    <row r="57" customFormat="false" ht="15" hidden="false" customHeight="false" outlineLevel="0" collapsed="false">
      <c r="A57" s="33"/>
      <c r="B57" s="33"/>
      <c r="C57" s="33"/>
      <c r="D57" s="33"/>
      <c r="E57" s="33"/>
      <c r="F57" s="33"/>
      <c r="G57" s="33"/>
      <c r="H57" s="33"/>
      <c r="I57" s="33"/>
      <c r="J57" s="33"/>
      <c r="K57" s="33"/>
      <c r="L57" s="34"/>
      <c r="M57" s="34"/>
      <c r="N57" s="34"/>
      <c r="O57" s="34"/>
      <c r="P57" s="33"/>
      <c r="Q57" s="35"/>
      <c r="R57" s="33"/>
      <c r="S57" s="33"/>
      <c r="T57" s="33"/>
      <c r="U57" s="33"/>
      <c r="V57" s="33"/>
      <c r="W57" s="33"/>
    </row>
    <row r="58" customFormat="false" ht="15" hidden="false" customHeight="false" outlineLevel="0" collapsed="false">
      <c r="A58" s="33"/>
      <c r="B58" s="33"/>
      <c r="C58" s="33"/>
      <c r="D58" s="33"/>
      <c r="E58" s="33"/>
      <c r="F58" s="33"/>
      <c r="G58" s="33"/>
      <c r="H58" s="33"/>
      <c r="I58" s="33"/>
      <c r="J58" s="33"/>
      <c r="K58" s="33"/>
      <c r="L58" s="34"/>
      <c r="M58" s="34"/>
      <c r="N58" s="34"/>
      <c r="O58" s="34"/>
      <c r="P58" s="33"/>
      <c r="Q58" s="35"/>
      <c r="R58" s="33"/>
      <c r="S58" s="33"/>
      <c r="T58" s="33"/>
      <c r="U58" s="33"/>
      <c r="V58" s="33"/>
      <c r="W58" s="33"/>
    </row>
    <row r="59" customFormat="false" ht="15" hidden="false" customHeight="false" outlineLevel="0" collapsed="false">
      <c r="A59" s="33"/>
      <c r="B59" s="33"/>
      <c r="C59" s="33"/>
      <c r="D59" s="33"/>
      <c r="E59" s="33"/>
      <c r="F59" s="33"/>
      <c r="G59" s="33"/>
      <c r="H59" s="33"/>
      <c r="I59" s="33"/>
      <c r="J59" s="33"/>
      <c r="K59" s="33"/>
      <c r="L59" s="34"/>
      <c r="M59" s="34"/>
      <c r="N59" s="34"/>
      <c r="O59" s="34"/>
      <c r="P59" s="33"/>
      <c r="Q59" s="35"/>
      <c r="R59" s="33"/>
      <c r="S59" s="33"/>
      <c r="T59" s="33"/>
      <c r="U59" s="33"/>
      <c r="V59" s="33"/>
      <c r="W59" s="33"/>
    </row>
    <row r="60" customFormat="false" ht="15" hidden="false" customHeight="false" outlineLevel="0" collapsed="false">
      <c r="A60" s="33"/>
      <c r="B60" s="33"/>
      <c r="C60" s="33"/>
      <c r="D60" s="33"/>
      <c r="E60" s="33"/>
      <c r="F60" s="33"/>
      <c r="G60" s="33"/>
      <c r="H60" s="33"/>
      <c r="I60" s="33"/>
      <c r="J60" s="33"/>
      <c r="K60" s="33"/>
      <c r="L60" s="34"/>
      <c r="M60" s="34"/>
      <c r="N60" s="34"/>
      <c r="O60" s="34"/>
      <c r="P60" s="33"/>
      <c r="Q60" s="35"/>
      <c r="R60" s="33"/>
      <c r="S60" s="33"/>
      <c r="T60" s="33"/>
      <c r="U60" s="33"/>
      <c r="V60" s="33"/>
      <c r="W60" s="33"/>
    </row>
    <row r="61" customFormat="false" ht="15" hidden="false" customHeight="false" outlineLevel="0" collapsed="false">
      <c r="A61" s="33"/>
      <c r="B61" s="33"/>
      <c r="C61" s="33"/>
      <c r="D61" s="33"/>
      <c r="E61" s="33"/>
      <c r="F61" s="33"/>
      <c r="G61" s="33"/>
      <c r="H61" s="33"/>
      <c r="I61" s="33"/>
      <c r="J61" s="33"/>
      <c r="K61" s="33"/>
      <c r="L61" s="34"/>
      <c r="M61" s="34"/>
      <c r="N61" s="34"/>
      <c r="O61" s="34"/>
      <c r="P61" s="33"/>
      <c r="Q61" s="35"/>
      <c r="R61" s="33"/>
      <c r="S61" s="33"/>
      <c r="T61" s="33"/>
      <c r="U61" s="33"/>
      <c r="V61" s="33"/>
      <c r="W61" s="33"/>
    </row>
    <row r="62" customFormat="false" ht="15" hidden="false" customHeight="false" outlineLevel="0" collapsed="false">
      <c r="A62" s="33"/>
      <c r="B62" s="33"/>
      <c r="C62" s="33"/>
      <c r="D62" s="33"/>
      <c r="E62" s="33"/>
      <c r="F62" s="33"/>
      <c r="G62" s="33"/>
      <c r="H62" s="33"/>
      <c r="I62" s="33"/>
      <c r="J62" s="33"/>
      <c r="K62" s="33"/>
      <c r="L62" s="34"/>
      <c r="M62" s="34"/>
      <c r="N62" s="34"/>
      <c r="O62" s="34"/>
      <c r="P62" s="33"/>
      <c r="Q62" s="35"/>
      <c r="R62" s="33"/>
      <c r="S62" s="33"/>
      <c r="T62" s="33"/>
      <c r="U62" s="33"/>
      <c r="V62" s="33"/>
      <c r="W62" s="33"/>
    </row>
    <row r="63" customFormat="false" ht="15" hidden="false" customHeight="false" outlineLevel="0" collapsed="false">
      <c r="A63" s="33"/>
      <c r="B63" s="33"/>
      <c r="C63" s="33"/>
      <c r="D63" s="33"/>
      <c r="E63" s="33"/>
      <c r="F63" s="33"/>
      <c r="G63" s="33"/>
      <c r="H63" s="33"/>
      <c r="I63" s="33"/>
      <c r="J63" s="33"/>
      <c r="K63" s="33"/>
      <c r="L63" s="34"/>
      <c r="M63" s="34"/>
      <c r="N63" s="34"/>
      <c r="O63" s="34"/>
      <c r="P63" s="33"/>
      <c r="Q63" s="35"/>
      <c r="R63" s="33"/>
      <c r="S63" s="33"/>
      <c r="T63" s="33"/>
      <c r="U63" s="33"/>
      <c r="V63" s="33"/>
      <c r="W63" s="33"/>
    </row>
    <row r="64" customFormat="false" ht="15" hidden="false" customHeight="false" outlineLevel="0" collapsed="false">
      <c r="A64" s="33"/>
      <c r="B64" s="33"/>
      <c r="C64" s="33"/>
      <c r="D64" s="33"/>
      <c r="E64" s="33"/>
      <c r="F64" s="33"/>
      <c r="G64" s="33"/>
      <c r="H64" s="33"/>
      <c r="I64" s="33"/>
      <c r="J64" s="33"/>
      <c r="K64" s="33"/>
      <c r="L64" s="34"/>
      <c r="M64" s="34"/>
      <c r="N64" s="34"/>
      <c r="O64" s="34"/>
      <c r="P64" s="33"/>
      <c r="Q64" s="35"/>
      <c r="R64" s="33"/>
      <c r="S64" s="33"/>
      <c r="T64" s="33"/>
      <c r="U64" s="33"/>
      <c r="V64" s="33"/>
      <c r="W64" s="33"/>
    </row>
    <row r="65" customFormat="false" ht="15" hidden="false" customHeight="false" outlineLevel="0" collapsed="false">
      <c r="A65" s="33"/>
      <c r="B65" s="33"/>
      <c r="C65" s="33"/>
      <c r="D65" s="33"/>
      <c r="E65" s="33"/>
      <c r="F65" s="33"/>
      <c r="G65" s="33"/>
      <c r="H65" s="33"/>
      <c r="I65" s="33"/>
      <c r="J65" s="33"/>
      <c r="K65" s="33"/>
      <c r="L65" s="34"/>
      <c r="M65" s="34"/>
      <c r="N65" s="34"/>
      <c r="O65" s="34"/>
      <c r="P65" s="33"/>
      <c r="Q65" s="35"/>
      <c r="R65" s="33"/>
      <c r="S65" s="33"/>
      <c r="T65" s="33"/>
      <c r="U65" s="33"/>
      <c r="V65" s="33"/>
      <c r="W65" s="33"/>
    </row>
    <row r="66" customFormat="false" ht="15" hidden="false" customHeight="false" outlineLevel="0" collapsed="false">
      <c r="A66" s="33"/>
      <c r="B66" s="33"/>
      <c r="C66" s="33"/>
      <c r="D66" s="33"/>
      <c r="E66" s="33"/>
      <c r="F66" s="33"/>
      <c r="G66" s="33"/>
      <c r="H66" s="33"/>
      <c r="I66" s="33"/>
      <c r="J66" s="33"/>
      <c r="K66" s="33"/>
      <c r="L66" s="34"/>
      <c r="M66" s="34"/>
      <c r="N66" s="34"/>
      <c r="O66" s="34"/>
      <c r="P66" s="33"/>
      <c r="Q66" s="35"/>
      <c r="R66" s="33"/>
      <c r="S66" s="33"/>
      <c r="T66" s="33"/>
      <c r="U66" s="33"/>
      <c r="V66" s="33"/>
      <c r="W66" s="33"/>
    </row>
    <row r="67" customFormat="false" ht="15" hidden="false" customHeight="false" outlineLevel="0" collapsed="false">
      <c r="A67" s="33"/>
      <c r="B67" s="33"/>
      <c r="C67" s="33"/>
      <c r="D67" s="33"/>
      <c r="E67" s="33"/>
      <c r="F67" s="33"/>
      <c r="G67" s="33"/>
      <c r="H67" s="33"/>
      <c r="I67" s="33"/>
      <c r="J67" s="33"/>
      <c r="K67" s="33"/>
      <c r="L67" s="34"/>
      <c r="M67" s="34"/>
      <c r="N67" s="34"/>
      <c r="O67" s="34"/>
      <c r="P67" s="33"/>
      <c r="Q67" s="35"/>
      <c r="R67" s="33"/>
      <c r="S67" s="33"/>
      <c r="T67" s="33"/>
      <c r="U67" s="33"/>
      <c r="V67" s="33"/>
      <c r="W67" s="33"/>
    </row>
    <row r="68" customFormat="false" ht="15" hidden="false" customHeight="false" outlineLevel="0" collapsed="false">
      <c r="A68" s="33"/>
      <c r="B68" s="33"/>
      <c r="C68" s="33"/>
      <c r="D68" s="33"/>
      <c r="E68" s="33"/>
      <c r="F68" s="33"/>
      <c r="G68" s="33"/>
      <c r="H68" s="33"/>
      <c r="I68" s="33"/>
      <c r="J68" s="33"/>
      <c r="K68" s="33"/>
      <c r="L68" s="34"/>
      <c r="M68" s="34"/>
      <c r="N68" s="34"/>
      <c r="O68" s="34"/>
      <c r="P68" s="33"/>
      <c r="Q68" s="35"/>
      <c r="R68" s="33"/>
      <c r="S68" s="33"/>
      <c r="T68" s="33"/>
      <c r="U68" s="33"/>
      <c r="V68" s="33"/>
      <c r="W68" s="33"/>
    </row>
    <row r="69" customFormat="false" ht="15" hidden="false" customHeight="false" outlineLevel="0" collapsed="false">
      <c r="A69" s="33"/>
      <c r="B69" s="33"/>
      <c r="C69" s="33"/>
      <c r="D69" s="33"/>
      <c r="E69" s="33"/>
      <c r="F69" s="33"/>
      <c r="G69" s="33"/>
      <c r="H69" s="33"/>
      <c r="I69" s="33"/>
      <c r="J69" s="33"/>
      <c r="K69" s="33"/>
      <c r="L69" s="34"/>
      <c r="M69" s="34"/>
      <c r="N69" s="34"/>
      <c r="O69" s="34"/>
      <c r="P69" s="33"/>
      <c r="Q69" s="35"/>
      <c r="R69" s="33"/>
      <c r="S69" s="33"/>
      <c r="T69" s="33"/>
      <c r="U69" s="33"/>
      <c r="V69" s="33"/>
      <c r="W69" s="33"/>
    </row>
    <row r="70" customFormat="false" ht="15" hidden="false" customHeight="false" outlineLevel="0" collapsed="false">
      <c r="A70" s="33"/>
      <c r="B70" s="33"/>
      <c r="C70" s="33"/>
      <c r="D70" s="33"/>
      <c r="E70" s="33"/>
      <c r="F70" s="33"/>
      <c r="G70" s="33"/>
      <c r="H70" s="33"/>
      <c r="I70" s="33"/>
      <c r="J70" s="33"/>
      <c r="K70" s="33"/>
      <c r="L70" s="34"/>
      <c r="M70" s="34"/>
      <c r="N70" s="34"/>
      <c r="O70" s="34"/>
      <c r="P70" s="33"/>
      <c r="Q70" s="35"/>
      <c r="R70" s="33"/>
      <c r="S70" s="33"/>
      <c r="T70" s="33"/>
      <c r="U70" s="33"/>
      <c r="V70" s="33"/>
      <c r="W70" s="33"/>
    </row>
    <row r="71" customFormat="false" ht="15" hidden="false" customHeight="false" outlineLevel="0" collapsed="false">
      <c r="A71" s="33"/>
      <c r="B71" s="33"/>
      <c r="C71" s="33"/>
      <c r="D71" s="33"/>
      <c r="E71" s="33"/>
      <c r="F71" s="33"/>
      <c r="G71" s="33"/>
      <c r="H71" s="33"/>
      <c r="I71" s="33"/>
      <c r="J71" s="33"/>
      <c r="K71" s="33"/>
      <c r="L71" s="34"/>
      <c r="M71" s="34"/>
      <c r="N71" s="34"/>
      <c r="O71" s="34"/>
      <c r="P71" s="33"/>
      <c r="Q71" s="35"/>
      <c r="R71" s="33"/>
      <c r="S71" s="33"/>
      <c r="T71" s="33"/>
      <c r="U71" s="33"/>
      <c r="V71" s="33"/>
      <c r="W71" s="33"/>
    </row>
    <row r="72" customFormat="false" ht="15" hidden="false" customHeight="false" outlineLevel="0" collapsed="false">
      <c r="A72" s="33"/>
      <c r="B72" s="33"/>
      <c r="C72" s="33"/>
      <c r="D72" s="33"/>
      <c r="E72" s="33"/>
      <c r="F72" s="33"/>
      <c r="G72" s="33"/>
      <c r="H72" s="33"/>
      <c r="I72" s="33"/>
      <c r="J72" s="33"/>
      <c r="K72" s="33"/>
      <c r="L72" s="34"/>
      <c r="M72" s="34"/>
      <c r="N72" s="34"/>
      <c r="O72" s="34"/>
      <c r="P72" s="33"/>
      <c r="Q72" s="35"/>
      <c r="R72" s="33"/>
      <c r="S72" s="33"/>
      <c r="T72" s="33"/>
      <c r="U72" s="33"/>
      <c r="V72" s="33"/>
      <c r="W72" s="33"/>
    </row>
    <row r="73" customFormat="false" ht="15" hidden="false" customHeight="false" outlineLevel="0" collapsed="false">
      <c r="A73" s="33"/>
      <c r="B73" s="33"/>
      <c r="C73" s="33"/>
      <c r="D73" s="33"/>
      <c r="E73" s="33"/>
      <c r="F73" s="33"/>
      <c r="G73" s="33"/>
      <c r="H73" s="33"/>
      <c r="I73" s="33"/>
      <c r="J73" s="33"/>
      <c r="K73" s="33"/>
      <c r="L73" s="34"/>
      <c r="M73" s="34"/>
      <c r="N73" s="34"/>
      <c r="O73" s="34"/>
      <c r="P73" s="33"/>
      <c r="Q73" s="35"/>
      <c r="R73" s="33"/>
      <c r="S73" s="33"/>
      <c r="T73" s="33"/>
      <c r="U73" s="33"/>
      <c r="V73" s="33"/>
      <c r="W73" s="33"/>
    </row>
    <row r="74" customFormat="false" ht="15" hidden="false" customHeight="false" outlineLevel="0" collapsed="false">
      <c r="A74" s="33"/>
      <c r="B74" s="33"/>
      <c r="C74" s="33"/>
      <c r="D74" s="33"/>
      <c r="E74" s="33"/>
      <c r="F74" s="33"/>
      <c r="G74" s="33"/>
      <c r="H74" s="33"/>
      <c r="I74" s="33"/>
      <c r="J74" s="33"/>
      <c r="K74" s="33"/>
      <c r="L74" s="34"/>
      <c r="M74" s="34"/>
      <c r="N74" s="34"/>
      <c r="O74" s="34"/>
      <c r="P74" s="33"/>
      <c r="Q74" s="35"/>
      <c r="R74" s="33"/>
      <c r="S74" s="33"/>
      <c r="T74" s="33"/>
      <c r="U74" s="33"/>
      <c r="V74" s="33"/>
      <c r="W74" s="33"/>
    </row>
    <row r="75" customFormat="false" ht="15" hidden="false" customHeight="false" outlineLevel="0" collapsed="false">
      <c r="A75" s="33"/>
      <c r="B75" s="33"/>
      <c r="C75" s="33"/>
      <c r="D75" s="33"/>
      <c r="E75" s="33"/>
      <c r="F75" s="33"/>
      <c r="G75" s="33"/>
      <c r="H75" s="33"/>
      <c r="I75" s="33"/>
      <c r="J75" s="33"/>
      <c r="K75" s="33"/>
      <c r="L75" s="34"/>
      <c r="M75" s="34"/>
      <c r="N75" s="34"/>
      <c r="O75" s="34"/>
      <c r="P75" s="33"/>
      <c r="Q75" s="35"/>
      <c r="R75" s="33"/>
      <c r="S75" s="33"/>
      <c r="T75" s="33"/>
      <c r="U75" s="33"/>
      <c r="V75" s="33"/>
      <c r="W75" s="33"/>
    </row>
    <row r="76" customFormat="false" ht="15" hidden="false" customHeight="false" outlineLevel="0" collapsed="false">
      <c r="A76" s="33"/>
      <c r="B76" s="33"/>
      <c r="C76" s="33"/>
      <c r="D76" s="33"/>
      <c r="E76" s="33"/>
      <c r="F76" s="33"/>
      <c r="G76" s="33"/>
      <c r="H76" s="33"/>
      <c r="I76" s="33"/>
      <c r="J76" s="33"/>
      <c r="K76" s="33"/>
      <c r="L76" s="34"/>
      <c r="M76" s="34"/>
      <c r="N76" s="34"/>
      <c r="O76" s="34"/>
      <c r="P76" s="33"/>
      <c r="Q76" s="35"/>
      <c r="R76" s="33"/>
      <c r="S76" s="33"/>
      <c r="T76" s="33"/>
      <c r="U76" s="33"/>
      <c r="V76" s="33"/>
      <c r="W76" s="33"/>
    </row>
    <row r="77" customFormat="false" ht="15" hidden="false" customHeight="false" outlineLevel="0" collapsed="false">
      <c r="A77" s="33"/>
      <c r="B77" s="33"/>
      <c r="C77" s="33"/>
      <c r="D77" s="33"/>
      <c r="E77" s="33"/>
      <c r="F77" s="33"/>
      <c r="G77" s="33"/>
      <c r="H77" s="33"/>
      <c r="I77" s="33"/>
      <c r="J77" s="33"/>
      <c r="K77" s="33"/>
      <c r="L77" s="34"/>
      <c r="M77" s="34"/>
      <c r="N77" s="34"/>
      <c r="O77" s="34"/>
      <c r="P77" s="33"/>
      <c r="Q77" s="35"/>
      <c r="R77" s="33"/>
      <c r="S77" s="33"/>
      <c r="T77" s="33"/>
      <c r="U77" s="33"/>
      <c r="V77" s="33"/>
      <c r="W77" s="33"/>
    </row>
    <row r="78" customFormat="false" ht="15" hidden="false" customHeight="false" outlineLevel="0" collapsed="false">
      <c r="A78" s="33"/>
      <c r="B78" s="33"/>
      <c r="C78" s="33"/>
      <c r="D78" s="33"/>
      <c r="E78" s="33"/>
      <c r="F78" s="33"/>
      <c r="G78" s="33"/>
      <c r="H78" s="33"/>
      <c r="I78" s="33"/>
      <c r="J78" s="33"/>
      <c r="K78" s="33"/>
      <c r="L78" s="34"/>
      <c r="M78" s="34"/>
      <c r="N78" s="34"/>
      <c r="O78" s="34"/>
      <c r="P78" s="33"/>
      <c r="Q78" s="35"/>
      <c r="R78" s="33"/>
      <c r="S78" s="33"/>
      <c r="T78" s="33"/>
      <c r="U78" s="33"/>
      <c r="V78" s="33"/>
      <c r="W78" s="33"/>
    </row>
    <row r="79" customFormat="false" ht="15" hidden="false" customHeight="false" outlineLevel="0" collapsed="false">
      <c r="A79" s="33"/>
      <c r="B79" s="33"/>
      <c r="C79" s="33"/>
      <c r="D79" s="33"/>
      <c r="E79" s="33"/>
      <c r="F79" s="33"/>
      <c r="G79" s="33"/>
      <c r="H79" s="33"/>
      <c r="I79" s="33"/>
      <c r="J79" s="33"/>
      <c r="K79" s="33"/>
      <c r="L79" s="34"/>
      <c r="M79" s="34"/>
      <c r="N79" s="34"/>
      <c r="O79" s="34"/>
      <c r="P79" s="33"/>
      <c r="Q79" s="35"/>
      <c r="R79" s="33"/>
      <c r="S79" s="33"/>
      <c r="T79" s="33"/>
      <c r="U79" s="33"/>
      <c r="V79" s="33"/>
      <c r="W79" s="33"/>
    </row>
    <row r="80" customFormat="false" ht="15" hidden="false" customHeight="false" outlineLevel="0" collapsed="false">
      <c r="A80" s="33"/>
      <c r="B80" s="33"/>
      <c r="C80" s="33"/>
      <c r="D80" s="33"/>
      <c r="E80" s="33"/>
      <c r="F80" s="33"/>
      <c r="G80" s="33"/>
      <c r="H80" s="33"/>
      <c r="I80" s="33"/>
      <c r="J80" s="33"/>
      <c r="K80" s="33"/>
      <c r="L80" s="34"/>
      <c r="M80" s="34"/>
      <c r="N80" s="34"/>
      <c r="O80" s="34"/>
      <c r="P80" s="33"/>
      <c r="Q80" s="35"/>
      <c r="R80" s="33"/>
      <c r="S80" s="33"/>
      <c r="T80" s="33"/>
      <c r="U80" s="33"/>
      <c r="V80" s="33"/>
      <c r="W80" s="33"/>
    </row>
    <row r="81" customFormat="false" ht="15" hidden="false" customHeight="false" outlineLevel="0" collapsed="false">
      <c r="A81" s="33"/>
      <c r="B81" s="33"/>
      <c r="C81" s="33"/>
      <c r="D81" s="33"/>
      <c r="E81" s="33"/>
      <c r="F81" s="33"/>
      <c r="G81" s="33"/>
      <c r="H81" s="33"/>
      <c r="I81" s="33"/>
      <c r="J81" s="33"/>
      <c r="K81" s="33"/>
      <c r="L81" s="34"/>
      <c r="M81" s="34"/>
      <c r="N81" s="34"/>
      <c r="O81" s="34"/>
      <c r="P81" s="33"/>
      <c r="Q81" s="35"/>
      <c r="R81" s="33"/>
      <c r="S81" s="33"/>
      <c r="T81" s="33"/>
      <c r="U81" s="33"/>
      <c r="V81" s="33"/>
      <c r="W81" s="33"/>
    </row>
    <row r="82" customFormat="false" ht="15" hidden="false" customHeight="false" outlineLevel="0" collapsed="false">
      <c r="A82" s="33"/>
      <c r="B82" s="33"/>
      <c r="C82" s="33"/>
      <c r="D82" s="33"/>
      <c r="E82" s="33"/>
      <c r="F82" s="33"/>
      <c r="G82" s="33"/>
      <c r="H82" s="33"/>
      <c r="I82" s="33"/>
      <c r="J82" s="33"/>
      <c r="K82" s="33"/>
      <c r="L82" s="34"/>
      <c r="M82" s="34"/>
      <c r="N82" s="34"/>
      <c r="O82" s="34"/>
      <c r="P82" s="33"/>
      <c r="Q82" s="35"/>
      <c r="R82" s="33"/>
      <c r="S82" s="33"/>
      <c r="T82" s="33"/>
      <c r="U82" s="33"/>
      <c r="V82" s="33"/>
      <c r="W82" s="33"/>
    </row>
    <row r="83" customFormat="false" ht="15" hidden="false" customHeight="false" outlineLevel="0" collapsed="false">
      <c r="A83" s="33"/>
      <c r="B83" s="33"/>
      <c r="C83" s="33"/>
      <c r="D83" s="33"/>
      <c r="E83" s="33"/>
      <c r="F83" s="33"/>
      <c r="G83" s="33"/>
      <c r="H83" s="33"/>
      <c r="I83" s="33"/>
      <c r="J83" s="33"/>
      <c r="K83" s="33"/>
      <c r="L83" s="34"/>
      <c r="M83" s="34"/>
      <c r="N83" s="34"/>
      <c r="O83" s="34"/>
      <c r="P83" s="33"/>
      <c r="Q83" s="35"/>
      <c r="R83" s="33"/>
      <c r="S83" s="33"/>
      <c r="T83" s="33"/>
      <c r="U83" s="33"/>
      <c r="V83" s="33"/>
      <c r="W83" s="33"/>
    </row>
    <row r="84" customFormat="false" ht="15" hidden="false" customHeight="false" outlineLevel="0" collapsed="false">
      <c r="A84" s="33"/>
      <c r="B84" s="33"/>
      <c r="C84" s="33"/>
      <c r="D84" s="33"/>
      <c r="E84" s="33"/>
      <c r="F84" s="33"/>
      <c r="G84" s="33"/>
      <c r="H84" s="33"/>
      <c r="I84" s="33"/>
      <c r="J84" s="33"/>
      <c r="K84" s="33"/>
      <c r="L84" s="34"/>
      <c r="M84" s="34"/>
      <c r="N84" s="34"/>
      <c r="O84" s="34"/>
      <c r="P84" s="33"/>
      <c r="Q84" s="35"/>
      <c r="R84" s="33"/>
      <c r="S84" s="33"/>
      <c r="T84" s="33"/>
      <c r="U84" s="33"/>
      <c r="V84" s="33"/>
      <c r="W84" s="33"/>
    </row>
    <row r="85" customFormat="false" ht="15" hidden="false" customHeight="false" outlineLevel="0" collapsed="false">
      <c r="A85" s="33"/>
      <c r="B85" s="33"/>
      <c r="C85" s="33"/>
      <c r="D85" s="33"/>
      <c r="E85" s="33"/>
      <c r="F85" s="33"/>
      <c r="G85" s="33"/>
      <c r="H85" s="33"/>
      <c r="I85" s="33"/>
      <c r="J85" s="33"/>
      <c r="K85" s="33"/>
      <c r="L85" s="34"/>
      <c r="M85" s="34"/>
      <c r="N85" s="34"/>
      <c r="O85" s="34"/>
      <c r="P85" s="33"/>
      <c r="Q85" s="35"/>
      <c r="R85" s="33"/>
      <c r="S85" s="33"/>
      <c r="T85" s="33"/>
      <c r="U85" s="33"/>
      <c r="V85" s="33"/>
      <c r="W85" s="33"/>
    </row>
    <row r="86" customFormat="false" ht="15" hidden="false" customHeight="false" outlineLevel="0" collapsed="false">
      <c r="A86" s="33"/>
      <c r="B86" s="33"/>
      <c r="C86" s="33"/>
      <c r="D86" s="33"/>
      <c r="E86" s="33"/>
      <c r="F86" s="33"/>
      <c r="G86" s="33"/>
      <c r="H86" s="33"/>
      <c r="I86" s="33"/>
      <c r="J86" s="33"/>
      <c r="K86" s="33"/>
      <c r="L86" s="34"/>
      <c r="M86" s="34"/>
      <c r="N86" s="34"/>
      <c r="O86" s="34"/>
      <c r="P86" s="33"/>
      <c r="Q86" s="35"/>
      <c r="R86" s="33"/>
      <c r="S86" s="33"/>
      <c r="T86" s="33"/>
      <c r="U86" s="33"/>
      <c r="V86" s="33"/>
      <c r="W86" s="33"/>
    </row>
    <row r="87" customFormat="false" ht="15" hidden="false" customHeight="false" outlineLevel="0" collapsed="false">
      <c r="A87" s="33"/>
      <c r="B87" s="33"/>
      <c r="C87" s="33"/>
      <c r="D87" s="33"/>
      <c r="E87" s="33"/>
      <c r="F87" s="33"/>
      <c r="G87" s="33"/>
      <c r="H87" s="33"/>
      <c r="I87" s="33"/>
      <c r="J87" s="33"/>
      <c r="K87" s="33"/>
      <c r="L87" s="34"/>
      <c r="M87" s="34"/>
      <c r="N87" s="34"/>
      <c r="O87" s="34"/>
      <c r="P87" s="33"/>
      <c r="Q87" s="35"/>
      <c r="R87" s="33"/>
      <c r="S87" s="33"/>
      <c r="T87" s="33"/>
      <c r="U87" s="33"/>
      <c r="V87" s="33"/>
      <c r="W87" s="33"/>
    </row>
    <row r="88" customFormat="false" ht="15" hidden="false" customHeight="false" outlineLevel="0" collapsed="false">
      <c r="A88" s="33"/>
      <c r="B88" s="33"/>
      <c r="C88" s="33"/>
      <c r="D88" s="33"/>
      <c r="E88" s="33"/>
      <c r="F88" s="33"/>
      <c r="G88" s="33"/>
      <c r="H88" s="33"/>
      <c r="I88" s="33"/>
      <c r="J88" s="33"/>
      <c r="K88" s="33"/>
      <c r="L88" s="34"/>
      <c r="M88" s="34"/>
      <c r="N88" s="34"/>
      <c r="O88" s="34"/>
      <c r="P88" s="33"/>
      <c r="Q88" s="35"/>
      <c r="R88" s="33"/>
      <c r="S88" s="33"/>
      <c r="T88" s="33"/>
      <c r="U88" s="33"/>
      <c r="V88" s="33"/>
      <c r="W88" s="33"/>
    </row>
    <row r="89" customFormat="false" ht="15" hidden="false" customHeight="false" outlineLevel="0" collapsed="false">
      <c r="A89" s="33"/>
      <c r="B89" s="33"/>
      <c r="C89" s="33"/>
      <c r="D89" s="33"/>
      <c r="E89" s="33"/>
      <c r="F89" s="33"/>
      <c r="G89" s="33"/>
      <c r="H89" s="33"/>
      <c r="I89" s="33"/>
      <c r="J89" s="33"/>
      <c r="K89" s="33"/>
      <c r="L89" s="34"/>
      <c r="M89" s="34"/>
      <c r="N89" s="34"/>
      <c r="O89" s="34"/>
      <c r="P89" s="33"/>
      <c r="Q89" s="35"/>
      <c r="R89" s="33"/>
      <c r="S89" s="33"/>
      <c r="T89" s="33"/>
      <c r="U89" s="33"/>
      <c r="V89" s="33"/>
      <c r="W89" s="33"/>
    </row>
    <row r="90" customFormat="false" ht="15" hidden="false" customHeight="false" outlineLevel="0" collapsed="false">
      <c r="A90" s="33"/>
      <c r="B90" s="33"/>
      <c r="C90" s="33"/>
      <c r="D90" s="33"/>
      <c r="E90" s="33"/>
      <c r="F90" s="33"/>
      <c r="G90" s="33"/>
      <c r="H90" s="33"/>
      <c r="I90" s="33"/>
      <c r="J90" s="33"/>
      <c r="K90" s="33"/>
      <c r="L90" s="34"/>
      <c r="M90" s="34"/>
      <c r="N90" s="34"/>
      <c r="O90" s="34"/>
      <c r="P90" s="33"/>
      <c r="Q90" s="35"/>
      <c r="R90" s="33"/>
      <c r="S90" s="33"/>
      <c r="T90" s="33"/>
      <c r="U90" s="33"/>
      <c r="V90" s="33"/>
      <c r="W90" s="33"/>
    </row>
    <row r="91" customFormat="false" ht="15" hidden="false" customHeight="false" outlineLevel="0" collapsed="false">
      <c r="A91" s="33"/>
      <c r="B91" s="33"/>
      <c r="C91" s="33"/>
      <c r="D91" s="33"/>
      <c r="E91" s="33"/>
      <c r="F91" s="33"/>
      <c r="G91" s="33"/>
      <c r="H91" s="33"/>
      <c r="I91" s="33"/>
      <c r="J91" s="33"/>
      <c r="K91" s="33"/>
      <c r="L91" s="34"/>
      <c r="M91" s="34"/>
      <c r="N91" s="34"/>
      <c r="O91" s="34"/>
      <c r="P91" s="33"/>
      <c r="Q91" s="35"/>
      <c r="R91" s="33"/>
      <c r="S91" s="33"/>
      <c r="T91" s="33"/>
      <c r="U91" s="33"/>
      <c r="V91" s="33"/>
      <c r="W91" s="33"/>
    </row>
    <row r="92" customFormat="false" ht="15" hidden="false" customHeight="false" outlineLevel="0" collapsed="false">
      <c r="A92" s="33"/>
      <c r="B92" s="33"/>
      <c r="C92" s="33"/>
      <c r="D92" s="33"/>
      <c r="E92" s="33"/>
      <c r="F92" s="33"/>
      <c r="G92" s="33"/>
      <c r="H92" s="33"/>
      <c r="I92" s="33"/>
      <c r="J92" s="33"/>
      <c r="K92" s="33"/>
      <c r="L92" s="34"/>
      <c r="M92" s="34"/>
      <c r="N92" s="34"/>
      <c r="O92" s="34"/>
      <c r="P92" s="33"/>
      <c r="Q92" s="35"/>
      <c r="R92" s="33"/>
      <c r="S92" s="33"/>
      <c r="T92" s="33"/>
      <c r="U92" s="33"/>
      <c r="V92" s="33"/>
      <c r="W92" s="33"/>
    </row>
    <row r="93" customFormat="false" ht="15" hidden="false" customHeight="false" outlineLevel="0" collapsed="false">
      <c r="A93" s="33"/>
      <c r="B93" s="33"/>
      <c r="C93" s="33"/>
      <c r="D93" s="33"/>
      <c r="E93" s="33"/>
      <c r="F93" s="33"/>
      <c r="G93" s="33"/>
      <c r="H93" s="33"/>
      <c r="I93" s="33"/>
      <c r="J93" s="33"/>
      <c r="K93" s="33"/>
      <c r="L93" s="34"/>
      <c r="M93" s="34"/>
      <c r="N93" s="34"/>
      <c r="O93" s="34"/>
      <c r="P93" s="33"/>
      <c r="Q93" s="35"/>
      <c r="R93" s="33"/>
      <c r="S93" s="33"/>
      <c r="T93" s="33"/>
      <c r="U93" s="33"/>
      <c r="V93" s="33"/>
      <c r="W93" s="33"/>
    </row>
    <row r="94" customFormat="false" ht="15" hidden="false" customHeight="false" outlineLevel="0" collapsed="false">
      <c r="A94" s="33"/>
      <c r="B94" s="33"/>
      <c r="C94" s="33"/>
      <c r="D94" s="33"/>
      <c r="E94" s="33"/>
      <c r="F94" s="33"/>
      <c r="G94" s="33"/>
      <c r="H94" s="33"/>
      <c r="I94" s="33"/>
      <c r="J94" s="33"/>
      <c r="K94" s="33"/>
      <c r="L94" s="34"/>
      <c r="M94" s="34"/>
      <c r="N94" s="34"/>
      <c r="O94" s="34"/>
      <c r="P94" s="33"/>
      <c r="Q94" s="35"/>
      <c r="R94" s="33"/>
      <c r="S94" s="33"/>
      <c r="T94" s="33"/>
      <c r="U94" s="33"/>
      <c r="V94" s="33"/>
      <c r="W94" s="33"/>
    </row>
    <row r="95" customFormat="false" ht="15" hidden="false" customHeight="false" outlineLevel="0" collapsed="false">
      <c r="A95" s="33"/>
      <c r="B95" s="33"/>
      <c r="C95" s="33"/>
      <c r="D95" s="33"/>
      <c r="E95" s="33"/>
      <c r="F95" s="33"/>
      <c r="G95" s="33"/>
      <c r="H95" s="33"/>
      <c r="I95" s="33"/>
      <c r="J95" s="33"/>
      <c r="K95" s="33"/>
      <c r="L95" s="34"/>
      <c r="M95" s="34"/>
      <c r="N95" s="34"/>
      <c r="O95" s="34"/>
      <c r="P95" s="33"/>
      <c r="Q95" s="35"/>
      <c r="R95" s="33"/>
      <c r="S95" s="33"/>
      <c r="T95" s="33"/>
      <c r="U95" s="33"/>
      <c r="V95" s="33"/>
      <c r="W95" s="33"/>
    </row>
    <row r="96" customFormat="false" ht="15" hidden="false" customHeight="false" outlineLevel="0" collapsed="false">
      <c r="A96" s="33"/>
      <c r="B96" s="33"/>
      <c r="C96" s="33"/>
      <c r="D96" s="33"/>
      <c r="E96" s="33"/>
      <c r="F96" s="33"/>
      <c r="G96" s="33"/>
      <c r="H96" s="33"/>
      <c r="I96" s="33"/>
      <c r="J96" s="33"/>
      <c r="K96" s="33"/>
      <c r="L96" s="34"/>
      <c r="M96" s="34"/>
      <c r="N96" s="34"/>
      <c r="O96" s="34"/>
      <c r="P96" s="33"/>
      <c r="Q96" s="35"/>
      <c r="R96" s="33"/>
      <c r="S96" s="33"/>
      <c r="T96" s="33"/>
      <c r="U96" s="33"/>
      <c r="V96" s="33"/>
      <c r="W96" s="33"/>
    </row>
    <row r="97" customFormat="false" ht="15" hidden="false" customHeight="false" outlineLevel="0" collapsed="false">
      <c r="A97" s="33"/>
      <c r="B97" s="33"/>
      <c r="C97" s="33"/>
      <c r="D97" s="33"/>
      <c r="E97" s="33"/>
      <c r="F97" s="33"/>
      <c r="G97" s="33"/>
      <c r="H97" s="33"/>
      <c r="I97" s="33"/>
      <c r="J97" s="33"/>
      <c r="K97" s="33"/>
      <c r="L97" s="34"/>
      <c r="M97" s="34"/>
      <c r="N97" s="34"/>
      <c r="O97" s="34"/>
      <c r="P97" s="33"/>
      <c r="Q97" s="35"/>
      <c r="R97" s="33"/>
      <c r="S97" s="33"/>
      <c r="T97" s="33"/>
      <c r="U97" s="33"/>
      <c r="V97" s="33"/>
      <c r="W97" s="33"/>
    </row>
    <row r="98" customFormat="false" ht="15" hidden="false" customHeight="false" outlineLevel="0" collapsed="false">
      <c r="A98" s="33"/>
      <c r="B98" s="33"/>
      <c r="C98" s="33"/>
      <c r="D98" s="33"/>
      <c r="E98" s="33"/>
      <c r="F98" s="33"/>
      <c r="G98" s="33"/>
      <c r="H98" s="33"/>
      <c r="I98" s="33"/>
      <c r="J98" s="33"/>
      <c r="K98" s="33"/>
      <c r="L98" s="34"/>
      <c r="M98" s="34"/>
      <c r="N98" s="34"/>
      <c r="O98" s="34"/>
      <c r="P98" s="33"/>
      <c r="Q98" s="35"/>
      <c r="R98" s="33"/>
      <c r="S98" s="33"/>
      <c r="T98" s="33"/>
      <c r="U98" s="33"/>
      <c r="V98" s="33"/>
      <c r="W98" s="33"/>
    </row>
    <row r="99" customFormat="false" ht="15" hidden="false" customHeight="false" outlineLevel="0" collapsed="false">
      <c r="A99" s="33"/>
      <c r="B99" s="33"/>
      <c r="C99" s="33"/>
      <c r="D99" s="33"/>
      <c r="E99" s="33"/>
      <c r="F99" s="33"/>
      <c r="G99" s="33"/>
      <c r="H99" s="33"/>
      <c r="I99" s="33"/>
      <c r="J99" s="33"/>
      <c r="K99" s="33"/>
      <c r="L99" s="34"/>
      <c r="M99" s="34"/>
      <c r="N99" s="34"/>
      <c r="O99" s="34"/>
      <c r="P99" s="33"/>
      <c r="Q99" s="35"/>
      <c r="R99" s="33"/>
      <c r="S99" s="33"/>
      <c r="T99" s="33"/>
      <c r="U99" s="33"/>
      <c r="V99" s="33"/>
      <c r="W99" s="33"/>
    </row>
    <row r="100" customFormat="false" ht="15" hidden="false" customHeight="false" outlineLevel="0" collapsed="false">
      <c r="A100" s="33"/>
      <c r="B100" s="33"/>
      <c r="C100" s="33"/>
      <c r="D100" s="33"/>
      <c r="E100" s="33"/>
      <c r="F100" s="33"/>
      <c r="G100" s="33"/>
      <c r="H100" s="33"/>
      <c r="I100" s="33"/>
      <c r="J100" s="33"/>
      <c r="K100" s="33"/>
      <c r="L100" s="34"/>
      <c r="M100" s="34"/>
      <c r="N100" s="34"/>
      <c r="O100" s="34"/>
      <c r="P100" s="33"/>
      <c r="Q100" s="35"/>
      <c r="R100" s="33"/>
      <c r="S100" s="33"/>
      <c r="T100" s="33"/>
      <c r="U100" s="33"/>
      <c r="V100" s="33"/>
      <c r="W100" s="33"/>
    </row>
    <row r="101" customFormat="false" ht="15" hidden="false" customHeight="false" outlineLevel="0" collapsed="false">
      <c r="A101" s="33"/>
      <c r="B101" s="33"/>
      <c r="C101" s="33"/>
      <c r="D101" s="33"/>
      <c r="E101" s="33"/>
      <c r="F101" s="33"/>
      <c r="G101" s="33"/>
      <c r="H101" s="33"/>
      <c r="I101" s="33"/>
      <c r="J101" s="33"/>
      <c r="K101" s="33"/>
      <c r="L101" s="34"/>
      <c r="M101" s="34"/>
      <c r="N101" s="34"/>
      <c r="O101" s="34"/>
      <c r="P101" s="33"/>
      <c r="Q101" s="35"/>
      <c r="R101" s="33"/>
      <c r="S101" s="33"/>
      <c r="T101" s="33"/>
      <c r="U101" s="33"/>
      <c r="V101" s="33"/>
      <c r="W101" s="33"/>
    </row>
    <row r="102" customFormat="false" ht="15" hidden="false" customHeight="false" outlineLevel="0" collapsed="false">
      <c r="A102" s="33"/>
      <c r="B102" s="33"/>
      <c r="C102" s="33"/>
      <c r="D102" s="33"/>
      <c r="E102" s="33"/>
      <c r="F102" s="33"/>
      <c r="G102" s="33"/>
      <c r="H102" s="33"/>
      <c r="I102" s="33"/>
      <c r="J102" s="33"/>
      <c r="K102" s="33"/>
      <c r="L102" s="34"/>
      <c r="M102" s="34"/>
      <c r="N102" s="34"/>
      <c r="O102" s="34"/>
      <c r="P102" s="33"/>
      <c r="Q102" s="35"/>
      <c r="R102" s="33"/>
      <c r="S102" s="33"/>
      <c r="T102" s="33"/>
      <c r="U102" s="33"/>
      <c r="V102" s="33"/>
      <c r="W102" s="33"/>
    </row>
    <row r="103" customFormat="false" ht="15" hidden="false" customHeight="false" outlineLevel="0" collapsed="false">
      <c r="A103" s="33"/>
      <c r="B103" s="33"/>
      <c r="C103" s="33"/>
      <c r="D103" s="33"/>
      <c r="E103" s="33"/>
      <c r="F103" s="33"/>
      <c r="G103" s="33"/>
      <c r="H103" s="33"/>
      <c r="I103" s="33"/>
      <c r="J103" s="33"/>
      <c r="K103" s="33"/>
      <c r="L103" s="34"/>
      <c r="M103" s="34"/>
      <c r="N103" s="34"/>
      <c r="O103" s="34"/>
      <c r="P103" s="33"/>
      <c r="Q103" s="35"/>
      <c r="R103" s="33"/>
      <c r="S103" s="33"/>
      <c r="T103" s="33"/>
      <c r="U103" s="33"/>
      <c r="V103" s="33"/>
      <c r="W103" s="33"/>
    </row>
    <row r="104" customFormat="false" ht="15" hidden="false" customHeight="false" outlineLevel="0" collapsed="false">
      <c r="A104" s="33"/>
      <c r="B104" s="33"/>
      <c r="C104" s="33"/>
      <c r="D104" s="33"/>
      <c r="E104" s="33"/>
      <c r="F104" s="33"/>
      <c r="G104" s="33"/>
      <c r="H104" s="33"/>
      <c r="I104" s="33"/>
      <c r="J104" s="33"/>
      <c r="K104" s="33"/>
      <c r="L104" s="34"/>
      <c r="M104" s="34"/>
      <c r="N104" s="34"/>
      <c r="O104" s="34"/>
      <c r="P104" s="33"/>
      <c r="Q104" s="35"/>
      <c r="R104" s="33"/>
      <c r="S104" s="33"/>
      <c r="T104" s="33"/>
      <c r="U104" s="33"/>
      <c r="V104" s="33"/>
      <c r="W104" s="33"/>
    </row>
    <row r="105" customFormat="false" ht="15" hidden="false" customHeight="false" outlineLevel="0" collapsed="false">
      <c r="A105" s="33"/>
      <c r="B105" s="33"/>
      <c r="C105" s="33"/>
      <c r="D105" s="33"/>
      <c r="E105" s="33"/>
      <c r="F105" s="33"/>
      <c r="G105" s="33"/>
      <c r="H105" s="33"/>
      <c r="I105" s="33"/>
      <c r="J105" s="33"/>
      <c r="K105" s="33"/>
      <c r="L105" s="34"/>
      <c r="M105" s="34"/>
      <c r="N105" s="34"/>
      <c r="O105" s="34"/>
      <c r="P105" s="33"/>
      <c r="Q105" s="35"/>
      <c r="R105" s="33"/>
      <c r="S105" s="33"/>
      <c r="T105" s="33"/>
      <c r="U105" s="33"/>
      <c r="V105" s="33"/>
      <c r="W105" s="33"/>
    </row>
    <row r="106" customFormat="false" ht="15" hidden="false" customHeight="false" outlineLevel="0" collapsed="false">
      <c r="A106" s="33"/>
      <c r="B106" s="33"/>
      <c r="C106" s="33"/>
      <c r="D106" s="33"/>
      <c r="E106" s="33"/>
      <c r="F106" s="33"/>
      <c r="G106" s="33"/>
      <c r="H106" s="33"/>
      <c r="I106" s="33"/>
      <c r="J106" s="33"/>
      <c r="K106" s="33"/>
      <c r="L106" s="34"/>
      <c r="M106" s="34"/>
      <c r="N106" s="34"/>
      <c r="O106" s="34"/>
      <c r="P106" s="33"/>
      <c r="Q106" s="35"/>
      <c r="R106" s="33"/>
      <c r="S106" s="33"/>
      <c r="T106" s="33"/>
      <c r="U106" s="33"/>
      <c r="V106" s="33"/>
      <c r="W106" s="33"/>
    </row>
    <row r="107" customFormat="false" ht="15" hidden="false" customHeight="false" outlineLevel="0" collapsed="false">
      <c r="A107" s="33"/>
      <c r="B107" s="33"/>
      <c r="C107" s="33"/>
      <c r="D107" s="33"/>
      <c r="E107" s="33"/>
      <c r="F107" s="33"/>
      <c r="G107" s="33"/>
      <c r="H107" s="33"/>
      <c r="I107" s="33"/>
      <c r="J107" s="33"/>
      <c r="K107" s="33"/>
      <c r="L107" s="34"/>
      <c r="M107" s="34"/>
      <c r="N107" s="34"/>
      <c r="O107" s="34"/>
      <c r="P107" s="33"/>
      <c r="Q107" s="35"/>
      <c r="R107" s="33"/>
      <c r="S107" s="33"/>
      <c r="T107" s="33"/>
      <c r="U107" s="33"/>
      <c r="V107" s="33"/>
      <c r="W107" s="33"/>
    </row>
    <row r="108" customFormat="false" ht="15" hidden="false" customHeight="false" outlineLevel="0" collapsed="false">
      <c r="A108" s="33"/>
      <c r="B108" s="33"/>
      <c r="C108" s="33"/>
      <c r="D108" s="33"/>
      <c r="E108" s="33"/>
      <c r="F108" s="33"/>
      <c r="G108" s="33"/>
      <c r="H108" s="33"/>
      <c r="I108" s="33"/>
      <c r="J108" s="33"/>
      <c r="K108" s="33"/>
      <c r="L108" s="34"/>
      <c r="M108" s="34"/>
      <c r="N108" s="34"/>
      <c r="O108" s="34"/>
      <c r="P108" s="33"/>
      <c r="Q108" s="35"/>
      <c r="R108" s="33"/>
      <c r="S108" s="33"/>
      <c r="T108" s="33"/>
      <c r="U108" s="33"/>
      <c r="V108" s="33"/>
      <c r="W108" s="33"/>
    </row>
    <row r="109" customFormat="false" ht="15" hidden="false" customHeight="false" outlineLevel="0" collapsed="false">
      <c r="A109" s="33"/>
      <c r="B109" s="33"/>
      <c r="C109" s="33"/>
      <c r="D109" s="33"/>
      <c r="E109" s="33"/>
      <c r="F109" s="33"/>
      <c r="G109" s="33"/>
      <c r="H109" s="33"/>
      <c r="I109" s="33"/>
      <c r="J109" s="33"/>
      <c r="K109" s="33"/>
      <c r="L109" s="34"/>
      <c r="M109" s="34"/>
      <c r="N109" s="34"/>
      <c r="O109" s="34"/>
      <c r="P109" s="33"/>
      <c r="Q109" s="35"/>
      <c r="R109" s="33"/>
      <c r="S109" s="33"/>
      <c r="T109" s="33"/>
      <c r="U109" s="33"/>
      <c r="V109" s="33"/>
      <c r="W109" s="33"/>
    </row>
    <row r="110" customFormat="false" ht="15" hidden="false" customHeight="false" outlineLevel="0" collapsed="false">
      <c r="A110" s="33"/>
      <c r="B110" s="33"/>
      <c r="C110" s="33"/>
      <c r="D110" s="33"/>
      <c r="E110" s="33"/>
      <c r="F110" s="33"/>
      <c r="G110" s="33"/>
      <c r="H110" s="33"/>
      <c r="I110" s="33"/>
      <c r="J110" s="33"/>
      <c r="K110" s="33"/>
      <c r="L110" s="34"/>
      <c r="M110" s="34"/>
      <c r="N110" s="34"/>
      <c r="O110" s="34"/>
      <c r="P110" s="33"/>
      <c r="Q110" s="35"/>
      <c r="R110" s="33"/>
      <c r="S110" s="33"/>
      <c r="T110" s="33"/>
      <c r="U110" s="33"/>
      <c r="V110" s="33"/>
      <c r="W110" s="33"/>
    </row>
    <row r="111" customFormat="false" ht="15" hidden="false" customHeight="false" outlineLevel="0" collapsed="false">
      <c r="A111" s="33"/>
      <c r="B111" s="33"/>
      <c r="C111" s="33"/>
      <c r="D111" s="33"/>
      <c r="E111" s="33"/>
      <c r="F111" s="33"/>
      <c r="G111" s="33"/>
      <c r="H111" s="33"/>
      <c r="I111" s="33"/>
      <c r="J111" s="33"/>
      <c r="K111" s="33"/>
      <c r="L111" s="34"/>
      <c r="M111" s="34"/>
      <c r="N111" s="34"/>
      <c r="O111" s="34"/>
      <c r="P111" s="33"/>
      <c r="Q111" s="35"/>
      <c r="R111" s="33"/>
      <c r="S111" s="33"/>
      <c r="T111" s="33"/>
      <c r="U111" s="33"/>
      <c r="V111" s="33"/>
      <c r="W111" s="33"/>
    </row>
    <row r="112" customFormat="false" ht="15" hidden="false" customHeight="false" outlineLevel="0" collapsed="false">
      <c r="A112" s="33"/>
      <c r="B112" s="33"/>
      <c r="C112" s="33"/>
      <c r="D112" s="33"/>
      <c r="E112" s="33"/>
      <c r="F112" s="33"/>
      <c r="G112" s="33"/>
      <c r="H112" s="33"/>
      <c r="I112" s="33"/>
      <c r="J112" s="33"/>
      <c r="K112" s="33"/>
      <c r="L112" s="34"/>
      <c r="M112" s="34"/>
      <c r="N112" s="34"/>
      <c r="O112" s="34"/>
      <c r="P112" s="33"/>
      <c r="Q112" s="35"/>
      <c r="R112" s="33"/>
      <c r="S112" s="33"/>
      <c r="T112" s="33"/>
      <c r="U112" s="33"/>
      <c r="V112" s="33"/>
      <c r="W112" s="33"/>
    </row>
    <row r="113" customFormat="false" ht="15" hidden="false" customHeight="false" outlineLevel="0" collapsed="false">
      <c r="A113" s="33"/>
      <c r="B113" s="33"/>
      <c r="C113" s="33"/>
      <c r="D113" s="33"/>
      <c r="E113" s="33"/>
      <c r="F113" s="33"/>
      <c r="G113" s="33"/>
      <c r="H113" s="33"/>
      <c r="I113" s="33"/>
      <c r="J113" s="33"/>
      <c r="K113" s="33"/>
      <c r="L113" s="34"/>
      <c r="M113" s="34"/>
      <c r="N113" s="34"/>
      <c r="O113" s="34"/>
      <c r="P113" s="33"/>
      <c r="Q113" s="35"/>
      <c r="R113" s="33"/>
      <c r="S113" s="33"/>
      <c r="T113" s="33"/>
      <c r="U113" s="33"/>
      <c r="V113" s="33"/>
      <c r="W113" s="33"/>
    </row>
    <row r="114" customFormat="false" ht="15" hidden="false" customHeight="false" outlineLevel="0" collapsed="false">
      <c r="A114" s="33"/>
      <c r="B114" s="33"/>
      <c r="C114" s="33"/>
      <c r="D114" s="33"/>
      <c r="E114" s="33"/>
      <c r="F114" s="33"/>
      <c r="G114" s="33"/>
      <c r="H114" s="33"/>
      <c r="I114" s="33"/>
      <c r="J114" s="33"/>
      <c r="K114" s="33"/>
      <c r="L114" s="34"/>
      <c r="M114" s="34"/>
      <c r="N114" s="34"/>
      <c r="O114" s="34"/>
      <c r="P114" s="33"/>
      <c r="Q114" s="35"/>
      <c r="R114" s="33"/>
      <c r="S114" s="33"/>
      <c r="T114" s="33"/>
      <c r="U114" s="33"/>
      <c r="V114" s="33"/>
      <c r="W114" s="33"/>
    </row>
    <row r="115" customFormat="false" ht="15" hidden="false" customHeight="false" outlineLevel="0" collapsed="false">
      <c r="A115" s="33"/>
      <c r="B115" s="33"/>
      <c r="C115" s="33"/>
      <c r="D115" s="33"/>
      <c r="E115" s="33"/>
      <c r="F115" s="33"/>
      <c r="G115" s="33"/>
      <c r="H115" s="33"/>
      <c r="I115" s="33"/>
      <c r="J115" s="33"/>
      <c r="K115" s="33"/>
      <c r="L115" s="34"/>
      <c r="M115" s="34"/>
      <c r="N115" s="34"/>
      <c r="O115" s="34"/>
      <c r="P115" s="33"/>
      <c r="Q115" s="35"/>
      <c r="R115" s="33"/>
      <c r="S115" s="33"/>
      <c r="T115" s="33"/>
      <c r="U115" s="33"/>
      <c r="V115" s="33"/>
      <c r="W115" s="33"/>
    </row>
    <row r="116" customFormat="false" ht="15" hidden="false" customHeight="false" outlineLevel="0" collapsed="false">
      <c r="A116" s="33"/>
      <c r="B116" s="33"/>
      <c r="C116" s="33"/>
      <c r="D116" s="33"/>
      <c r="E116" s="33"/>
      <c r="F116" s="33"/>
      <c r="G116" s="33"/>
      <c r="H116" s="33"/>
      <c r="I116" s="33"/>
      <c r="J116" s="33"/>
      <c r="K116" s="33"/>
      <c r="L116" s="34"/>
      <c r="M116" s="34"/>
      <c r="N116" s="34"/>
      <c r="O116" s="34"/>
      <c r="P116" s="33"/>
      <c r="Q116" s="35"/>
      <c r="R116" s="33"/>
      <c r="S116" s="33"/>
      <c r="T116" s="33"/>
      <c r="U116" s="33"/>
      <c r="V116" s="33"/>
      <c r="W116" s="33"/>
    </row>
    <row r="117" customFormat="false" ht="15" hidden="false" customHeight="false" outlineLevel="0" collapsed="false">
      <c r="A117" s="33"/>
      <c r="B117" s="33"/>
      <c r="C117" s="33"/>
      <c r="D117" s="33"/>
      <c r="E117" s="33"/>
      <c r="F117" s="33"/>
      <c r="G117" s="33"/>
      <c r="H117" s="33"/>
      <c r="I117" s="33"/>
      <c r="J117" s="33"/>
      <c r="K117" s="33"/>
      <c r="L117" s="34"/>
      <c r="M117" s="34"/>
      <c r="N117" s="34"/>
      <c r="O117" s="34"/>
      <c r="P117" s="33"/>
      <c r="Q117" s="35"/>
      <c r="R117" s="33"/>
      <c r="S117" s="33"/>
      <c r="T117" s="33"/>
      <c r="U117" s="33"/>
      <c r="V117" s="33"/>
      <c r="W117" s="33"/>
    </row>
    <row r="118" customFormat="false" ht="15" hidden="false" customHeight="false" outlineLevel="0" collapsed="false">
      <c r="A118" s="33"/>
      <c r="B118" s="33"/>
      <c r="C118" s="33"/>
      <c r="D118" s="33"/>
      <c r="E118" s="33"/>
      <c r="F118" s="33"/>
      <c r="G118" s="33"/>
      <c r="H118" s="33"/>
      <c r="I118" s="33"/>
      <c r="J118" s="33"/>
      <c r="K118" s="33"/>
      <c r="L118" s="34"/>
      <c r="M118" s="34"/>
      <c r="N118" s="34"/>
      <c r="O118" s="34"/>
      <c r="P118" s="33"/>
      <c r="Q118" s="35"/>
      <c r="R118" s="33"/>
      <c r="S118" s="33"/>
      <c r="T118" s="33"/>
      <c r="U118" s="33"/>
      <c r="V118" s="33"/>
      <c r="W118" s="33"/>
    </row>
    <row r="119" customFormat="false" ht="15" hidden="false" customHeight="false" outlineLevel="0" collapsed="false">
      <c r="A119" s="33"/>
      <c r="B119" s="33"/>
      <c r="C119" s="33"/>
      <c r="D119" s="33"/>
      <c r="E119" s="33"/>
      <c r="F119" s="33"/>
      <c r="G119" s="33"/>
      <c r="H119" s="33"/>
      <c r="I119" s="33"/>
      <c r="J119" s="33"/>
      <c r="K119" s="33"/>
      <c r="L119" s="34"/>
      <c r="M119" s="34"/>
      <c r="N119" s="34"/>
      <c r="O119" s="34"/>
      <c r="P119" s="33"/>
      <c r="Q119" s="35"/>
      <c r="R119" s="33"/>
      <c r="S119" s="33"/>
      <c r="T119" s="33"/>
      <c r="U119" s="33"/>
      <c r="V119" s="33"/>
      <c r="W119" s="33"/>
    </row>
    <row r="120" customFormat="false" ht="15" hidden="false" customHeight="false" outlineLevel="0" collapsed="false">
      <c r="A120" s="33"/>
      <c r="B120" s="33"/>
      <c r="C120" s="33"/>
      <c r="D120" s="33"/>
      <c r="E120" s="33"/>
      <c r="F120" s="33"/>
      <c r="G120" s="33"/>
      <c r="H120" s="33"/>
      <c r="I120" s="33"/>
      <c r="J120" s="33"/>
      <c r="K120" s="33"/>
      <c r="L120" s="34"/>
      <c r="M120" s="34"/>
      <c r="N120" s="34"/>
      <c r="O120" s="34"/>
      <c r="P120" s="33"/>
      <c r="Q120" s="35"/>
      <c r="R120" s="33"/>
      <c r="S120" s="33"/>
      <c r="T120" s="33"/>
      <c r="U120" s="33"/>
      <c r="V120" s="33"/>
      <c r="W120" s="33"/>
    </row>
    <row r="121" customFormat="false" ht="15" hidden="false" customHeight="false" outlineLevel="0" collapsed="false">
      <c r="A121" s="33"/>
      <c r="B121" s="33"/>
      <c r="C121" s="33"/>
      <c r="D121" s="33"/>
      <c r="E121" s="33"/>
      <c r="F121" s="33"/>
      <c r="G121" s="33"/>
      <c r="H121" s="33"/>
      <c r="I121" s="33"/>
      <c r="J121" s="33"/>
      <c r="K121" s="33"/>
      <c r="L121" s="34"/>
      <c r="M121" s="34"/>
      <c r="N121" s="34"/>
      <c r="O121" s="34"/>
      <c r="P121" s="33"/>
      <c r="Q121" s="35"/>
      <c r="R121" s="33"/>
      <c r="S121" s="33"/>
      <c r="T121" s="33"/>
      <c r="U121" s="33"/>
      <c r="V121" s="33"/>
      <c r="W121" s="33"/>
    </row>
    <row r="122" customFormat="false" ht="15" hidden="false" customHeight="false" outlineLevel="0" collapsed="false">
      <c r="A122" s="33"/>
      <c r="B122" s="33"/>
      <c r="C122" s="33"/>
      <c r="D122" s="33"/>
      <c r="E122" s="33"/>
      <c r="F122" s="33"/>
      <c r="G122" s="33"/>
      <c r="H122" s="33"/>
      <c r="I122" s="33"/>
      <c r="J122" s="33"/>
      <c r="K122" s="33"/>
      <c r="L122" s="34"/>
      <c r="M122" s="34"/>
      <c r="N122" s="34"/>
      <c r="O122" s="34"/>
      <c r="P122" s="33"/>
      <c r="Q122" s="35"/>
      <c r="R122" s="33"/>
      <c r="S122" s="33"/>
      <c r="T122" s="33"/>
      <c r="U122" s="33"/>
      <c r="V122" s="33"/>
      <c r="W122" s="33"/>
    </row>
    <row r="123" customFormat="false" ht="15" hidden="false" customHeight="false" outlineLevel="0" collapsed="false">
      <c r="A123" s="33"/>
      <c r="B123" s="33"/>
      <c r="C123" s="33"/>
      <c r="D123" s="33"/>
      <c r="E123" s="33"/>
      <c r="F123" s="33"/>
      <c r="G123" s="33"/>
      <c r="H123" s="33"/>
      <c r="I123" s="33"/>
      <c r="J123" s="33"/>
      <c r="K123" s="33"/>
      <c r="L123" s="34"/>
      <c r="M123" s="34"/>
      <c r="N123" s="34"/>
      <c r="O123" s="34"/>
      <c r="P123" s="33"/>
      <c r="Q123" s="35"/>
      <c r="R123" s="33"/>
      <c r="S123" s="33"/>
      <c r="T123" s="33"/>
      <c r="U123" s="33"/>
      <c r="V123" s="33"/>
      <c r="W123" s="33"/>
    </row>
    <row r="124" customFormat="false" ht="15" hidden="false" customHeight="false" outlineLevel="0" collapsed="false">
      <c r="A124" s="33"/>
      <c r="B124" s="33"/>
      <c r="C124" s="33"/>
      <c r="D124" s="33"/>
      <c r="E124" s="33"/>
      <c r="F124" s="33"/>
      <c r="G124" s="33"/>
      <c r="H124" s="33"/>
      <c r="I124" s="33"/>
      <c r="J124" s="33"/>
      <c r="K124" s="33"/>
      <c r="L124" s="34"/>
      <c r="M124" s="34"/>
      <c r="N124" s="34"/>
      <c r="O124" s="34"/>
      <c r="P124" s="33"/>
      <c r="Q124" s="35"/>
      <c r="R124" s="33"/>
      <c r="S124" s="33"/>
      <c r="T124" s="33"/>
      <c r="U124" s="33"/>
      <c r="V124" s="33"/>
      <c r="W124" s="33"/>
    </row>
    <row r="125" customFormat="false" ht="15" hidden="false" customHeight="false" outlineLevel="0" collapsed="false">
      <c r="A125" s="33"/>
      <c r="B125" s="33"/>
      <c r="C125" s="33"/>
      <c r="D125" s="33"/>
      <c r="E125" s="33"/>
      <c r="F125" s="33"/>
      <c r="G125" s="33"/>
      <c r="H125" s="33"/>
      <c r="I125" s="33"/>
      <c r="J125" s="33"/>
      <c r="K125" s="33"/>
      <c r="L125" s="34"/>
      <c r="M125" s="34"/>
      <c r="N125" s="34"/>
      <c r="O125" s="34"/>
      <c r="P125" s="33"/>
      <c r="Q125" s="35"/>
      <c r="R125" s="33"/>
      <c r="S125" s="33"/>
      <c r="T125" s="33"/>
      <c r="U125" s="33"/>
      <c r="V125" s="33"/>
      <c r="W125" s="33"/>
    </row>
    <row r="126" customFormat="false" ht="15" hidden="false" customHeight="false" outlineLevel="0" collapsed="false">
      <c r="A126" s="33"/>
      <c r="B126" s="33"/>
      <c r="C126" s="33"/>
      <c r="D126" s="33"/>
      <c r="E126" s="33"/>
      <c r="F126" s="33"/>
      <c r="G126" s="33"/>
      <c r="H126" s="33"/>
      <c r="I126" s="33"/>
      <c r="J126" s="33"/>
      <c r="K126" s="33"/>
      <c r="L126" s="34"/>
      <c r="M126" s="34"/>
      <c r="N126" s="34"/>
      <c r="O126" s="34"/>
      <c r="P126" s="33"/>
      <c r="Q126" s="35"/>
      <c r="R126" s="33"/>
      <c r="S126" s="33"/>
      <c r="T126" s="33"/>
      <c r="U126" s="33"/>
      <c r="V126" s="33"/>
      <c r="W126" s="33"/>
    </row>
    <row r="127" customFormat="false" ht="15" hidden="false" customHeight="false" outlineLevel="0" collapsed="false">
      <c r="A127" s="33"/>
      <c r="B127" s="33"/>
      <c r="C127" s="33"/>
      <c r="D127" s="33"/>
      <c r="E127" s="33"/>
      <c r="F127" s="33"/>
      <c r="G127" s="33"/>
      <c r="H127" s="33"/>
      <c r="I127" s="33"/>
      <c r="J127" s="33"/>
      <c r="K127" s="33"/>
      <c r="L127" s="34"/>
      <c r="M127" s="34"/>
      <c r="N127" s="34"/>
      <c r="O127" s="34"/>
      <c r="P127" s="33"/>
      <c r="Q127" s="35"/>
      <c r="R127" s="33"/>
      <c r="S127" s="33"/>
      <c r="T127" s="33"/>
      <c r="U127" s="33"/>
      <c r="V127" s="33"/>
      <c r="W127" s="33"/>
    </row>
    <row r="128" customFormat="false" ht="15" hidden="false" customHeight="false" outlineLevel="0" collapsed="false">
      <c r="A128" s="33"/>
      <c r="B128" s="33"/>
      <c r="C128" s="33"/>
      <c r="D128" s="33"/>
      <c r="E128" s="33"/>
      <c r="F128" s="33"/>
      <c r="G128" s="33"/>
      <c r="H128" s="33"/>
      <c r="I128" s="33"/>
      <c r="J128" s="33"/>
      <c r="K128" s="33"/>
      <c r="L128" s="34"/>
      <c r="M128" s="34"/>
      <c r="N128" s="34"/>
      <c r="O128" s="34"/>
      <c r="P128" s="33"/>
      <c r="Q128" s="35"/>
      <c r="R128" s="33"/>
      <c r="S128" s="33"/>
      <c r="T128" s="33"/>
      <c r="U128" s="33"/>
      <c r="V128" s="33"/>
      <c r="W128" s="33"/>
    </row>
    <row r="129" customFormat="false" ht="15" hidden="false" customHeight="false" outlineLevel="0" collapsed="false">
      <c r="A129" s="33"/>
      <c r="B129" s="33"/>
      <c r="C129" s="33"/>
      <c r="D129" s="33"/>
      <c r="E129" s="33"/>
      <c r="F129" s="33"/>
      <c r="G129" s="33"/>
      <c r="H129" s="33"/>
      <c r="I129" s="33"/>
      <c r="J129" s="33"/>
      <c r="K129" s="33"/>
      <c r="L129" s="34"/>
      <c r="M129" s="34"/>
      <c r="N129" s="34"/>
      <c r="O129" s="34"/>
      <c r="P129" s="33"/>
      <c r="Q129" s="35"/>
      <c r="R129" s="33"/>
      <c r="S129" s="33"/>
      <c r="T129" s="33"/>
      <c r="U129" s="33"/>
      <c r="V129" s="33"/>
      <c r="W129" s="33"/>
    </row>
    <row r="130" customFormat="false" ht="15" hidden="false" customHeight="false" outlineLevel="0" collapsed="false">
      <c r="A130" s="33"/>
      <c r="B130" s="33"/>
      <c r="C130" s="33"/>
      <c r="D130" s="33"/>
      <c r="E130" s="33"/>
      <c r="F130" s="33"/>
      <c r="G130" s="33"/>
      <c r="H130" s="33"/>
      <c r="I130" s="33"/>
      <c r="J130" s="33"/>
      <c r="K130" s="33"/>
      <c r="L130" s="34"/>
      <c r="M130" s="34"/>
      <c r="N130" s="34"/>
      <c r="O130" s="34"/>
      <c r="P130" s="33"/>
      <c r="Q130" s="35"/>
      <c r="R130" s="33"/>
      <c r="S130" s="33"/>
      <c r="T130" s="33"/>
      <c r="U130" s="33"/>
      <c r="V130" s="33"/>
      <c r="W130" s="33"/>
    </row>
    <row r="131" customFormat="false" ht="15" hidden="false" customHeight="false" outlineLevel="0" collapsed="false">
      <c r="A131" s="33"/>
      <c r="B131" s="33"/>
      <c r="C131" s="33"/>
      <c r="D131" s="33"/>
      <c r="E131" s="33"/>
      <c r="F131" s="33"/>
      <c r="G131" s="33"/>
      <c r="H131" s="33"/>
      <c r="I131" s="33"/>
      <c r="J131" s="33"/>
      <c r="K131" s="33"/>
      <c r="L131" s="34"/>
      <c r="M131" s="34"/>
      <c r="N131" s="34"/>
      <c r="O131" s="34"/>
      <c r="P131" s="33"/>
      <c r="Q131" s="35"/>
      <c r="R131" s="33"/>
      <c r="S131" s="33"/>
      <c r="T131" s="33"/>
      <c r="U131" s="33"/>
      <c r="V131" s="33"/>
      <c r="W131" s="33"/>
    </row>
    <row r="132" customFormat="false" ht="15" hidden="false" customHeight="false" outlineLevel="0" collapsed="false">
      <c r="A132" s="33"/>
      <c r="B132" s="33"/>
      <c r="C132" s="33"/>
      <c r="D132" s="33"/>
      <c r="E132" s="33"/>
      <c r="F132" s="33"/>
      <c r="G132" s="33"/>
      <c r="H132" s="33"/>
      <c r="I132" s="33"/>
      <c r="J132" s="33"/>
      <c r="K132" s="33"/>
      <c r="L132" s="34"/>
      <c r="M132" s="34"/>
      <c r="N132" s="34"/>
      <c r="O132" s="34"/>
      <c r="P132" s="33"/>
      <c r="Q132" s="35"/>
      <c r="R132" s="33"/>
      <c r="S132" s="33"/>
      <c r="T132" s="33"/>
      <c r="U132" s="33"/>
      <c r="V132" s="33"/>
      <c r="W132" s="33"/>
    </row>
    <row r="133" customFormat="false" ht="15" hidden="false" customHeight="false" outlineLevel="0" collapsed="false">
      <c r="A133" s="33"/>
      <c r="B133" s="33"/>
      <c r="C133" s="33"/>
      <c r="D133" s="33"/>
      <c r="E133" s="33"/>
      <c r="F133" s="33"/>
      <c r="G133" s="33"/>
      <c r="H133" s="33"/>
      <c r="I133" s="33"/>
      <c r="J133" s="33"/>
      <c r="K133" s="33"/>
      <c r="L133" s="34"/>
      <c r="M133" s="34"/>
      <c r="N133" s="34"/>
      <c r="O133" s="34"/>
      <c r="P133" s="33"/>
      <c r="Q133" s="35"/>
      <c r="R133" s="33"/>
      <c r="S133" s="33"/>
      <c r="T133" s="33"/>
      <c r="U133" s="33"/>
      <c r="V133" s="33"/>
      <c r="W133" s="33"/>
    </row>
    <row r="134" customFormat="false" ht="15" hidden="false" customHeight="false" outlineLevel="0" collapsed="false">
      <c r="A134" s="33"/>
      <c r="B134" s="33"/>
      <c r="C134" s="33"/>
      <c r="D134" s="33"/>
      <c r="E134" s="33"/>
      <c r="F134" s="33"/>
      <c r="G134" s="33"/>
      <c r="H134" s="33"/>
      <c r="I134" s="33"/>
      <c r="J134" s="33"/>
      <c r="K134" s="33"/>
      <c r="L134" s="34"/>
      <c r="M134" s="34"/>
      <c r="N134" s="34"/>
      <c r="O134" s="34"/>
      <c r="P134" s="33"/>
      <c r="Q134" s="35"/>
      <c r="R134" s="33"/>
      <c r="S134" s="33"/>
      <c r="T134" s="33"/>
      <c r="U134" s="33"/>
      <c r="V134" s="33"/>
      <c r="W134" s="33"/>
    </row>
    <row r="135" customFormat="false" ht="15" hidden="false" customHeight="false" outlineLevel="0" collapsed="false">
      <c r="A135" s="33"/>
      <c r="B135" s="33"/>
      <c r="C135" s="33"/>
      <c r="D135" s="33"/>
      <c r="E135" s="33"/>
      <c r="F135" s="33"/>
      <c r="G135" s="33"/>
      <c r="H135" s="33"/>
      <c r="I135" s="33"/>
      <c r="J135" s="33"/>
      <c r="K135" s="33"/>
      <c r="L135" s="34"/>
      <c r="M135" s="34"/>
      <c r="N135" s="34"/>
      <c r="O135" s="34"/>
      <c r="P135" s="33"/>
      <c r="Q135" s="35"/>
      <c r="R135" s="33"/>
      <c r="S135" s="33"/>
      <c r="T135" s="33"/>
      <c r="U135" s="33"/>
      <c r="V135" s="33"/>
      <c r="W135" s="33"/>
    </row>
    <row r="136" customFormat="false" ht="15" hidden="false" customHeight="false" outlineLevel="0" collapsed="false">
      <c r="A136" s="33"/>
      <c r="B136" s="33"/>
      <c r="C136" s="33"/>
      <c r="D136" s="33"/>
      <c r="E136" s="33"/>
      <c r="F136" s="33"/>
      <c r="G136" s="33"/>
      <c r="H136" s="33"/>
      <c r="I136" s="33"/>
      <c r="J136" s="33"/>
      <c r="K136" s="33"/>
      <c r="L136" s="34"/>
      <c r="M136" s="34"/>
      <c r="N136" s="34"/>
      <c r="O136" s="34"/>
      <c r="P136" s="33"/>
      <c r="Q136" s="35"/>
      <c r="R136" s="33"/>
      <c r="S136" s="33"/>
      <c r="T136" s="33"/>
      <c r="U136" s="33"/>
      <c r="V136" s="33"/>
      <c r="W136" s="33"/>
    </row>
    <row r="137" customFormat="false" ht="15" hidden="false" customHeight="false" outlineLevel="0" collapsed="false">
      <c r="A137" s="33"/>
      <c r="B137" s="33"/>
      <c r="C137" s="33"/>
      <c r="D137" s="33"/>
      <c r="E137" s="33"/>
      <c r="F137" s="33"/>
      <c r="G137" s="33"/>
      <c r="H137" s="33"/>
      <c r="I137" s="33"/>
      <c r="J137" s="33"/>
      <c r="K137" s="33"/>
      <c r="L137" s="34"/>
      <c r="M137" s="34"/>
      <c r="N137" s="34"/>
      <c r="O137" s="34"/>
      <c r="P137" s="33"/>
      <c r="Q137" s="35"/>
      <c r="R137" s="33"/>
      <c r="S137" s="33"/>
      <c r="T137" s="33"/>
      <c r="U137" s="33"/>
      <c r="V137" s="33"/>
      <c r="W137" s="33"/>
    </row>
    <row r="138" customFormat="false" ht="15" hidden="false" customHeight="false" outlineLevel="0" collapsed="false">
      <c r="A138" s="33"/>
      <c r="B138" s="33"/>
      <c r="C138" s="33"/>
      <c r="D138" s="33"/>
      <c r="E138" s="33"/>
      <c r="F138" s="33"/>
      <c r="G138" s="33"/>
      <c r="H138" s="33"/>
      <c r="I138" s="33"/>
      <c r="J138" s="33"/>
      <c r="K138" s="33"/>
      <c r="L138" s="34"/>
      <c r="M138" s="34"/>
      <c r="N138" s="34"/>
      <c r="O138" s="34"/>
      <c r="P138" s="33"/>
      <c r="Q138" s="35"/>
      <c r="R138" s="33"/>
      <c r="S138" s="33"/>
      <c r="T138" s="33"/>
      <c r="U138" s="33"/>
      <c r="V138" s="33"/>
      <c r="W138" s="33"/>
    </row>
    <row r="139" customFormat="false" ht="15" hidden="false" customHeight="false" outlineLevel="0" collapsed="false">
      <c r="A139" s="33"/>
      <c r="B139" s="33"/>
      <c r="C139" s="33"/>
      <c r="D139" s="33"/>
      <c r="E139" s="33"/>
      <c r="F139" s="33"/>
      <c r="G139" s="33"/>
      <c r="H139" s="33"/>
      <c r="I139" s="33"/>
      <c r="J139" s="33"/>
      <c r="K139" s="33"/>
      <c r="L139" s="34"/>
      <c r="M139" s="34"/>
      <c r="N139" s="34"/>
      <c r="O139" s="34"/>
      <c r="P139" s="33"/>
      <c r="Q139" s="35"/>
      <c r="R139" s="33"/>
      <c r="S139" s="33"/>
      <c r="T139" s="33"/>
      <c r="U139" s="33"/>
      <c r="V139" s="33"/>
      <c r="W139" s="33"/>
    </row>
    <row r="140" customFormat="false" ht="15" hidden="false" customHeight="false" outlineLevel="0" collapsed="false">
      <c r="A140" s="33"/>
      <c r="B140" s="33"/>
      <c r="C140" s="33"/>
      <c r="D140" s="33"/>
      <c r="E140" s="33"/>
      <c r="F140" s="33"/>
      <c r="G140" s="33"/>
      <c r="H140" s="33"/>
      <c r="I140" s="33"/>
      <c r="J140" s="33"/>
      <c r="K140" s="33"/>
      <c r="L140" s="34"/>
      <c r="M140" s="34"/>
      <c r="N140" s="34"/>
      <c r="O140" s="34"/>
      <c r="P140" s="33"/>
      <c r="Q140" s="35"/>
      <c r="R140" s="33"/>
      <c r="S140" s="33"/>
      <c r="T140" s="33"/>
      <c r="U140" s="33"/>
      <c r="V140" s="33"/>
      <c r="W140" s="33"/>
    </row>
    <row r="141" customFormat="false" ht="15" hidden="false" customHeight="false" outlineLevel="0" collapsed="false">
      <c r="A141" s="33"/>
      <c r="B141" s="33"/>
      <c r="C141" s="33"/>
      <c r="D141" s="33"/>
      <c r="E141" s="33"/>
      <c r="F141" s="33"/>
      <c r="G141" s="33"/>
      <c r="H141" s="33"/>
      <c r="I141" s="33"/>
      <c r="J141" s="33"/>
      <c r="K141" s="33"/>
      <c r="L141" s="34"/>
      <c r="M141" s="34"/>
      <c r="N141" s="34"/>
      <c r="O141" s="34"/>
      <c r="P141" s="33"/>
      <c r="Q141" s="35"/>
      <c r="R141" s="33"/>
      <c r="S141" s="33"/>
      <c r="T141" s="33"/>
      <c r="U141" s="33"/>
      <c r="V141" s="33"/>
      <c r="W141" s="33"/>
    </row>
    <row r="142" customFormat="false" ht="15" hidden="false" customHeight="false" outlineLevel="0" collapsed="false">
      <c r="A142" s="33"/>
      <c r="B142" s="33"/>
      <c r="C142" s="33"/>
      <c r="D142" s="33"/>
      <c r="E142" s="33"/>
      <c r="F142" s="33"/>
      <c r="G142" s="33"/>
      <c r="H142" s="33"/>
      <c r="I142" s="33"/>
      <c r="J142" s="33"/>
      <c r="K142" s="33"/>
      <c r="L142" s="34"/>
      <c r="M142" s="34"/>
      <c r="N142" s="34"/>
      <c r="O142" s="34"/>
      <c r="P142" s="33"/>
      <c r="Q142" s="35"/>
      <c r="R142" s="33"/>
      <c r="S142" s="33"/>
      <c r="T142" s="33"/>
      <c r="U142" s="33"/>
      <c r="V142" s="33"/>
      <c r="W142" s="33"/>
    </row>
    <row r="143" customFormat="false" ht="15" hidden="false" customHeight="false" outlineLevel="0" collapsed="false">
      <c r="A143" s="33"/>
      <c r="B143" s="33"/>
      <c r="C143" s="33"/>
      <c r="D143" s="33"/>
      <c r="E143" s="33"/>
      <c r="F143" s="33"/>
      <c r="G143" s="33"/>
      <c r="H143" s="33"/>
      <c r="I143" s="33"/>
      <c r="J143" s="33"/>
      <c r="K143" s="33"/>
      <c r="L143" s="34"/>
      <c r="M143" s="34"/>
      <c r="N143" s="34"/>
      <c r="O143" s="34"/>
      <c r="P143" s="33"/>
      <c r="Q143" s="35"/>
      <c r="R143" s="33"/>
      <c r="S143" s="33"/>
      <c r="T143" s="33"/>
      <c r="U143" s="33"/>
      <c r="V143" s="33"/>
      <c r="W143" s="33"/>
    </row>
    <row r="144" customFormat="false" ht="15" hidden="false" customHeight="false" outlineLevel="0" collapsed="false">
      <c r="A144" s="33"/>
      <c r="B144" s="33"/>
      <c r="C144" s="33"/>
      <c r="D144" s="33"/>
      <c r="E144" s="33"/>
      <c r="F144" s="33"/>
      <c r="G144" s="33"/>
      <c r="H144" s="33"/>
      <c r="I144" s="33"/>
      <c r="J144" s="33"/>
      <c r="K144" s="33"/>
      <c r="L144" s="34"/>
      <c r="M144" s="34"/>
      <c r="N144" s="34"/>
      <c r="O144" s="34"/>
      <c r="P144" s="33"/>
      <c r="Q144" s="35"/>
      <c r="R144" s="33"/>
      <c r="S144" s="33"/>
      <c r="T144" s="33"/>
      <c r="U144" s="33"/>
      <c r="V144" s="33"/>
      <c r="W144" s="33"/>
    </row>
    <row r="145" customFormat="false" ht="15" hidden="false" customHeight="false" outlineLevel="0" collapsed="false">
      <c r="A145" s="33"/>
      <c r="B145" s="33"/>
      <c r="C145" s="33"/>
      <c r="D145" s="33"/>
      <c r="E145" s="33"/>
      <c r="F145" s="33"/>
      <c r="G145" s="33"/>
      <c r="H145" s="33"/>
      <c r="I145" s="33"/>
      <c r="J145" s="33"/>
      <c r="K145" s="33"/>
      <c r="L145" s="34"/>
      <c r="M145" s="34"/>
      <c r="N145" s="34"/>
      <c r="O145" s="34"/>
      <c r="P145" s="33"/>
      <c r="Q145" s="35"/>
      <c r="R145" s="33"/>
      <c r="S145" s="33"/>
      <c r="T145" s="33"/>
      <c r="U145" s="33"/>
      <c r="V145" s="33"/>
      <c r="W145" s="33"/>
    </row>
    <row r="146" customFormat="false" ht="15" hidden="false" customHeight="false" outlineLevel="0" collapsed="false">
      <c r="A146" s="33"/>
      <c r="B146" s="33"/>
      <c r="C146" s="33"/>
      <c r="D146" s="33"/>
      <c r="E146" s="33"/>
      <c r="F146" s="33"/>
      <c r="G146" s="33"/>
      <c r="H146" s="33"/>
      <c r="I146" s="33"/>
      <c r="J146" s="33"/>
      <c r="K146" s="33"/>
      <c r="L146" s="34"/>
      <c r="M146" s="34"/>
      <c r="N146" s="34"/>
      <c r="O146" s="34"/>
      <c r="P146" s="33"/>
      <c r="Q146" s="35"/>
      <c r="R146" s="33"/>
      <c r="S146" s="33"/>
      <c r="T146" s="33"/>
      <c r="U146" s="33"/>
      <c r="V146" s="33"/>
      <c r="W146" s="33"/>
    </row>
    <row r="147" customFormat="false" ht="15" hidden="false" customHeight="false" outlineLevel="0" collapsed="false">
      <c r="A147" s="33"/>
      <c r="B147" s="33"/>
      <c r="C147" s="33"/>
      <c r="D147" s="33"/>
      <c r="E147" s="33"/>
      <c r="F147" s="33"/>
      <c r="G147" s="33"/>
      <c r="H147" s="33"/>
      <c r="I147" s="33"/>
      <c r="J147" s="33"/>
      <c r="K147" s="33"/>
      <c r="L147" s="34"/>
      <c r="M147" s="34"/>
      <c r="N147" s="34"/>
      <c r="O147" s="34"/>
      <c r="P147" s="33"/>
      <c r="Q147" s="35"/>
      <c r="R147" s="33"/>
      <c r="S147" s="33"/>
      <c r="T147" s="33"/>
      <c r="U147" s="33"/>
      <c r="V147" s="33"/>
      <c r="W147" s="33"/>
    </row>
    <row r="148" customFormat="false" ht="15" hidden="false" customHeight="false" outlineLevel="0" collapsed="false">
      <c r="A148" s="33"/>
      <c r="B148" s="33"/>
      <c r="C148" s="33"/>
      <c r="D148" s="33"/>
      <c r="E148" s="33"/>
      <c r="F148" s="33"/>
      <c r="G148" s="33"/>
      <c r="H148" s="33"/>
      <c r="I148" s="33"/>
      <c r="J148" s="33"/>
      <c r="K148" s="33"/>
      <c r="L148" s="34"/>
      <c r="M148" s="34"/>
      <c r="N148" s="34"/>
      <c r="O148" s="34"/>
      <c r="P148" s="33"/>
      <c r="Q148" s="35"/>
      <c r="R148" s="33"/>
      <c r="S148" s="33"/>
      <c r="T148" s="33"/>
      <c r="U148" s="33"/>
      <c r="V148" s="33"/>
      <c r="W148" s="33"/>
    </row>
    <row r="149" customFormat="false" ht="15" hidden="false" customHeight="false" outlineLevel="0" collapsed="false">
      <c r="A149" s="33"/>
      <c r="B149" s="33"/>
      <c r="C149" s="33"/>
      <c r="D149" s="33"/>
      <c r="E149" s="33"/>
      <c r="F149" s="33"/>
      <c r="G149" s="33"/>
      <c r="H149" s="33"/>
      <c r="I149" s="33"/>
      <c r="J149" s="33"/>
      <c r="K149" s="33"/>
      <c r="L149" s="34"/>
      <c r="M149" s="34"/>
      <c r="N149" s="34"/>
      <c r="O149" s="34"/>
      <c r="P149" s="33"/>
      <c r="Q149" s="35"/>
      <c r="R149" s="33"/>
      <c r="S149" s="33"/>
      <c r="T149" s="33"/>
      <c r="U149" s="33"/>
      <c r="V149" s="33"/>
      <c r="W149" s="33"/>
    </row>
    <row r="150" customFormat="false" ht="15" hidden="false" customHeight="false" outlineLevel="0" collapsed="false">
      <c r="A150" s="33"/>
      <c r="B150" s="33"/>
      <c r="C150" s="33"/>
      <c r="D150" s="33"/>
      <c r="E150" s="33"/>
      <c r="F150" s="33"/>
      <c r="G150" s="33"/>
      <c r="H150" s="33"/>
      <c r="I150" s="33"/>
      <c r="J150" s="33"/>
      <c r="K150" s="33"/>
      <c r="L150" s="34"/>
      <c r="M150" s="34"/>
      <c r="N150" s="34"/>
      <c r="O150" s="34"/>
      <c r="P150" s="33"/>
      <c r="Q150" s="35"/>
      <c r="R150" s="33"/>
      <c r="S150" s="33"/>
      <c r="T150" s="33"/>
      <c r="U150" s="33"/>
      <c r="V150" s="33"/>
      <c r="W150" s="33"/>
    </row>
    <row r="151" customFormat="false" ht="15" hidden="false" customHeight="false" outlineLevel="0" collapsed="false">
      <c r="A151" s="33"/>
      <c r="B151" s="33"/>
      <c r="C151" s="33"/>
      <c r="D151" s="33"/>
      <c r="E151" s="33"/>
      <c r="F151" s="33"/>
      <c r="G151" s="33"/>
      <c r="H151" s="33"/>
      <c r="I151" s="33"/>
      <c r="J151" s="33"/>
      <c r="K151" s="33"/>
      <c r="L151" s="34"/>
      <c r="M151" s="34"/>
      <c r="N151" s="34"/>
      <c r="O151" s="34"/>
      <c r="P151" s="33"/>
      <c r="Q151" s="35"/>
      <c r="R151" s="33"/>
      <c r="S151" s="33"/>
      <c r="T151" s="33"/>
      <c r="U151" s="33"/>
      <c r="V151" s="33"/>
      <c r="W151" s="33"/>
    </row>
    <row r="152" customFormat="false" ht="15" hidden="false" customHeight="false" outlineLevel="0" collapsed="false">
      <c r="A152" s="33"/>
      <c r="B152" s="33"/>
      <c r="C152" s="33"/>
      <c r="D152" s="33"/>
      <c r="E152" s="33"/>
      <c r="F152" s="33"/>
      <c r="G152" s="33"/>
      <c r="H152" s="33"/>
      <c r="I152" s="33"/>
      <c r="J152" s="33"/>
      <c r="K152" s="33"/>
      <c r="L152" s="34"/>
      <c r="M152" s="34"/>
      <c r="N152" s="34"/>
      <c r="O152" s="34"/>
      <c r="P152" s="33"/>
      <c r="Q152" s="35"/>
      <c r="R152" s="33"/>
      <c r="S152" s="33"/>
      <c r="T152" s="33"/>
      <c r="U152" s="33"/>
      <c r="V152" s="33"/>
      <c r="W152" s="33"/>
    </row>
    <row r="153" customFormat="false" ht="15" hidden="false" customHeight="false" outlineLevel="0" collapsed="false">
      <c r="A153" s="33"/>
      <c r="B153" s="33"/>
      <c r="C153" s="33"/>
      <c r="D153" s="33"/>
      <c r="E153" s="33"/>
      <c r="F153" s="33"/>
      <c r="G153" s="33"/>
      <c r="H153" s="33"/>
      <c r="I153" s="33"/>
      <c r="J153" s="33"/>
      <c r="K153" s="33"/>
      <c r="L153" s="34"/>
      <c r="M153" s="34"/>
      <c r="N153" s="34"/>
      <c r="O153" s="34"/>
      <c r="P153" s="33"/>
      <c r="Q153" s="35"/>
      <c r="R153" s="33"/>
      <c r="S153" s="33"/>
      <c r="T153" s="33"/>
      <c r="U153" s="33"/>
      <c r="V153" s="33"/>
      <c r="W153" s="33"/>
    </row>
    <row r="154" customFormat="false" ht="15" hidden="false" customHeight="false" outlineLevel="0" collapsed="false">
      <c r="A154" s="33"/>
      <c r="B154" s="33"/>
      <c r="C154" s="33"/>
      <c r="D154" s="33"/>
      <c r="E154" s="33"/>
      <c r="F154" s="33"/>
      <c r="G154" s="33"/>
      <c r="H154" s="33"/>
      <c r="I154" s="33"/>
      <c r="J154" s="33"/>
      <c r="K154" s="33"/>
      <c r="L154" s="34"/>
      <c r="M154" s="34"/>
      <c r="N154" s="34"/>
      <c r="O154" s="34"/>
      <c r="P154" s="33"/>
      <c r="Q154" s="35"/>
      <c r="R154" s="33"/>
      <c r="S154" s="33"/>
      <c r="T154" s="33"/>
      <c r="U154" s="33"/>
      <c r="V154" s="33"/>
      <c r="W154" s="33"/>
    </row>
    <row r="155" customFormat="false" ht="15" hidden="false" customHeight="false" outlineLevel="0" collapsed="false">
      <c r="A155" s="33"/>
      <c r="B155" s="33"/>
      <c r="C155" s="33"/>
      <c r="D155" s="33"/>
      <c r="E155" s="33"/>
      <c r="F155" s="33"/>
      <c r="G155" s="33"/>
      <c r="H155" s="33"/>
      <c r="I155" s="33"/>
      <c r="J155" s="33"/>
      <c r="K155" s="33"/>
      <c r="L155" s="34"/>
      <c r="M155" s="34"/>
      <c r="N155" s="34"/>
      <c r="O155" s="34"/>
      <c r="P155" s="33"/>
      <c r="Q155" s="35"/>
      <c r="R155" s="33"/>
      <c r="S155" s="33"/>
      <c r="T155" s="33"/>
      <c r="U155" s="33"/>
      <c r="V155" s="33"/>
      <c r="W155" s="33"/>
    </row>
    <row r="156" customFormat="false" ht="15" hidden="false" customHeight="false" outlineLevel="0" collapsed="false">
      <c r="A156" s="33"/>
      <c r="B156" s="33"/>
      <c r="C156" s="33"/>
      <c r="D156" s="33"/>
      <c r="E156" s="33"/>
      <c r="F156" s="33"/>
      <c r="G156" s="33"/>
      <c r="H156" s="33"/>
      <c r="I156" s="33"/>
      <c r="J156" s="33"/>
      <c r="K156" s="33"/>
      <c r="L156" s="34"/>
      <c r="M156" s="34"/>
      <c r="N156" s="34"/>
      <c r="O156" s="34"/>
      <c r="P156" s="33"/>
      <c r="Q156" s="35"/>
      <c r="R156" s="33"/>
      <c r="S156" s="33"/>
      <c r="T156" s="33"/>
      <c r="U156" s="33"/>
      <c r="V156" s="33"/>
      <c r="W156" s="33"/>
    </row>
    <row r="157" customFormat="false" ht="15" hidden="false" customHeight="false" outlineLevel="0" collapsed="false">
      <c r="A157" s="33"/>
      <c r="B157" s="33"/>
      <c r="C157" s="33"/>
      <c r="D157" s="33"/>
      <c r="E157" s="33"/>
      <c r="F157" s="33"/>
      <c r="G157" s="33"/>
      <c r="H157" s="33"/>
      <c r="I157" s="33"/>
      <c r="J157" s="33"/>
      <c r="K157" s="33"/>
      <c r="L157" s="34"/>
      <c r="M157" s="34"/>
      <c r="N157" s="34"/>
      <c r="O157" s="34"/>
      <c r="P157" s="33"/>
      <c r="Q157" s="35"/>
      <c r="R157" s="33"/>
      <c r="S157" s="33"/>
      <c r="T157" s="33"/>
      <c r="U157" s="33"/>
      <c r="V157" s="33"/>
      <c r="W157" s="33"/>
    </row>
    <row r="158" customFormat="false" ht="15" hidden="false" customHeight="false" outlineLevel="0" collapsed="false">
      <c r="A158" s="33"/>
      <c r="B158" s="33"/>
      <c r="C158" s="33"/>
      <c r="D158" s="33"/>
      <c r="E158" s="33"/>
      <c r="F158" s="33"/>
      <c r="G158" s="33"/>
      <c r="H158" s="33"/>
      <c r="I158" s="33"/>
      <c r="J158" s="33"/>
      <c r="K158" s="33"/>
      <c r="L158" s="34"/>
      <c r="M158" s="34"/>
      <c r="N158" s="34"/>
      <c r="O158" s="34"/>
      <c r="P158" s="33"/>
      <c r="Q158" s="35"/>
      <c r="R158" s="33"/>
      <c r="S158" s="33"/>
      <c r="T158" s="33"/>
      <c r="U158" s="33"/>
      <c r="V158" s="33"/>
      <c r="W158" s="33"/>
    </row>
    <row r="159" customFormat="false" ht="15" hidden="false" customHeight="false" outlineLevel="0" collapsed="false">
      <c r="A159" s="33"/>
      <c r="B159" s="33"/>
      <c r="C159" s="33"/>
      <c r="D159" s="33"/>
      <c r="E159" s="33"/>
      <c r="F159" s="33"/>
      <c r="G159" s="33"/>
      <c r="H159" s="33"/>
      <c r="I159" s="33"/>
      <c r="J159" s="33"/>
      <c r="K159" s="33"/>
      <c r="L159" s="34"/>
      <c r="M159" s="34"/>
      <c r="N159" s="34"/>
      <c r="O159" s="34"/>
      <c r="P159" s="33"/>
      <c r="Q159" s="35"/>
      <c r="R159" s="33"/>
      <c r="S159" s="33"/>
      <c r="T159" s="33"/>
      <c r="U159" s="33"/>
      <c r="V159" s="33"/>
      <c r="W159" s="33"/>
    </row>
    <row r="160" customFormat="false" ht="15" hidden="false" customHeight="false" outlineLevel="0" collapsed="false">
      <c r="A160" s="33"/>
      <c r="B160" s="33"/>
      <c r="C160" s="33"/>
      <c r="D160" s="33"/>
      <c r="E160" s="33"/>
      <c r="F160" s="33"/>
      <c r="G160" s="33"/>
      <c r="H160" s="33"/>
      <c r="I160" s="33"/>
      <c r="J160" s="33"/>
      <c r="K160" s="33"/>
      <c r="L160" s="34"/>
      <c r="M160" s="34"/>
      <c r="N160" s="34"/>
      <c r="O160" s="34"/>
      <c r="P160" s="33"/>
      <c r="Q160" s="35"/>
      <c r="R160" s="33"/>
      <c r="S160" s="33"/>
      <c r="T160" s="33"/>
      <c r="U160" s="33"/>
      <c r="V160" s="33"/>
      <c r="W160" s="33"/>
    </row>
    <row r="161" customFormat="false" ht="15" hidden="false" customHeight="false" outlineLevel="0" collapsed="false">
      <c r="A161" s="33"/>
      <c r="B161" s="33"/>
      <c r="C161" s="33"/>
      <c r="D161" s="33"/>
      <c r="E161" s="33"/>
      <c r="F161" s="33"/>
      <c r="G161" s="33"/>
      <c r="H161" s="33"/>
      <c r="I161" s="33"/>
      <c r="J161" s="33"/>
      <c r="K161" s="33"/>
      <c r="L161" s="34"/>
      <c r="M161" s="34"/>
      <c r="N161" s="34"/>
      <c r="O161" s="34"/>
      <c r="P161" s="33"/>
      <c r="Q161" s="35"/>
      <c r="R161" s="33"/>
      <c r="S161" s="33"/>
      <c r="T161" s="33"/>
      <c r="U161" s="33"/>
      <c r="V161" s="33"/>
      <c r="W161" s="33"/>
    </row>
    <row r="162" customFormat="false" ht="15" hidden="false" customHeight="false" outlineLevel="0" collapsed="false">
      <c r="A162" s="33"/>
      <c r="B162" s="33"/>
      <c r="C162" s="33"/>
      <c r="D162" s="33"/>
      <c r="E162" s="33"/>
      <c r="F162" s="33"/>
      <c r="G162" s="33"/>
      <c r="H162" s="33"/>
      <c r="I162" s="33"/>
      <c r="J162" s="33"/>
      <c r="K162" s="33"/>
      <c r="L162" s="34"/>
      <c r="M162" s="34"/>
      <c r="N162" s="34"/>
      <c r="O162" s="34"/>
      <c r="P162" s="33"/>
      <c r="Q162" s="35"/>
      <c r="R162" s="33"/>
      <c r="S162" s="33"/>
      <c r="T162" s="33"/>
      <c r="U162" s="33"/>
      <c r="V162" s="33"/>
      <c r="W162" s="33"/>
    </row>
    <row r="163" customFormat="false" ht="15" hidden="false" customHeight="false" outlineLevel="0" collapsed="false">
      <c r="A163" s="33"/>
      <c r="B163" s="33"/>
      <c r="C163" s="33"/>
      <c r="D163" s="33"/>
      <c r="E163" s="33"/>
      <c r="F163" s="33"/>
      <c r="G163" s="33"/>
      <c r="H163" s="33"/>
      <c r="I163" s="33"/>
      <c r="J163" s="33"/>
      <c r="K163" s="33"/>
      <c r="L163" s="34"/>
      <c r="M163" s="34"/>
      <c r="N163" s="34"/>
      <c r="O163" s="34"/>
      <c r="P163" s="33"/>
      <c r="Q163" s="35"/>
      <c r="R163" s="33"/>
      <c r="S163" s="33"/>
      <c r="T163" s="33"/>
      <c r="U163" s="33"/>
      <c r="V163" s="33"/>
      <c r="W163" s="33"/>
    </row>
    <row r="164" customFormat="false" ht="15" hidden="false" customHeight="false" outlineLevel="0" collapsed="false">
      <c r="A164" s="33"/>
      <c r="B164" s="33"/>
      <c r="C164" s="33"/>
      <c r="D164" s="33"/>
      <c r="E164" s="33"/>
      <c r="F164" s="33"/>
      <c r="G164" s="33"/>
      <c r="H164" s="33"/>
      <c r="I164" s="33"/>
      <c r="J164" s="33"/>
      <c r="K164" s="33"/>
      <c r="L164" s="34"/>
      <c r="M164" s="34"/>
      <c r="N164" s="34"/>
      <c r="O164" s="34"/>
      <c r="P164" s="33"/>
      <c r="Q164" s="35"/>
      <c r="R164" s="33"/>
      <c r="S164" s="33"/>
      <c r="T164" s="33"/>
      <c r="U164" s="33"/>
      <c r="V164" s="33"/>
      <c r="W164" s="33"/>
    </row>
    <row r="165" customFormat="false" ht="15" hidden="false" customHeight="false" outlineLevel="0" collapsed="false">
      <c r="A165" s="33"/>
      <c r="B165" s="33"/>
      <c r="C165" s="33"/>
      <c r="D165" s="33"/>
      <c r="E165" s="33"/>
      <c r="F165" s="33"/>
      <c r="G165" s="33"/>
      <c r="H165" s="33"/>
      <c r="I165" s="33"/>
      <c r="J165" s="33"/>
      <c r="K165" s="33"/>
      <c r="L165" s="34"/>
      <c r="M165" s="34"/>
      <c r="N165" s="34"/>
      <c r="O165" s="34"/>
      <c r="P165" s="33"/>
      <c r="Q165" s="35"/>
      <c r="R165" s="33"/>
      <c r="S165" s="33"/>
      <c r="T165" s="33"/>
      <c r="U165" s="33"/>
      <c r="V165" s="33"/>
      <c r="W165" s="33"/>
    </row>
    <row r="166" customFormat="false" ht="15" hidden="false" customHeight="false" outlineLevel="0" collapsed="false">
      <c r="A166" s="33"/>
      <c r="B166" s="33"/>
      <c r="C166" s="33"/>
      <c r="D166" s="33"/>
      <c r="E166" s="33"/>
      <c r="F166" s="33"/>
      <c r="G166" s="33"/>
      <c r="H166" s="33"/>
      <c r="I166" s="33"/>
      <c r="J166" s="33"/>
      <c r="K166" s="33"/>
      <c r="L166" s="34"/>
      <c r="M166" s="34"/>
      <c r="N166" s="34"/>
      <c r="O166" s="34"/>
      <c r="P166" s="33"/>
      <c r="Q166" s="35"/>
      <c r="R166" s="33"/>
      <c r="S166" s="33"/>
      <c r="T166" s="33"/>
      <c r="U166" s="33"/>
      <c r="V166" s="33"/>
      <c r="W166" s="33"/>
    </row>
    <row r="167" customFormat="false" ht="15" hidden="false" customHeight="false" outlineLevel="0" collapsed="false">
      <c r="A167" s="33"/>
      <c r="B167" s="33"/>
      <c r="C167" s="33"/>
      <c r="D167" s="33"/>
      <c r="E167" s="33"/>
      <c r="F167" s="33"/>
      <c r="G167" s="33"/>
      <c r="H167" s="33"/>
      <c r="I167" s="33"/>
      <c r="J167" s="33"/>
      <c r="K167" s="33"/>
      <c r="L167" s="34"/>
      <c r="M167" s="34"/>
      <c r="N167" s="34"/>
      <c r="O167" s="34"/>
      <c r="P167" s="33"/>
      <c r="Q167" s="35"/>
      <c r="R167" s="33"/>
      <c r="S167" s="33"/>
      <c r="T167" s="33"/>
      <c r="U167" s="33"/>
      <c r="V167" s="33"/>
      <c r="W167" s="33"/>
    </row>
    <row r="168" customFormat="false" ht="15" hidden="false" customHeight="false" outlineLevel="0" collapsed="false">
      <c r="A168" s="33"/>
      <c r="B168" s="33"/>
      <c r="C168" s="33"/>
      <c r="D168" s="33"/>
      <c r="E168" s="33"/>
      <c r="F168" s="33"/>
      <c r="G168" s="33"/>
      <c r="H168" s="33"/>
      <c r="I168" s="33"/>
      <c r="J168" s="33"/>
      <c r="K168" s="33"/>
      <c r="L168" s="34"/>
      <c r="M168" s="34"/>
      <c r="N168" s="34"/>
      <c r="O168" s="34"/>
      <c r="P168" s="33"/>
      <c r="Q168" s="35"/>
      <c r="R168" s="33"/>
      <c r="S168" s="33"/>
      <c r="T168" s="33"/>
      <c r="U168" s="33"/>
      <c r="V168" s="33"/>
      <c r="W168" s="33"/>
    </row>
    <row r="169" customFormat="false" ht="15" hidden="false" customHeight="false" outlineLevel="0" collapsed="false">
      <c r="A169" s="33"/>
      <c r="B169" s="33"/>
      <c r="C169" s="33"/>
      <c r="D169" s="33"/>
      <c r="E169" s="33"/>
      <c r="F169" s="33"/>
      <c r="G169" s="33"/>
      <c r="H169" s="33"/>
      <c r="I169" s="33"/>
      <c r="J169" s="33"/>
      <c r="K169" s="33"/>
      <c r="L169" s="34"/>
      <c r="M169" s="34"/>
      <c r="N169" s="34"/>
      <c r="O169" s="34"/>
      <c r="P169" s="33"/>
      <c r="Q169" s="35"/>
      <c r="R169" s="33"/>
      <c r="S169" s="33"/>
      <c r="T169" s="33"/>
      <c r="U169" s="33"/>
      <c r="V169" s="33"/>
      <c r="W169" s="33"/>
    </row>
    <row r="170" customFormat="false" ht="15" hidden="false" customHeight="false" outlineLevel="0" collapsed="false">
      <c r="A170" s="33"/>
      <c r="B170" s="33"/>
      <c r="C170" s="33"/>
      <c r="D170" s="33"/>
      <c r="E170" s="33"/>
      <c r="F170" s="33"/>
      <c r="G170" s="33"/>
      <c r="H170" s="33"/>
      <c r="I170" s="33"/>
      <c r="J170" s="33"/>
      <c r="K170" s="33"/>
      <c r="L170" s="34"/>
      <c r="M170" s="34"/>
      <c r="N170" s="34"/>
      <c r="O170" s="34"/>
      <c r="P170" s="33"/>
      <c r="Q170" s="35"/>
      <c r="R170" s="33"/>
      <c r="S170" s="33"/>
      <c r="T170" s="33"/>
      <c r="U170" s="33"/>
      <c r="V170" s="33"/>
      <c r="W170" s="33"/>
    </row>
    <row r="171" customFormat="false" ht="15" hidden="false" customHeight="false" outlineLevel="0" collapsed="false">
      <c r="A171" s="33"/>
      <c r="B171" s="33"/>
      <c r="C171" s="33"/>
      <c r="D171" s="33"/>
      <c r="E171" s="33"/>
      <c r="F171" s="33"/>
      <c r="G171" s="33"/>
      <c r="H171" s="33"/>
      <c r="I171" s="33"/>
      <c r="J171" s="33"/>
      <c r="K171" s="33"/>
      <c r="L171" s="34"/>
      <c r="M171" s="34"/>
      <c r="N171" s="34"/>
      <c r="O171" s="34"/>
      <c r="P171" s="33"/>
      <c r="Q171" s="35"/>
      <c r="R171" s="33"/>
      <c r="S171" s="33"/>
      <c r="T171" s="33"/>
      <c r="U171" s="33"/>
      <c r="V171" s="33"/>
      <c r="W171" s="33"/>
    </row>
    <row r="172" customFormat="false" ht="15" hidden="false" customHeight="false" outlineLevel="0" collapsed="false">
      <c r="A172" s="33"/>
      <c r="B172" s="33"/>
      <c r="C172" s="33"/>
      <c r="D172" s="33"/>
      <c r="E172" s="33"/>
      <c r="F172" s="33"/>
      <c r="G172" s="33"/>
      <c r="H172" s="33"/>
      <c r="I172" s="33"/>
      <c r="J172" s="33"/>
      <c r="K172" s="33"/>
      <c r="L172" s="34"/>
      <c r="M172" s="34"/>
      <c r="N172" s="34"/>
      <c r="O172" s="34"/>
      <c r="P172" s="33"/>
      <c r="Q172" s="35"/>
      <c r="R172" s="33"/>
      <c r="S172" s="33"/>
      <c r="T172" s="33"/>
      <c r="U172" s="33"/>
      <c r="V172" s="33"/>
      <c r="W172" s="33"/>
    </row>
    <row r="173" customFormat="false" ht="15" hidden="false" customHeight="false" outlineLevel="0" collapsed="false">
      <c r="A173" s="33"/>
      <c r="B173" s="33"/>
      <c r="C173" s="33"/>
      <c r="D173" s="33"/>
      <c r="E173" s="33"/>
      <c r="F173" s="33"/>
      <c r="G173" s="33"/>
      <c r="H173" s="33"/>
      <c r="I173" s="33"/>
      <c r="J173" s="33"/>
      <c r="K173" s="33"/>
      <c r="L173" s="34"/>
      <c r="M173" s="34"/>
      <c r="N173" s="34"/>
      <c r="O173" s="34"/>
      <c r="P173" s="33"/>
      <c r="Q173" s="35"/>
      <c r="R173" s="33"/>
      <c r="S173" s="33"/>
      <c r="T173" s="33"/>
      <c r="U173" s="33"/>
      <c r="V173" s="33"/>
      <c r="W173" s="33"/>
    </row>
    <row r="174" customFormat="false" ht="15" hidden="false" customHeight="false" outlineLevel="0" collapsed="false">
      <c r="A174" s="33"/>
      <c r="B174" s="33"/>
      <c r="C174" s="33"/>
      <c r="D174" s="33"/>
      <c r="E174" s="33"/>
      <c r="F174" s="33"/>
      <c r="G174" s="33"/>
      <c r="H174" s="33"/>
      <c r="I174" s="33"/>
      <c r="J174" s="33"/>
      <c r="K174" s="33"/>
      <c r="L174" s="34"/>
      <c r="M174" s="34"/>
      <c r="N174" s="34"/>
      <c r="O174" s="34"/>
      <c r="P174" s="33"/>
      <c r="Q174" s="35"/>
      <c r="R174" s="33"/>
      <c r="S174" s="33"/>
      <c r="T174" s="33"/>
      <c r="U174" s="33"/>
      <c r="V174" s="33"/>
      <c r="W174" s="33"/>
    </row>
    <row r="175" customFormat="false" ht="15" hidden="false" customHeight="false" outlineLevel="0" collapsed="false">
      <c r="A175" s="33"/>
      <c r="B175" s="33"/>
      <c r="C175" s="33"/>
      <c r="D175" s="33"/>
      <c r="E175" s="33"/>
      <c r="F175" s="33"/>
      <c r="G175" s="33"/>
      <c r="H175" s="33"/>
      <c r="I175" s="33"/>
      <c r="J175" s="33"/>
      <c r="K175" s="33"/>
      <c r="L175" s="34"/>
      <c r="M175" s="34"/>
      <c r="N175" s="34"/>
      <c r="O175" s="34"/>
      <c r="P175" s="33"/>
      <c r="Q175" s="35"/>
      <c r="R175" s="33"/>
      <c r="S175" s="33"/>
      <c r="T175" s="33"/>
      <c r="U175" s="33"/>
      <c r="V175" s="33"/>
      <c r="W175" s="33"/>
    </row>
    <row r="176" customFormat="false" ht="15" hidden="false" customHeight="false" outlineLevel="0" collapsed="false">
      <c r="A176" s="33"/>
      <c r="B176" s="33"/>
      <c r="C176" s="33"/>
      <c r="D176" s="33"/>
      <c r="E176" s="33"/>
      <c r="F176" s="33"/>
      <c r="G176" s="33"/>
      <c r="H176" s="33"/>
      <c r="I176" s="33"/>
      <c r="J176" s="33"/>
      <c r="K176" s="33"/>
      <c r="L176" s="34"/>
      <c r="M176" s="34"/>
      <c r="N176" s="34"/>
      <c r="O176" s="34"/>
      <c r="P176" s="33"/>
      <c r="Q176" s="35"/>
      <c r="R176" s="33"/>
      <c r="S176" s="33"/>
      <c r="T176" s="33"/>
      <c r="U176" s="33"/>
      <c r="V176" s="33"/>
      <c r="W176" s="33"/>
    </row>
    <row r="177" customFormat="false" ht="15" hidden="false" customHeight="false" outlineLevel="0" collapsed="false">
      <c r="A177" s="33"/>
      <c r="B177" s="33"/>
      <c r="C177" s="33"/>
      <c r="D177" s="33"/>
      <c r="E177" s="33"/>
      <c r="F177" s="33"/>
      <c r="G177" s="33"/>
      <c r="H177" s="33"/>
      <c r="I177" s="33"/>
      <c r="J177" s="33"/>
      <c r="K177" s="33"/>
      <c r="L177" s="34"/>
      <c r="M177" s="34"/>
      <c r="N177" s="34"/>
      <c r="O177" s="34"/>
      <c r="P177" s="33"/>
      <c r="Q177" s="35"/>
      <c r="R177" s="33"/>
      <c r="S177" s="33"/>
      <c r="T177" s="33"/>
      <c r="U177" s="33"/>
      <c r="V177" s="33"/>
      <c r="W177" s="33"/>
    </row>
    <row r="178" customFormat="false" ht="15" hidden="false" customHeight="false" outlineLevel="0" collapsed="false">
      <c r="A178" s="33"/>
      <c r="B178" s="33"/>
      <c r="C178" s="33"/>
      <c r="D178" s="33"/>
      <c r="E178" s="33"/>
      <c r="F178" s="33"/>
      <c r="G178" s="33"/>
      <c r="H178" s="33"/>
      <c r="I178" s="33"/>
      <c r="J178" s="33"/>
      <c r="K178" s="33"/>
      <c r="L178" s="34"/>
      <c r="M178" s="34"/>
      <c r="N178" s="34"/>
      <c r="O178" s="34"/>
      <c r="P178" s="33"/>
      <c r="Q178" s="35"/>
      <c r="R178" s="33"/>
      <c r="S178" s="33"/>
      <c r="T178" s="33"/>
      <c r="U178" s="33"/>
      <c r="V178" s="33"/>
      <c r="W178" s="33"/>
    </row>
    <row r="179" customFormat="false" ht="15" hidden="false" customHeight="false" outlineLevel="0" collapsed="false">
      <c r="A179" s="33"/>
      <c r="B179" s="33"/>
      <c r="C179" s="33"/>
      <c r="D179" s="33"/>
      <c r="E179" s="33"/>
      <c r="F179" s="33"/>
      <c r="G179" s="33"/>
      <c r="H179" s="33"/>
      <c r="I179" s="33"/>
      <c r="J179" s="33"/>
      <c r="K179" s="33"/>
      <c r="L179" s="34"/>
      <c r="M179" s="34"/>
      <c r="N179" s="34"/>
      <c r="O179" s="34"/>
      <c r="P179" s="33"/>
      <c r="Q179" s="35"/>
      <c r="R179" s="33"/>
      <c r="S179" s="33"/>
      <c r="T179" s="33"/>
      <c r="U179" s="33"/>
      <c r="V179" s="33"/>
      <c r="W179" s="33"/>
    </row>
    <row r="180" customFormat="false" ht="15" hidden="false" customHeight="false" outlineLevel="0" collapsed="false">
      <c r="A180" s="33"/>
      <c r="B180" s="33"/>
      <c r="C180" s="33"/>
      <c r="D180" s="33"/>
      <c r="E180" s="33"/>
      <c r="F180" s="33"/>
      <c r="G180" s="33"/>
      <c r="H180" s="33"/>
      <c r="I180" s="33"/>
      <c r="J180" s="33"/>
      <c r="K180" s="33"/>
      <c r="L180" s="34"/>
      <c r="M180" s="34"/>
      <c r="N180" s="34"/>
      <c r="O180" s="34"/>
      <c r="P180" s="33"/>
      <c r="Q180" s="35"/>
      <c r="R180" s="33"/>
      <c r="S180" s="33"/>
      <c r="T180" s="33"/>
      <c r="U180" s="33"/>
      <c r="V180" s="33"/>
      <c r="W180" s="33"/>
    </row>
    <row r="181" customFormat="false" ht="15" hidden="false" customHeight="false" outlineLevel="0" collapsed="false">
      <c r="A181" s="33"/>
      <c r="B181" s="33"/>
      <c r="C181" s="33"/>
      <c r="D181" s="33"/>
      <c r="E181" s="33"/>
      <c r="F181" s="33"/>
      <c r="G181" s="33"/>
      <c r="H181" s="33"/>
      <c r="I181" s="33"/>
      <c r="J181" s="33"/>
      <c r="K181" s="33"/>
      <c r="L181" s="34"/>
      <c r="M181" s="34"/>
      <c r="N181" s="34"/>
      <c r="O181" s="34"/>
      <c r="P181" s="33"/>
      <c r="Q181" s="35"/>
      <c r="R181" s="33"/>
      <c r="S181" s="33"/>
      <c r="T181" s="33"/>
      <c r="U181" s="33"/>
      <c r="V181" s="33"/>
      <c r="W181" s="33"/>
    </row>
    <row r="182" customFormat="false" ht="15" hidden="false" customHeight="false" outlineLevel="0" collapsed="false">
      <c r="A182" s="33"/>
      <c r="B182" s="33"/>
      <c r="C182" s="33"/>
      <c r="D182" s="33"/>
      <c r="E182" s="33"/>
      <c r="F182" s="33"/>
      <c r="G182" s="33"/>
      <c r="H182" s="33"/>
      <c r="I182" s="33"/>
      <c r="J182" s="33"/>
      <c r="K182" s="33"/>
      <c r="L182" s="34"/>
      <c r="M182" s="34"/>
      <c r="N182" s="34"/>
      <c r="O182" s="34"/>
      <c r="P182" s="33"/>
      <c r="Q182" s="35"/>
      <c r="R182" s="33"/>
      <c r="S182" s="33"/>
      <c r="T182" s="33"/>
      <c r="U182" s="33"/>
      <c r="V182" s="33"/>
      <c r="W182" s="33"/>
    </row>
    <row r="183" customFormat="false" ht="15" hidden="false" customHeight="false" outlineLevel="0" collapsed="false">
      <c r="A183" s="33"/>
      <c r="B183" s="33"/>
      <c r="C183" s="33"/>
      <c r="D183" s="33"/>
      <c r="E183" s="33"/>
      <c r="F183" s="33"/>
      <c r="G183" s="33"/>
      <c r="H183" s="33"/>
      <c r="I183" s="33"/>
      <c r="J183" s="33"/>
      <c r="K183" s="33"/>
      <c r="L183" s="34"/>
      <c r="M183" s="34"/>
      <c r="N183" s="34"/>
      <c r="O183" s="34"/>
      <c r="P183" s="33"/>
      <c r="Q183" s="35"/>
      <c r="R183" s="33"/>
      <c r="S183" s="33"/>
      <c r="T183" s="33"/>
      <c r="U183" s="33"/>
      <c r="V183" s="33"/>
      <c r="W183" s="33"/>
    </row>
    <row r="184" customFormat="false" ht="15" hidden="false" customHeight="false" outlineLevel="0" collapsed="false">
      <c r="A184" s="33"/>
      <c r="B184" s="33"/>
      <c r="C184" s="33"/>
      <c r="D184" s="33"/>
      <c r="E184" s="33"/>
      <c r="F184" s="33"/>
      <c r="G184" s="33"/>
      <c r="H184" s="33"/>
      <c r="I184" s="33"/>
      <c r="J184" s="33"/>
      <c r="K184" s="33"/>
      <c r="L184" s="34"/>
      <c r="M184" s="34"/>
      <c r="N184" s="34"/>
      <c r="O184" s="34"/>
      <c r="P184" s="33"/>
      <c r="Q184" s="35"/>
      <c r="R184" s="33"/>
      <c r="S184" s="33"/>
      <c r="T184" s="33"/>
      <c r="U184" s="33"/>
      <c r="V184" s="33"/>
      <c r="W184" s="33"/>
    </row>
    <row r="185" customFormat="false" ht="15" hidden="false" customHeight="false" outlineLevel="0" collapsed="false">
      <c r="A185" s="33"/>
      <c r="B185" s="33"/>
      <c r="C185" s="33"/>
      <c r="D185" s="33"/>
      <c r="E185" s="33"/>
      <c r="F185" s="33"/>
      <c r="G185" s="33"/>
      <c r="H185" s="33"/>
      <c r="I185" s="33"/>
      <c r="J185" s="33"/>
      <c r="K185" s="33"/>
      <c r="L185" s="34"/>
      <c r="M185" s="34"/>
      <c r="N185" s="34"/>
      <c r="O185" s="34"/>
      <c r="P185" s="33"/>
      <c r="Q185" s="35"/>
      <c r="R185" s="33"/>
      <c r="S185" s="33"/>
      <c r="T185" s="33"/>
      <c r="U185" s="33"/>
      <c r="V185" s="33"/>
      <c r="W185" s="33"/>
    </row>
    <row r="186" customFormat="false" ht="15" hidden="false" customHeight="false" outlineLevel="0" collapsed="false">
      <c r="A186" s="33"/>
      <c r="B186" s="33"/>
      <c r="C186" s="33"/>
      <c r="D186" s="33"/>
      <c r="E186" s="33"/>
      <c r="F186" s="33"/>
      <c r="G186" s="33"/>
      <c r="H186" s="33"/>
      <c r="I186" s="33"/>
      <c r="J186" s="33"/>
      <c r="K186" s="33"/>
      <c r="L186" s="34"/>
      <c r="M186" s="34"/>
      <c r="N186" s="34"/>
      <c r="O186" s="34"/>
      <c r="P186" s="33"/>
      <c r="Q186" s="35"/>
      <c r="R186" s="33"/>
      <c r="S186" s="33"/>
      <c r="T186" s="33"/>
      <c r="U186" s="33"/>
      <c r="V186" s="33"/>
      <c r="W186" s="33"/>
    </row>
    <row r="187" customFormat="false" ht="15" hidden="false" customHeight="false" outlineLevel="0" collapsed="false">
      <c r="A187" s="33"/>
      <c r="B187" s="33"/>
      <c r="C187" s="33"/>
      <c r="D187" s="33"/>
      <c r="E187" s="33"/>
      <c r="F187" s="33"/>
      <c r="G187" s="33"/>
      <c r="H187" s="33"/>
      <c r="I187" s="33"/>
      <c r="J187" s="33"/>
      <c r="K187" s="33"/>
      <c r="L187" s="34"/>
      <c r="M187" s="34"/>
      <c r="N187" s="34"/>
      <c r="O187" s="34"/>
      <c r="P187" s="33"/>
      <c r="Q187" s="35"/>
      <c r="R187" s="33"/>
      <c r="S187" s="33"/>
      <c r="T187" s="33"/>
      <c r="U187" s="33"/>
      <c r="V187" s="33"/>
      <c r="W187" s="33"/>
    </row>
    <row r="188" customFormat="false" ht="15" hidden="false" customHeight="false" outlineLevel="0" collapsed="false">
      <c r="A188" s="33"/>
      <c r="B188" s="33"/>
      <c r="C188" s="33"/>
      <c r="D188" s="33"/>
      <c r="E188" s="33"/>
      <c r="F188" s="33"/>
      <c r="G188" s="33"/>
      <c r="H188" s="33"/>
      <c r="I188" s="33"/>
      <c r="J188" s="33"/>
      <c r="K188" s="33"/>
      <c r="L188" s="34"/>
      <c r="M188" s="34"/>
      <c r="N188" s="34"/>
      <c r="O188" s="34"/>
      <c r="P188" s="33"/>
      <c r="Q188" s="35"/>
      <c r="R188" s="33"/>
      <c r="S188" s="33"/>
      <c r="T188" s="33"/>
      <c r="U188" s="33"/>
      <c r="V188" s="33"/>
      <c r="W188" s="33"/>
    </row>
    <row r="189" customFormat="false" ht="15" hidden="false" customHeight="false" outlineLevel="0" collapsed="false">
      <c r="A189" s="33"/>
      <c r="B189" s="33"/>
      <c r="C189" s="33"/>
      <c r="D189" s="33"/>
      <c r="E189" s="33"/>
      <c r="F189" s="33"/>
      <c r="G189" s="33"/>
      <c r="H189" s="33"/>
      <c r="I189" s="33"/>
      <c r="J189" s="33"/>
      <c r="K189" s="33"/>
      <c r="L189" s="34"/>
      <c r="M189" s="34"/>
      <c r="N189" s="34"/>
      <c r="O189" s="34"/>
      <c r="P189" s="33"/>
      <c r="Q189" s="35"/>
      <c r="R189" s="33"/>
      <c r="S189" s="33"/>
      <c r="T189" s="33"/>
      <c r="U189" s="33"/>
      <c r="V189" s="33"/>
      <c r="W189" s="33"/>
    </row>
    <row r="190" customFormat="false" ht="15" hidden="false" customHeight="false" outlineLevel="0" collapsed="false">
      <c r="A190" s="33"/>
      <c r="B190" s="33"/>
      <c r="C190" s="33"/>
      <c r="D190" s="33"/>
      <c r="E190" s="33"/>
      <c r="F190" s="33"/>
      <c r="G190" s="33"/>
      <c r="H190" s="33"/>
      <c r="I190" s="33"/>
      <c r="J190" s="33"/>
      <c r="K190" s="33"/>
      <c r="L190" s="34"/>
      <c r="M190" s="34"/>
      <c r="N190" s="34"/>
      <c r="O190" s="34"/>
      <c r="P190" s="33"/>
      <c r="Q190" s="35"/>
      <c r="R190" s="33"/>
      <c r="S190" s="33"/>
      <c r="T190" s="33"/>
      <c r="U190" s="33"/>
      <c r="V190" s="33"/>
      <c r="W190" s="33"/>
    </row>
    <row r="191" customFormat="false" ht="15" hidden="false" customHeight="false" outlineLevel="0" collapsed="false">
      <c r="A191" s="33"/>
      <c r="B191" s="33"/>
      <c r="C191" s="33"/>
      <c r="D191" s="33"/>
      <c r="E191" s="33"/>
      <c r="F191" s="33"/>
      <c r="G191" s="33"/>
      <c r="H191" s="33"/>
      <c r="I191" s="33"/>
      <c r="J191" s="33"/>
      <c r="K191" s="33"/>
      <c r="L191" s="34"/>
      <c r="M191" s="34"/>
      <c r="N191" s="34"/>
      <c r="O191" s="34"/>
      <c r="P191" s="33"/>
      <c r="Q191" s="35"/>
      <c r="R191" s="33"/>
      <c r="S191" s="33"/>
      <c r="T191" s="33"/>
      <c r="U191" s="33"/>
      <c r="V191" s="33"/>
      <c r="W191" s="33"/>
    </row>
    <row r="192" customFormat="false" ht="15" hidden="false" customHeight="false" outlineLevel="0" collapsed="false">
      <c r="A192" s="33"/>
      <c r="B192" s="33"/>
      <c r="C192" s="33"/>
      <c r="D192" s="33"/>
      <c r="E192" s="33"/>
      <c r="F192" s="33"/>
      <c r="G192" s="33"/>
      <c r="H192" s="33"/>
      <c r="I192" s="33"/>
      <c r="J192" s="33"/>
      <c r="K192" s="33"/>
      <c r="L192" s="34"/>
      <c r="M192" s="34"/>
      <c r="N192" s="34"/>
      <c r="O192" s="34"/>
      <c r="P192" s="33"/>
      <c r="Q192" s="35"/>
      <c r="R192" s="33"/>
      <c r="S192" s="33"/>
      <c r="T192" s="33"/>
      <c r="U192" s="33"/>
      <c r="V192" s="33"/>
      <c r="W192" s="33"/>
    </row>
    <row r="193" customFormat="false" ht="15" hidden="false" customHeight="false" outlineLevel="0" collapsed="false">
      <c r="A193" s="33"/>
      <c r="B193" s="33"/>
      <c r="C193" s="33"/>
      <c r="D193" s="33"/>
      <c r="E193" s="33"/>
      <c r="F193" s="33"/>
      <c r="G193" s="33"/>
      <c r="H193" s="33"/>
      <c r="I193" s="33"/>
      <c r="J193" s="33"/>
      <c r="K193" s="33"/>
      <c r="L193" s="34"/>
      <c r="M193" s="34"/>
      <c r="N193" s="34"/>
      <c r="O193" s="34"/>
      <c r="P193" s="33"/>
      <c r="Q193" s="35"/>
      <c r="R193" s="33"/>
      <c r="S193" s="33"/>
      <c r="T193" s="33"/>
      <c r="U193" s="33"/>
      <c r="V193" s="33"/>
      <c r="W193" s="33"/>
    </row>
    <row r="194" customFormat="false" ht="15" hidden="false" customHeight="false" outlineLevel="0" collapsed="false">
      <c r="A194" s="33"/>
      <c r="B194" s="33"/>
      <c r="C194" s="33"/>
      <c r="D194" s="33"/>
      <c r="E194" s="33"/>
      <c r="F194" s="33"/>
      <c r="G194" s="33"/>
      <c r="H194" s="33"/>
      <c r="I194" s="33"/>
      <c r="J194" s="33"/>
      <c r="K194" s="33"/>
      <c r="L194" s="34"/>
      <c r="M194" s="34"/>
      <c r="N194" s="34"/>
      <c r="O194" s="34"/>
      <c r="P194" s="33"/>
      <c r="Q194" s="35"/>
      <c r="R194" s="33"/>
      <c r="S194" s="33"/>
      <c r="T194" s="33"/>
      <c r="U194" s="33"/>
      <c r="V194" s="33"/>
      <c r="W194" s="33"/>
    </row>
    <row r="195" customFormat="false" ht="15" hidden="false" customHeight="false" outlineLevel="0" collapsed="false">
      <c r="A195" s="33"/>
      <c r="B195" s="33"/>
      <c r="C195" s="33"/>
      <c r="D195" s="33"/>
      <c r="E195" s="33"/>
      <c r="F195" s="33"/>
      <c r="G195" s="33"/>
      <c r="H195" s="33"/>
      <c r="I195" s="33"/>
      <c r="J195" s="33"/>
      <c r="K195" s="33"/>
      <c r="L195" s="34"/>
      <c r="M195" s="34"/>
      <c r="N195" s="34"/>
      <c r="O195" s="34"/>
      <c r="P195" s="33"/>
      <c r="Q195" s="35"/>
      <c r="R195" s="33"/>
      <c r="S195" s="33"/>
      <c r="T195" s="33"/>
      <c r="U195" s="33"/>
      <c r="V195" s="33"/>
      <c r="W195" s="33"/>
    </row>
    <row r="196" customFormat="false" ht="15" hidden="false" customHeight="false" outlineLevel="0" collapsed="false">
      <c r="A196" s="33"/>
      <c r="B196" s="33"/>
      <c r="C196" s="33"/>
      <c r="D196" s="33"/>
      <c r="E196" s="33"/>
      <c r="F196" s="33"/>
      <c r="G196" s="33"/>
      <c r="H196" s="33"/>
      <c r="I196" s="33"/>
      <c r="J196" s="33"/>
      <c r="K196" s="33"/>
      <c r="L196" s="34"/>
      <c r="M196" s="34"/>
      <c r="N196" s="34"/>
      <c r="O196" s="34"/>
      <c r="P196" s="33"/>
      <c r="Q196" s="35"/>
      <c r="R196" s="33"/>
      <c r="S196" s="33"/>
      <c r="T196" s="33"/>
      <c r="U196" s="33"/>
      <c r="V196" s="33"/>
      <c r="W196" s="33"/>
    </row>
    <row r="197" customFormat="false" ht="15" hidden="false" customHeight="false" outlineLevel="0" collapsed="false">
      <c r="A197" s="33"/>
      <c r="B197" s="33"/>
      <c r="C197" s="33"/>
      <c r="D197" s="33"/>
      <c r="E197" s="33"/>
      <c r="F197" s="33"/>
      <c r="G197" s="33"/>
      <c r="H197" s="33"/>
      <c r="I197" s="33"/>
      <c r="J197" s="33"/>
      <c r="K197" s="33"/>
      <c r="L197" s="34"/>
      <c r="M197" s="34"/>
      <c r="N197" s="34"/>
      <c r="O197" s="34"/>
      <c r="P197" s="33"/>
      <c r="Q197" s="35"/>
      <c r="R197" s="33"/>
      <c r="S197" s="33"/>
      <c r="T197" s="33"/>
      <c r="U197" s="33"/>
      <c r="V197" s="33"/>
      <c r="W197" s="33"/>
    </row>
    <row r="198" customFormat="false" ht="15" hidden="false" customHeight="false" outlineLevel="0" collapsed="false">
      <c r="A198" s="33"/>
      <c r="B198" s="33"/>
      <c r="C198" s="33"/>
      <c r="D198" s="33"/>
      <c r="E198" s="33"/>
      <c r="F198" s="33"/>
      <c r="G198" s="33"/>
      <c r="H198" s="33"/>
      <c r="I198" s="33"/>
      <c r="J198" s="33"/>
      <c r="K198" s="33"/>
      <c r="L198" s="34"/>
      <c r="M198" s="34"/>
      <c r="N198" s="34"/>
      <c r="O198" s="34"/>
      <c r="P198" s="33"/>
      <c r="Q198" s="35"/>
      <c r="R198" s="33"/>
      <c r="S198" s="33"/>
      <c r="T198" s="33"/>
      <c r="U198" s="33"/>
      <c r="V198" s="33"/>
      <c r="W198" s="33"/>
    </row>
    <row r="199" customFormat="false" ht="15" hidden="false" customHeight="false" outlineLevel="0" collapsed="false">
      <c r="A199" s="33"/>
      <c r="B199" s="33"/>
      <c r="C199" s="33"/>
      <c r="D199" s="33"/>
      <c r="E199" s="33"/>
      <c r="F199" s="33"/>
      <c r="G199" s="33"/>
      <c r="H199" s="33"/>
      <c r="I199" s="33"/>
      <c r="J199" s="33"/>
      <c r="K199" s="33"/>
      <c r="L199" s="34"/>
      <c r="M199" s="34"/>
      <c r="N199" s="34"/>
      <c r="O199" s="34"/>
      <c r="P199" s="33"/>
      <c r="Q199" s="35"/>
      <c r="R199" s="33"/>
      <c r="S199" s="33"/>
      <c r="T199" s="33"/>
      <c r="U199" s="33"/>
      <c r="V199" s="33"/>
      <c r="W199" s="33"/>
    </row>
    <row r="200" customFormat="false" ht="15" hidden="false" customHeight="false" outlineLevel="0" collapsed="false">
      <c r="A200" s="33"/>
      <c r="B200" s="33"/>
      <c r="C200" s="33"/>
      <c r="D200" s="33"/>
      <c r="E200" s="33"/>
      <c r="F200" s="33"/>
      <c r="G200" s="33"/>
      <c r="H200" s="33"/>
      <c r="I200" s="33"/>
      <c r="J200" s="33"/>
      <c r="K200" s="33"/>
      <c r="L200" s="34"/>
      <c r="M200" s="34"/>
      <c r="N200" s="34"/>
      <c r="O200" s="34"/>
      <c r="P200" s="33"/>
      <c r="Q200" s="35"/>
      <c r="R200" s="33"/>
      <c r="S200" s="33"/>
      <c r="T200" s="33"/>
      <c r="U200" s="33"/>
      <c r="V200" s="33"/>
      <c r="W200" s="33"/>
    </row>
    <row r="201" customFormat="false" ht="15" hidden="false" customHeight="false" outlineLevel="0" collapsed="false">
      <c r="A201" s="33"/>
      <c r="B201" s="33"/>
      <c r="C201" s="33"/>
      <c r="D201" s="33"/>
      <c r="E201" s="33"/>
      <c r="F201" s="33"/>
      <c r="G201" s="33"/>
      <c r="H201" s="33"/>
      <c r="I201" s="33"/>
      <c r="J201" s="33"/>
      <c r="K201" s="33"/>
      <c r="L201" s="34"/>
      <c r="M201" s="34"/>
      <c r="N201" s="34"/>
      <c r="O201" s="34"/>
      <c r="P201" s="33"/>
      <c r="Q201" s="35"/>
      <c r="R201" s="33"/>
      <c r="S201" s="33"/>
      <c r="T201" s="33"/>
      <c r="U201" s="33"/>
      <c r="V201" s="33"/>
      <c r="W201" s="33"/>
    </row>
    <row r="202" customFormat="false" ht="15" hidden="false" customHeight="false" outlineLevel="0" collapsed="false">
      <c r="A202" s="33"/>
      <c r="B202" s="33"/>
      <c r="C202" s="33"/>
      <c r="D202" s="33"/>
      <c r="E202" s="33"/>
      <c r="F202" s="33"/>
      <c r="G202" s="33"/>
      <c r="H202" s="33"/>
      <c r="I202" s="33"/>
      <c r="J202" s="33"/>
      <c r="K202" s="33"/>
      <c r="L202" s="34"/>
      <c r="M202" s="34"/>
      <c r="N202" s="34"/>
      <c r="O202" s="34"/>
      <c r="P202" s="33"/>
      <c r="Q202" s="35"/>
      <c r="R202" s="33"/>
      <c r="S202" s="33"/>
      <c r="T202" s="33"/>
      <c r="U202" s="33"/>
      <c r="V202" s="33"/>
      <c r="W202" s="33"/>
    </row>
    <row r="203" customFormat="false" ht="15" hidden="false" customHeight="false" outlineLevel="0" collapsed="false">
      <c r="A203" s="33"/>
      <c r="B203" s="33"/>
      <c r="C203" s="33"/>
      <c r="D203" s="33"/>
      <c r="E203" s="33"/>
      <c r="F203" s="33"/>
      <c r="G203" s="33"/>
      <c r="H203" s="33"/>
      <c r="I203" s="33"/>
      <c r="J203" s="33"/>
      <c r="K203" s="33"/>
      <c r="L203" s="34"/>
      <c r="M203" s="34"/>
      <c r="N203" s="34"/>
      <c r="O203" s="34"/>
      <c r="P203" s="33"/>
      <c r="Q203" s="35"/>
      <c r="R203" s="33"/>
      <c r="S203" s="33"/>
      <c r="T203" s="33"/>
      <c r="U203" s="33"/>
      <c r="V203" s="33"/>
      <c r="W203" s="33"/>
    </row>
    <row r="204" customFormat="false" ht="15" hidden="false" customHeight="false" outlineLevel="0" collapsed="false">
      <c r="A204" s="33"/>
      <c r="B204" s="33"/>
      <c r="C204" s="33"/>
      <c r="D204" s="33"/>
      <c r="E204" s="33"/>
      <c r="F204" s="33"/>
      <c r="G204" s="33"/>
      <c r="H204" s="33"/>
      <c r="I204" s="33"/>
      <c r="J204" s="33"/>
      <c r="K204" s="33"/>
      <c r="L204" s="34"/>
      <c r="M204" s="34"/>
      <c r="N204" s="34"/>
      <c r="O204" s="34"/>
      <c r="P204" s="33"/>
      <c r="Q204" s="35"/>
      <c r="R204" s="33"/>
      <c r="S204" s="33"/>
      <c r="T204" s="33"/>
      <c r="U204" s="33"/>
      <c r="V204" s="33"/>
      <c r="W204" s="33"/>
    </row>
    <row r="205" customFormat="false" ht="15" hidden="false" customHeight="false" outlineLevel="0" collapsed="false">
      <c r="A205" s="33"/>
      <c r="B205" s="33"/>
      <c r="C205" s="33"/>
      <c r="D205" s="33"/>
      <c r="E205" s="33"/>
      <c r="F205" s="33"/>
      <c r="G205" s="33"/>
      <c r="H205" s="33"/>
      <c r="I205" s="33"/>
      <c r="J205" s="33"/>
      <c r="K205" s="33"/>
      <c r="L205" s="34"/>
      <c r="M205" s="34"/>
      <c r="N205" s="34"/>
      <c r="O205" s="34"/>
      <c r="P205" s="33"/>
      <c r="Q205" s="35"/>
      <c r="R205" s="33"/>
      <c r="S205" s="33"/>
      <c r="T205" s="33"/>
      <c r="U205" s="33"/>
      <c r="V205" s="33"/>
      <c r="W205" s="33"/>
    </row>
    <row r="206" customFormat="false" ht="15" hidden="false" customHeight="false" outlineLevel="0" collapsed="false">
      <c r="A206" s="33"/>
      <c r="B206" s="33"/>
      <c r="C206" s="33"/>
      <c r="D206" s="33"/>
      <c r="E206" s="33"/>
      <c r="F206" s="33"/>
      <c r="G206" s="33"/>
      <c r="H206" s="33"/>
      <c r="I206" s="33"/>
      <c r="J206" s="33"/>
      <c r="K206" s="33"/>
      <c r="L206" s="34"/>
      <c r="M206" s="34"/>
      <c r="N206" s="34"/>
      <c r="O206" s="34"/>
      <c r="P206" s="33"/>
      <c r="Q206" s="35"/>
      <c r="R206" s="33"/>
      <c r="S206" s="33"/>
      <c r="T206" s="33"/>
      <c r="U206" s="33"/>
      <c r="V206" s="33"/>
      <c r="W206" s="33"/>
    </row>
    <row r="207" customFormat="false" ht="15" hidden="false" customHeight="false" outlineLevel="0" collapsed="false">
      <c r="A207" s="33"/>
      <c r="B207" s="33"/>
      <c r="C207" s="33"/>
      <c r="D207" s="33"/>
      <c r="E207" s="33"/>
      <c r="F207" s="33"/>
      <c r="G207" s="33"/>
      <c r="H207" s="33"/>
      <c r="I207" s="33"/>
      <c r="J207" s="33"/>
      <c r="K207" s="33"/>
      <c r="L207" s="34"/>
      <c r="M207" s="34"/>
      <c r="N207" s="34"/>
      <c r="O207" s="34"/>
      <c r="P207" s="33"/>
      <c r="Q207" s="35"/>
      <c r="R207" s="33"/>
      <c r="S207" s="33"/>
      <c r="T207" s="33"/>
      <c r="U207" s="33"/>
      <c r="V207" s="33"/>
      <c r="W207" s="33"/>
    </row>
    <row r="208" customFormat="false" ht="15" hidden="false" customHeight="false" outlineLevel="0" collapsed="false">
      <c r="A208" s="33"/>
      <c r="B208" s="33"/>
      <c r="C208" s="33"/>
      <c r="D208" s="33"/>
      <c r="E208" s="33"/>
      <c r="F208" s="33"/>
      <c r="G208" s="33"/>
      <c r="H208" s="33"/>
      <c r="I208" s="33"/>
      <c r="J208" s="33"/>
      <c r="K208" s="33"/>
      <c r="L208" s="34"/>
      <c r="M208" s="34"/>
      <c r="N208" s="34"/>
      <c r="O208" s="34"/>
      <c r="P208" s="33"/>
      <c r="Q208" s="35"/>
      <c r="R208" s="33"/>
      <c r="S208" s="33"/>
      <c r="T208" s="33"/>
      <c r="U208" s="33"/>
      <c r="V208" s="33"/>
      <c r="W208" s="33"/>
    </row>
    <row r="209" customFormat="false" ht="15" hidden="false" customHeight="false" outlineLevel="0" collapsed="false">
      <c r="A209" s="33"/>
      <c r="B209" s="33"/>
      <c r="C209" s="33"/>
      <c r="D209" s="33"/>
      <c r="E209" s="33"/>
      <c r="F209" s="33"/>
      <c r="G209" s="33"/>
      <c r="H209" s="33"/>
      <c r="I209" s="33"/>
      <c r="J209" s="33"/>
      <c r="K209" s="33"/>
      <c r="L209" s="34"/>
      <c r="M209" s="34"/>
      <c r="N209" s="34"/>
      <c r="O209" s="34"/>
      <c r="P209" s="33"/>
      <c r="Q209" s="35"/>
      <c r="R209" s="33"/>
      <c r="S209" s="33"/>
      <c r="T209" s="33"/>
      <c r="U209" s="33"/>
      <c r="V209" s="33"/>
      <c r="W209" s="33"/>
    </row>
    <row r="210" customFormat="false" ht="15" hidden="false" customHeight="false" outlineLevel="0" collapsed="false">
      <c r="A210" s="33"/>
      <c r="B210" s="33"/>
      <c r="C210" s="33"/>
      <c r="D210" s="33"/>
      <c r="E210" s="33"/>
      <c r="F210" s="33"/>
      <c r="G210" s="33"/>
      <c r="H210" s="33"/>
      <c r="I210" s="33"/>
      <c r="J210" s="33"/>
      <c r="K210" s="33"/>
      <c r="L210" s="34"/>
      <c r="M210" s="34"/>
      <c r="N210" s="34"/>
      <c r="O210" s="34"/>
      <c r="P210" s="33"/>
      <c r="Q210" s="35"/>
      <c r="R210" s="33"/>
      <c r="S210" s="33"/>
      <c r="T210" s="33"/>
      <c r="U210" s="33"/>
      <c r="V210" s="33"/>
      <c r="W210" s="33"/>
    </row>
    <row r="211" customFormat="false" ht="15" hidden="false" customHeight="false" outlineLevel="0" collapsed="false">
      <c r="A211" s="33"/>
      <c r="B211" s="33"/>
      <c r="C211" s="33"/>
      <c r="D211" s="33"/>
      <c r="E211" s="33"/>
      <c r="F211" s="33"/>
      <c r="G211" s="33"/>
      <c r="H211" s="33"/>
      <c r="I211" s="33"/>
      <c r="J211" s="33"/>
      <c r="K211" s="33"/>
      <c r="L211" s="34"/>
      <c r="M211" s="34"/>
      <c r="N211" s="34"/>
      <c r="O211" s="34"/>
      <c r="P211" s="33"/>
      <c r="Q211" s="35"/>
      <c r="R211" s="33"/>
      <c r="S211" s="33"/>
      <c r="T211" s="33"/>
      <c r="U211" s="33"/>
      <c r="V211" s="33"/>
      <c r="W211" s="33"/>
    </row>
    <row r="212" customFormat="false" ht="15" hidden="false" customHeight="false" outlineLevel="0" collapsed="false">
      <c r="A212" s="33"/>
      <c r="B212" s="33"/>
      <c r="C212" s="33"/>
      <c r="D212" s="33"/>
      <c r="E212" s="33"/>
      <c r="F212" s="33"/>
      <c r="G212" s="33"/>
      <c r="H212" s="33"/>
      <c r="I212" s="33"/>
      <c r="J212" s="33"/>
      <c r="K212" s="33"/>
      <c r="L212" s="34"/>
      <c r="M212" s="34"/>
      <c r="N212" s="34"/>
      <c r="O212" s="34"/>
      <c r="P212" s="33"/>
      <c r="Q212" s="35"/>
      <c r="R212" s="33"/>
      <c r="S212" s="33"/>
      <c r="T212" s="33"/>
      <c r="U212" s="33"/>
      <c r="V212" s="33"/>
      <c r="W212" s="33"/>
    </row>
    <row r="213" customFormat="false" ht="15" hidden="false" customHeight="false" outlineLevel="0" collapsed="false">
      <c r="A213" s="33"/>
      <c r="B213" s="33"/>
      <c r="C213" s="33"/>
      <c r="D213" s="33"/>
      <c r="E213" s="33"/>
      <c r="F213" s="33"/>
      <c r="G213" s="33"/>
      <c r="H213" s="33"/>
      <c r="I213" s="33"/>
      <c r="J213" s="33"/>
      <c r="K213" s="33"/>
      <c r="L213" s="34"/>
      <c r="M213" s="34"/>
      <c r="N213" s="34"/>
      <c r="O213" s="34"/>
      <c r="P213" s="33"/>
      <c r="Q213" s="35"/>
      <c r="R213" s="33"/>
      <c r="S213" s="33"/>
      <c r="T213" s="33"/>
      <c r="U213" s="33"/>
      <c r="V213" s="33"/>
      <c r="W213" s="33"/>
    </row>
    <row r="214" customFormat="false" ht="15" hidden="false" customHeight="false" outlineLevel="0" collapsed="false">
      <c r="A214" s="33"/>
      <c r="B214" s="33"/>
      <c r="C214" s="33"/>
      <c r="D214" s="33"/>
      <c r="E214" s="33"/>
      <c r="F214" s="33"/>
      <c r="G214" s="33"/>
      <c r="H214" s="33"/>
      <c r="I214" s="33"/>
      <c r="J214" s="33"/>
      <c r="K214" s="33"/>
      <c r="L214" s="34"/>
      <c r="M214" s="34"/>
      <c r="N214" s="34"/>
      <c r="O214" s="34"/>
      <c r="P214" s="33"/>
      <c r="Q214" s="35"/>
      <c r="R214" s="33"/>
      <c r="S214" s="33"/>
      <c r="T214" s="33"/>
      <c r="U214" s="33"/>
      <c r="V214" s="33"/>
      <c r="W214" s="33"/>
    </row>
    <row r="215" customFormat="false" ht="15" hidden="false" customHeight="false" outlineLevel="0" collapsed="false">
      <c r="A215" s="33"/>
      <c r="B215" s="33"/>
      <c r="C215" s="33"/>
      <c r="D215" s="33"/>
      <c r="E215" s="33"/>
      <c r="F215" s="33"/>
      <c r="G215" s="33"/>
      <c r="H215" s="33"/>
      <c r="I215" s="33"/>
      <c r="J215" s="33"/>
      <c r="K215" s="33"/>
      <c r="L215" s="34"/>
      <c r="M215" s="34"/>
      <c r="N215" s="34"/>
      <c r="O215" s="34"/>
      <c r="P215" s="33"/>
      <c r="Q215" s="35"/>
      <c r="R215" s="33"/>
      <c r="S215" s="33"/>
      <c r="T215" s="33"/>
      <c r="U215" s="33"/>
      <c r="V215" s="33"/>
      <c r="W215" s="33"/>
    </row>
    <row r="216" customFormat="false" ht="15" hidden="false" customHeight="false" outlineLevel="0" collapsed="false">
      <c r="A216" s="33"/>
      <c r="B216" s="33"/>
      <c r="C216" s="33"/>
      <c r="D216" s="33"/>
      <c r="E216" s="33"/>
      <c r="F216" s="33"/>
      <c r="G216" s="33"/>
      <c r="H216" s="33"/>
      <c r="I216" s="33"/>
      <c r="J216" s="33"/>
      <c r="K216" s="33"/>
      <c r="L216" s="34"/>
      <c r="M216" s="34"/>
      <c r="N216" s="34"/>
      <c r="O216" s="34"/>
      <c r="P216" s="33"/>
      <c r="Q216" s="35"/>
      <c r="R216" s="33"/>
      <c r="S216" s="33"/>
      <c r="T216" s="33"/>
      <c r="U216" s="33"/>
      <c r="V216" s="33"/>
      <c r="W216" s="33"/>
    </row>
    <row r="217" customFormat="false" ht="15" hidden="false" customHeight="false" outlineLevel="0" collapsed="false">
      <c r="A217" s="33"/>
      <c r="B217" s="33"/>
      <c r="C217" s="33"/>
      <c r="D217" s="33"/>
      <c r="E217" s="33"/>
      <c r="F217" s="33"/>
      <c r="G217" s="33"/>
      <c r="H217" s="33"/>
      <c r="I217" s="33"/>
      <c r="J217" s="33"/>
      <c r="K217" s="33"/>
      <c r="L217" s="34"/>
      <c r="M217" s="34"/>
      <c r="N217" s="34"/>
      <c r="O217" s="34"/>
      <c r="P217" s="33"/>
      <c r="Q217" s="35"/>
      <c r="R217" s="33"/>
      <c r="S217" s="33"/>
      <c r="T217" s="33"/>
      <c r="U217" s="33"/>
      <c r="V217" s="33"/>
      <c r="W217" s="33"/>
    </row>
    <row r="218" customFormat="false" ht="15" hidden="false" customHeight="false" outlineLevel="0" collapsed="false">
      <c r="A218" s="33"/>
      <c r="B218" s="33"/>
      <c r="C218" s="33"/>
      <c r="D218" s="33"/>
      <c r="E218" s="33"/>
      <c r="F218" s="33"/>
      <c r="G218" s="33"/>
      <c r="H218" s="33"/>
      <c r="I218" s="33"/>
      <c r="J218" s="33"/>
      <c r="K218" s="33"/>
      <c r="L218" s="34"/>
      <c r="M218" s="34"/>
      <c r="N218" s="34"/>
      <c r="O218" s="34"/>
      <c r="P218" s="33"/>
      <c r="Q218" s="35"/>
      <c r="R218" s="33"/>
      <c r="S218" s="33"/>
      <c r="T218" s="33"/>
      <c r="U218" s="33"/>
      <c r="V218" s="33"/>
      <c r="W218" s="33"/>
    </row>
    <row r="219" customFormat="false" ht="15" hidden="false" customHeight="false" outlineLevel="0" collapsed="false">
      <c r="A219" s="33"/>
      <c r="B219" s="33"/>
      <c r="C219" s="33"/>
      <c r="D219" s="33"/>
      <c r="E219" s="33"/>
      <c r="F219" s="33"/>
      <c r="G219" s="33"/>
      <c r="H219" s="33"/>
      <c r="I219" s="33"/>
      <c r="J219" s="33"/>
      <c r="K219" s="33"/>
      <c r="L219" s="34"/>
      <c r="M219" s="34"/>
      <c r="N219" s="34"/>
      <c r="O219" s="34"/>
      <c r="P219" s="33"/>
      <c r="Q219" s="35"/>
      <c r="R219" s="33"/>
      <c r="S219" s="33"/>
      <c r="T219" s="33"/>
      <c r="U219" s="33"/>
      <c r="V219" s="33"/>
      <c r="W219" s="33"/>
    </row>
    <row r="220" customFormat="false" ht="15" hidden="false" customHeight="false" outlineLevel="0" collapsed="false">
      <c r="A220" s="33"/>
      <c r="B220" s="33"/>
      <c r="C220" s="33"/>
      <c r="D220" s="33"/>
      <c r="E220" s="33"/>
      <c r="F220" s="33"/>
      <c r="G220" s="33"/>
      <c r="H220" s="33"/>
      <c r="I220" s="33"/>
      <c r="J220" s="33"/>
      <c r="K220" s="33"/>
      <c r="L220" s="34"/>
      <c r="M220" s="34"/>
      <c r="N220" s="34"/>
      <c r="O220" s="34"/>
      <c r="P220" s="33"/>
      <c r="Q220" s="35"/>
      <c r="R220" s="33"/>
      <c r="S220" s="33"/>
      <c r="T220" s="33"/>
      <c r="U220" s="33"/>
      <c r="V220" s="33"/>
      <c r="W220" s="33"/>
    </row>
    <row r="221" customFormat="false" ht="15" hidden="false" customHeight="false" outlineLevel="0" collapsed="false">
      <c r="A221" s="33"/>
      <c r="B221" s="33"/>
      <c r="C221" s="33"/>
      <c r="D221" s="33"/>
      <c r="E221" s="33"/>
      <c r="F221" s="33"/>
      <c r="G221" s="33"/>
      <c r="H221" s="33"/>
      <c r="I221" s="33"/>
      <c r="J221" s="33"/>
      <c r="K221" s="33"/>
      <c r="L221" s="34"/>
      <c r="M221" s="34"/>
      <c r="N221" s="34"/>
      <c r="O221" s="34"/>
      <c r="P221" s="33"/>
      <c r="Q221" s="35"/>
      <c r="R221" s="33"/>
      <c r="S221" s="33"/>
      <c r="T221" s="33"/>
      <c r="U221" s="33"/>
      <c r="V221" s="33"/>
      <c r="W221" s="33"/>
    </row>
    <row r="222" customFormat="false" ht="15" hidden="false" customHeight="false" outlineLevel="0" collapsed="false">
      <c r="A222" s="33"/>
      <c r="B222" s="33"/>
      <c r="C222" s="33"/>
      <c r="D222" s="33"/>
      <c r="E222" s="33"/>
      <c r="F222" s="33"/>
      <c r="G222" s="33"/>
      <c r="H222" s="33"/>
      <c r="I222" s="33"/>
      <c r="J222" s="33"/>
      <c r="K222" s="33"/>
      <c r="L222" s="34"/>
      <c r="M222" s="34"/>
      <c r="N222" s="34"/>
      <c r="O222" s="34"/>
      <c r="P222" s="33"/>
      <c r="Q222" s="35"/>
      <c r="R222" s="33"/>
      <c r="S222" s="33"/>
      <c r="T222" s="33"/>
      <c r="U222" s="33"/>
      <c r="V222" s="33"/>
      <c r="W222" s="33"/>
    </row>
    <row r="223" customFormat="false" ht="15" hidden="false" customHeight="false" outlineLevel="0" collapsed="false">
      <c r="A223" s="33"/>
      <c r="B223" s="33"/>
      <c r="C223" s="33"/>
      <c r="D223" s="33"/>
      <c r="E223" s="33"/>
      <c r="F223" s="33"/>
      <c r="G223" s="33"/>
      <c r="H223" s="33"/>
      <c r="I223" s="33"/>
      <c r="J223" s="33"/>
      <c r="K223" s="33"/>
      <c r="L223" s="34"/>
      <c r="M223" s="34"/>
      <c r="N223" s="34"/>
      <c r="O223" s="34"/>
      <c r="P223" s="33"/>
      <c r="Q223" s="35"/>
      <c r="R223" s="33"/>
      <c r="S223" s="33"/>
      <c r="T223" s="33"/>
      <c r="U223" s="33"/>
      <c r="V223" s="33"/>
      <c r="W223" s="33"/>
    </row>
    <row r="224" customFormat="false" ht="15" hidden="false" customHeight="false" outlineLevel="0" collapsed="false">
      <c r="A224" s="33"/>
      <c r="B224" s="33"/>
      <c r="C224" s="33"/>
      <c r="D224" s="33"/>
      <c r="E224" s="33"/>
      <c r="F224" s="33"/>
      <c r="G224" s="33"/>
      <c r="H224" s="33"/>
      <c r="I224" s="33"/>
      <c r="J224" s="33"/>
      <c r="K224" s="33"/>
      <c r="L224" s="34"/>
      <c r="M224" s="34"/>
      <c r="N224" s="34"/>
      <c r="O224" s="34"/>
      <c r="P224" s="33"/>
      <c r="Q224" s="35"/>
      <c r="R224" s="33"/>
      <c r="S224" s="33"/>
      <c r="T224" s="33"/>
      <c r="U224" s="33"/>
      <c r="V224" s="33"/>
      <c r="W224" s="33"/>
    </row>
    <row r="225" customFormat="false" ht="15" hidden="false" customHeight="false" outlineLevel="0" collapsed="false">
      <c r="A225" s="33"/>
      <c r="B225" s="33"/>
      <c r="C225" s="33"/>
      <c r="D225" s="33"/>
      <c r="E225" s="33"/>
      <c r="F225" s="33"/>
      <c r="G225" s="33"/>
      <c r="H225" s="33"/>
      <c r="I225" s="33"/>
      <c r="J225" s="33"/>
      <c r="K225" s="33"/>
      <c r="L225" s="34"/>
      <c r="M225" s="34"/>
      <c r="N225" s="34"/>
      <c r="O225" s="34"/>
      <c r="P225" s="33"/>
      <c r="Q225" s="35"/>
      <c r="R225" s="33"/>
      <c r="S225" s="33"/>
      <c r="T225" s="33"/>
      <c r="U225" s="33"/>
      <c r="V225" s="33"/>
      <c r="W225" s="33"/>
    </row>
    <row r="226" customFormat="false" ht="15" hidden="false" customHeight="false" outlineLevel="0" collapsed="false">
      <c r="A226" s="33"/>
      <c r="B226" s="33"/>
      <c r="C226" s="33"/>
      <c r="D226" s="33"/>
      <c r="E226" s="33"/>
      <c r="F226" s="33"/>
      <c r="G226" s="33"/>
      <c r="H226" s="33"/>
      <c r="I226" s="33"/>
      <c r="J226" s="33"/>
      <c r="K226" s="33"/>
      <c r="L226" s="34"/>
      <c r="M226" s="34"/>
      <c r="N226" s="34"/>
      <c r="O226" s="34"/>
      <c r="P226" s="33"/>
      <c r="Q226" s="35"/>
      <c r="R226" s="33"/>
      <c r="S226" s="33"/>
      <c r="T226" s="33"/>
      <c r="U226" s="33"/>
      <c r="V226" s="33"/>
      <c r="W226" s="33"/>
    </row>
    <row r="227" customFormat="false" ht="15" hidden="false" customHeight="false" outlineLevel="0" collapsed="false">
      <c r="A227" s="33"/>
      <c r="B227" s="33"/>
      <c r="C227" s="33"/>
      <c r="D227" s="33"/>
      <c r="E227" s="33"/>
      <c r="F227" s="33"/>
      <c r="G227" s="33"/>
      <c r="H227" s="33"/>
      <c r="I227" s="33"/>
      <c r="J227" s="33"/>
      <c r="K227" s="33"/>
      <c r="L227" s="34"/>
      <c r="M227" s="34"/>
      <c r="N227" s="34"/>
      <c r="O227" s="34"/>
      <c r="P227" s="33"/>
      <c r="Q227" s="35"/>
      <c r="R227" s="33"/>
      <c r="S227" s="33"/>
      <c r="T227" s="33"/>
      <c r="U227" s="33"/>
      <c r="V227" s="33"/>
      <c r="W227" s="33"/>
    </row>
    <row r="228" customFormat="false" ht="15" hidden="false" customHeight="false" outlineLevel="0" collapsed="false">
      <c r="A228" s="33"/>
      <c r="B228" s="33"/>
      <c r="C228" s="33"/>
      <c r="D228" s="33"/>
      <c r="E228" s="33"/>
      <c r="F228" s="33"/>
      <c r="G228" s="33"/>
      <c r="H228" s="33"/>
      <c r="I228" s="33"/>
      <c r="J228" s="33"/>
      <c r="K228" s="33"/>
      <c r="L228" s="34"/>
      <c r="M228" s="34"/>
      <c r="N228" s="34"/>
      <c r="O228" s="34"/>
      <c r="P228" s="33"/>
      <c r="Q228" s="35"/>
      <c r="R228" s="33"/>
      <c r="S228" s="33"/>
      <c r="T228" s="33"/>
      <c r="U228" s="33"/>
      <c r="V228" s="33"/>
      <c r="W228" s="33"/>
    </row>
    <row r="229" customFormat="false" ht="15" hidden="false" customHeight="false" outlineLevel="0" collapsed="false">
      <c r="A229" s="33"/>
      <c r="B229" s="33"/>
      <c r="C229" s="33"/>
      <c r="D229" s="33"/>
      <c r="E229" s="33"/>
      <c r="F229" s="33"/>
      <c r="G229" s="33"/>
      <c r="H229" s="33"/>
      <c r="I229" s="33"/>
      <c r="J229" s="33"/>
      <c r="K229" s="33"/>
      <c r="L229" s="34"/>
      <c r="M229" s="34"/>
      <c r="N229" s="34"/>
      <c r="O229" s="34"/>
      <c r="P229" s="33"/>
      <c r="Q229" s="35"/>
      <c r="R229" s="33"/>
      <c r="S229" s="33"/>
      <c r="T229" s="33"/>
      <c r="U229" s="33"/>
      <c r="V229" s="33"/>
      <c r="W229" s="33"/>
    </row>
    <row r="230" customFormat="false" ht="15" hidden="false" customHeight="false" outlineLevel="0" collapsed="false">
      <c r="A230" s="33"/>
      <c r="B230" s="33"/>
      <c r="C230" s="33"/>
      <c r="D230" s="33"/>
      <c r="E230" s="33"/>
      <c r="F230" s="33"/>
      <c r="G230" s="33"/>
      <c r="H230" s="33"/>
      <c r="I230" s="33"/>
      <c r="J230" s="33"/>
      <c r="K230" s="33"/>
      <c r="L230" s="34"/>
      <c r="M230" s="34"/>
      <c r="N230" s="34"/>
      <c r="O230" s="34"/>
      <c r="P230" s="33"/>
      <c r="Q230" s="35"/>
      <c r="R230" s="33"/>
      <c r="S230" s="33"/>
      <c r="T230" s="33"/>
      <c r="U230" s="33"/>
      <c r="V230" s="33"/>
      <c r="W230" s="33"/>
    </row>
    <row r="231" customFormat="false" ht="15" hidden="false" customHeight="false" outlineLevel="0" collapsed="false">
      <c r="A231" s="33"/>
      <c r="B231" s="33"/>
      <c r="C231" s="33"/>
      <c r="D231" s="33"/>
      <c r="E231" s="33"/>
      <c r="F231" s="33"/>
      <c r="G231" s="33"/>
      <c r="H231" s="33"/>
      <c r="I231" s="33"/>
      <c r="J231" s="33"/>
      <c r="K231" s="33"/>
      <c r="L231" s="34"/>
      <c r="M231" s="34"/>
      <c r="N231" s="34"/>
      <c r="O231" s="34"/>
      <c r="P231" s="33"/>
      <c r="Q231" s="35"/>
      <c r="R231" s="33"/>
      <c r="S231" s="33"/>
      <c r="T231" s="33"/>
      <c r="U231" s="33"/>
      <c r="V231" s="33"/>
      <c r="W231" s="33"/>
    </row>
    <row r="232" customFormat="false" ht="15" hidden="false" customHeight="false" outlineLevel="0" collapsed="false">
      <c r="A232" s="33"/>
      <c r="B232" s="33"/>
      <c r="C232" s="33"/>
      <c r="D232" s="33"/>
      <c r="E232" s="33"/>
      <c r="F232" s="33"/>
      <c r="G232" s="33"/>
      <c r="H232" s="33"/>
      <c r="I232" s="33"/>
      <c r="J232" s="33"/>
      <c r="K232" s="33"/>
      <c r="L232" s="34"/>
      <c r="M232" s="34"/>
      <c r="N232" s="34"/>
      <c r="O232" s="34"/>
      <c r="P232" s="33"/>
      <c r="Q232" s="35"/>
      <c r="R232" s="33"/>
      <c r="S232" s="33"/>
      <c r="T232" s="33"/>
      <c r="U232" s="33"/>
      <c r="V232" s="33"/>
      <c r="W232" s="33"/>
    </row>
    <row r="233" customFormat="false" ht="15" hidden="false" customHeight="false" outlineLevel="0" collapsed="false">
      <c r="A233" s="33"/>
      <c r="B233" s="33"/>
      <c r="C233" s="33"/>
      <c r="D233" s="33"/>
      <c r="E233" s="33"/>
      <c r="F233" s="33"/>
      <c r="G233" s="33"/>
      <c r="H233" s="33"/>
      <c r="I233" s="33"/>
      <c r="J233" s="33"/>
      <c r="K233" s="33"/>
      <c r="L233" s="34"/>
      <c r="M233" s="34"/>
      <c r="N233" s="34"/>
      <c r="O233" s="34"/>
      <c r="P233" s="33"/>
      <c r="Q233" s="35"/>
      <c r="R233" s="33"/>
      <c r="S233" s="33"/>
      <c r="T233" s="33"/>
      <c r="U233" s="33"/>
      <c r="V233" s="33"/>
      <c r="W233" s="33"/>
    </row>
    <row r="234" customFormat="false" ht="15" hidden="false" customHeight="false" outlineLevel="0" collapsed="false">
      <c r="A234" s="33"/>
      <c r="B234" s="33"/>
      <c r="C234" s="33"/>
      <c r="D234" s="33"/>
      <c r="E234" s="33"/>
      <c r="F234" s="33"/>
      <c r="G234" s="33"/>
      <c r="H234" s="33"/>
      <c r="I234" s="33"/>
      <c r="J234" s="33"/>
      <c r="K234" s="33"/>
      <c r="L234" s="34"/>
      <c r="M234" s="34"/>
      <c r="N234" s="34"/>
      <c r="O234" s="34"/>
      <c r="P234" s="33"/>
      <c r="Q234" s="35"/>
      <c r="R234" s="33"/>
      <c r="S234" s="33"/>
      <c r="T234" s="33"/>
      <c r="U234" s="33"/>
      <c r="V234" s="33"/>
      <c r="W234" s="33"/>
    </row>
    <row r="235" customFormat="false" ht="15" hidden="false" customHeight="false" outlineLevel="0" collapsed="false">
      <c r="A235" s="33"/>
      <c r="B235" s="33"/>
      <c r="C235" s="33"/>
      <c r="D235" s="33"/>
      <c r="E235" s="33"/>
      <c r="F235" s="33"/>
      <c r="G235" s="33"/>
      <c r="H235" s="33"/>
      <c r="I235" s="33"/>
      <c r="J235" s="33"/>
      <c r="K235" s="33"/>
      <c r="L235" s="34"/>
      <c r="M235" s="34"/>
      <c r="N235" s="34"/>
      <c r="O235" s="34"/>
      <c r="P235" s="33"/>
      <c r="Q235" s="35"/>
      <c r="R235" s="33"/>
      <c r="S235" s="33"/>
      <c r="T235" s="33"/>
      <c r="U235" s="33"/>
      <c r="V235" s="33"/>
      <c r="W235" s="33"/>
    </row>
    <row r="236" customFormat="false" ht="15" hidden="false" customHeight="false" outlineLevel="0" collapsed="false">
      <c r="A236" s="33"/>
      <c r="B236" s="33"/>
      <c r="C236" s="33"/>
      <c r="D236" s="33"/>
      <c r="E236" s="33"/>
      <c r="F236" s="33"/>
      <c r="G236" s="33"/>
      <c r="H236" s="33"/>
      <c r="I236" s="33"/>
      <c r="J236" s="33"/>
      <c r="K236" s="33"/>
      <c r="L236" s="34"/>
      <c r="M236" s="34"/>
      <c r="N236" s="34"/>
      <c r="O236" s="34"/>
      <c r="P236" s="33"/>
      <c r="Q236" s="35"/>
      <c r="R236" s="33"/>
      <c r="S236" s="33"/>
      <c r="T236" s="33"/>
      <c r="U236" s="33"/>
      <c r="V236" s="33"/>
      <c r="W236" s="33"/>
    </row>
    <row r="237" customFormat="false" ht="15" hidden="false" customHeight="false" outlineLevel="0" collapsed="false">
      <c r="A237" s="33"/>
      <c r="B237" s="33"/>
      <c r="C237" s="33"/>
      <c r="D237" s="33"/>
      <c r="E237" s="33"/>
      <c r="F237" s="33"/>
      <c r="G237" s="33"/>
      <c r="H237" s="33"/>
      <c r="I237" s="33"/>
      <c r="J237" s="33"/>
      <c r="K237" s="33"/>
      <c r="L237" s="34"/>
      <c r="M237" s="34"/>
      <c r="N237" s="34"/>
      <c r="O237" s="34"/>
      <c r="P237" s="33"/>
      <c r="Q237" s="35"/>
      <c r="R237" s="33"/>
      <c r="S237" s="33"/>
      <c r="T237" s="33"/>
      <c r="U237" s="33"/>
      <c r="V237" s="33"/>
      <c r="W237" s="33"/>
    </row>
    <row r="238" customFormat="false" ht="15" hidden="false" customHeight="false" outlineLevel="0" collapsed="false">
      <c r="A238" s="33"/>
      <c r="B238" s="33"/>
      <c r="C238" s="33"/>
      <c r="D238" s="33"/>
      <c r="E238" s="33"/>
      <c r="F238" s="33"/>
      <c r="G238" s="33"/>
      <c r="H238" s="33"/>
      <c r="I238" s="33"/>
      <c r="J238" s="33"/>
      <c r="K238" s="33"/>
      <c r="L238" s="34"/>
      <c r="M238" s="34"/>
      <c r="N238" s="34"/>
      <c r="O238" s="34"/>
      <c r="P238" s="33"/>
      <c r="Q238" s="35"/>
      <c r="R238" s="33"/>
      <c r="S238" s="33"/>
      <c r="T238" s="33"/>
      <c r="U238" s="33"/>
      <c r="V238" s="33"/>
      <c r="W238" s="33"/>
    </row>
    <row r="239" customFormat="false" ht="15" hidden="false" customHeight="false" outlineLevel="0" collapsed="false">
      <c r="A239" s="33"/>
      <c r="B239" s="33"/>
      <c r="C239" s="33"/>
      <c r="D239" s="33"/>
      <c r="E239" s="33"/>
      <c r="F239" s="33"/>
      <c r="G239" s="33"/>
      <c r="H239" s="33"/>
      <c r="I239" s="33"/>
      <c r="J239" s="33"/>
      <c r="K239" s="33"/>
      <c r="L239" s="34"/>
      <c r="M239" s="34"/>
      <c r="N239" s="34"/>
      <c r="O239" s="34"/>
      <c r="P239" s="33"/>
      <c r="Q239" s="35"/>
      <c r="R239" s="33"/>
      <c r="S239" s="33"/>
      <c r="T239" s="33"/>
      <c r="U239" s="33"/>
      <c r="V239" s="33"/>
      <c r="W239" s="33"/>
    </row>
    <row r="240" customFormat="false" ht="15" hidden="false" customHeight="false" outlineLevel="0" collapsed="false">
      <c r="A240" s="33"/>
      <c r="B240" s="33"/>
      <c r="C240" s="33"/>
      <c r="D240" s="33"/>
      <c r="E240" s="33"/>
      <c r="F240" s="33"/>
      <c r="G240" s="33"/>
      <c r="H240" s="33"/>
      <c r="I240" s="33"/>
      <c r="J240" s="33"/>
      <c r="K240" s="33"/>
      <c r="L240" s="34"/>
      <c r="M240" s="34"/>
      <c r="N240" s="34"/>
      <c r="O240" s="34"/>
      <c r="P240" s="33"/>
      <c r="Q240" s="35"/>
      <c r="R240" s="33"/>
      <c r="S240" s="33"/>
      <c r="T240" s="33"/>
      <c r="U240" s="33"/>
      <c r="V240" s="33"/>
      <c r="W240" s="33"/>
    </row>
    <row r="241" customFormat="false" ht="15" hidden="false" customHeight="false" outlineLevel="0" collapsed="false">
      <c r="A241" s="33"/>
      <c r="B241" s="33"/>
      <c r="C241" s="33"/>
      <c r="D241" s="33"/>
      <c r="E241" s="33"/>
      <c r="F241" s="33"/>
      <c r="G241" s="33"/>
      <c r="H241" s="33"/>
      <c r="I241" s="33"/>
      <c r="J241" s="33"/>
      <c r="K241" s="33"/>
      <c r="L241" s="34"/>
      <c r="M241" s="34"/>
      <c r="N241" s="34"/>
      <c r="O241" s="34"/>
      <c r="P241" s="33"/>
      <c r="Q241" s="35"/>
      <c r="R241" s="33"/>
      <c r="S241" s="33"/>
      <c r="T241" s="33"/>
      <c r="U241" s="33"/>
      <c r="V241" s="33"/>
      <c r="W241" s="33"/>
    </row>
    <row r="242" customFormat="false" ht="15" hidden="false" customHeight="false" outlineLevel="0" collapsed="false">
      <c r="A242" s="33"/>
      <c r="B242" s="33"/>
      <c r="C242" s="33"/>
      <c r="D242" s="33"/>
      <c r="E242" s="33"/>
      <c r="F242" s="33"/>
      <c r="G242" s="33"/>
      <c r="H242" s="33"/>
      <c r="I242" s="33"/>
      <c r="J242" s="33"/>
      <c r="K242" s="33"/>
      <c r="L242" s="34"/>
      <c r="M242" s="34"/>
      <c r="N242" s="34"/>
      <c r="O242" s="34"/>
      <c r="P242" s="33"/>
      <c r="Q242" s="35"/>
      <c r="R242" s="33"/>
      <c r="S242" s="33"/>
      <c r="T242" s="33"/>
      <c r="U242" s="33"/>
      <c r="V242" s="33"/>
      <c r="W242" s="33"/>
    </row>
    <row r="243" customFormat="false" ht="15" hidden="false" customHeight="false" outlineLevel="0" collapsed="false">
      <c r="A243" s="33"/>
      <c r="B243" s="33"/>
      <c r="C243" s="33"/>
      <c r="D243" s="33"/>
      <c r="E243" s="33"/>
      <c r="F243" s="33"/>
      <c r="G243" s="33"/>
      <c r="H243" s="33"/>
      <c r="I243" s="33"/>
      <c r="J243" s="33"/>
      <c r="K243" s="33"/>
      <c r="L243" s="34"/>
      <c r="M243" s="34"/>
      <c r="N243" s="34"/>
      <c r="O243" s="34"/>
      <c r="P243" s="33"/>
      <c r="Q243" s="35"/>
      <c r="R243" s="33"/>
      <c r="S243" s="33"/>
      <c r="T243" s="33"/>
      <c r="U243" s="33"/>
      <c r="V243" s="33"/>
      <c r="W243" s="33"/>
    </row>
    <row r="244" customFormat="false" ht="15" hidden="false" customHeight="false" outlineLevel="0" collapsed="false">
      <c r="A244" s="33"/>
      <c r="B244" s="33"/>
      <c r="C244" s="33"/>
      <c r="D244" s="33"/>
      <c r="E244" s="33"/>
      <c r="F244" s="33"/>
      <c r="G244" s="33"/>
      <c r="H244" s="33"/>
      <c r="I244" s="33"/>
      <c r="J244" s="33"/>
      <c r="K244" s="33"/>
      <c r="L244" s="34"/>
      <c r="M244" s="34"/>
      <c r="N244" s="34"/>
      <c r="O244" s="34"/>
      <c r="P244" s="33"/>
      <c r="Q244" s="35"/>
      <c r="R244" s="33"/>
      <c r="S244" s="33"/>
      <c r="T244" s="33"/>
      <c r="U244" s="33"/>
      <c r="V244" s="33"/>
      <c r="W244" s="33"/>
    </row>
    <row r="245" customFormat="false" ht="15" hidden="false" customHeight="false" outlineLevel="0" collapsed="false">
      <c r="A245" s="33"/>
      <c r="B245" s="33"/>
      <c r="C245" s="33"/>
      <c r="D245" s="33"/>
      <c r="E245" s="33"/>
      <c r="F245" s="33"/>
      <c r="G245" s="33"/>
      <c r="H245" s="33"/>
      <c r="I245" s="33"/>
      <c r="J245" s="33"/>
      <c r="K245" s="33"/>
      <c r="L245" s="34"/>
      <c r="M245" s="34"/>
      <c r="N245" s="34"/>
      <c r="O245" s="34"/>
      <c r="P245" s="33"/>
      <c r="Q245" s="35"/>
      <c r="R245" s="33"/>
      <c r="S245" s="33"/>
      <c r="T245" s="33"/>
      <c r="U245" s="33"/>
      <c r="V245" s="33"/>
      <c r="W245" s="33"/>
    </row>
    <row r="246" customFormat="false" ht="15" hidden="false" customHeight="false" outlineLevel="0" collapsed="false">
      <c r="A246" s="33"/>
      <c r="B246" s="33"/>
      <c r="C246" s="33"/>
      <c r="D246" s="33"/>
      <c r="E246" s="33"/>
      <c r="F246" s="33"/>
      <c r="G246" s="33"/>
      <c r="H246" s="33"/>
      <c r="I246" s="33"/>
      <c r="J246" s="33"/>
      <c r="K246" s="33"/>
      <c r="L246" s="34"/>
      <c r="M246" s="34"/>
      <c r="N246" s="34"/>
      <c r="O246" s="34"/>
      <c r="P246" s="33"/>
      <c r="Q246" s="35"/>
      <c r="R246" s="33"/>
      <c r="S246" s="33"/>
      <c r="T246" s="33"/>
      <c r="U246" s="33"/>
      <c r="V246" s="33"/>
      <c r="W246" s="33"/>
    </row>
    <row r="247" customFormat="false" ht="15" hidden="false" customHeight="false" outlineLevel="0" collapsed="false">
      <c r="A247" s="33"/>
      <c r="B247" s="33"/>
      <c r="C247" s="33"/>
      <c r="D247" s="33"/>
      <c r="E247" s="33"/>
      <c r="F247" s="33"/>
      <c r="G247" s="33"/>
      <c r="H247" s="33"/>
      <c r="I247" s="33"/>
      <c r="J247" s="33"/>
      <c r="K247" s="33"/>
      <c r="L247" s="34"/>
      <c r="M247" s="34"/>
      <c r="N247" s="34"/>
      <c r="O247" s="34"/>
      <c r="P247" s="33"/>
      <c r="Q247" s="35"/>
      <c r="R247" s="33"/>
      <c r="S247" s="33"/>
      <c r="T247" s="33"/>
      <c r="U247" s="33"/>
      <c r="V247" s="33"/>
      <c r="W247" s="33"/>
    </row>
    <row r="248" customFormat="false" ht="15" hidden="false" customHeight="false" outlineLevel="0" collapsed="false">
      <c r="A248" s="33"/>
      <c r="B248" s="33"/>
      <c r="C248" s="33"/>
      <c r="D248" s="33"/>
      <c r="E248" s="33"/>
      <c r="F248" s="33"/>
      <c r="G248" s="33"/>
      <c r="H248" s="33"/>
      <c r="I248" s="33"/>
      <c r="J248" s="33"/>
      <c r="K248" s="33"/>
      <c r="L248" s="34"/>
      <c r="M248" s="34"/>
      <c r="N248" s="34"/>
      <c r="O248" s="34"/>
      <c r="P248" s="33"/>
      <c r="Q248" s="35"/>
      <c r="R248" s="33"/>
      <c r="S248" s="33"/>
      <c r="T248" s="33"/>
      <c r="U248" s="33"/>
      <c r="V248" s="33"/>
      <c r="W248" s="33"/>
    </row>
    <row r="249" customFormat="false" ht="15" hidden="false" customHeight="false" outlineLevel="0" collapsed="false">
      <c r="A249" s="33"/>
      <c r="B249" s="33"/>
      <c r="C249" s="33"/>
      <c r="D249" s="33"/>
      <c r="E249" s="33"/>
      <c r="F249" s="33"/>
      <c r="G249" s="33"/>
      <c r="H249" s="33"/>
      <c r="I249" s="33"/>
      <c r="J249" s="33"/>
      <c r="K249" s="33"/>
      <c r="L249" s="34"/>
      <c r="M249" s="34"/>
      <c r="N249" s="34"/>
      <c r="O249" s="34"/>
      <c r="P249" s="33"/>
      <c r="Q249" s="35"/>
      <c r="R249" s="33"/>
      <c r="S249" s="33"/>
      <c r="T249" s="33"/>
      <c r="U249" s="33"/>
      <c r="V249" s="33"/>
      <c r="W249" s="33"/>
    </row>
    <row r="250" customFormat="false" ht="15" hidden="false" customHeight="false" outlineLevel="0" collapsed="false">
      <c r="A250" s="33"/>
      <c r="B250" s="33"/>
      <c r="C250" s="33"/>
      <c r="D250" s="33"/>
      <c r="E250" s="33"/>
      <c r="F250" s="33"/>
      <c r="G250" s="33"/>
      <c r="H250" s="33"/>
      <c r="I250" s="33"/>
      <c r="J250" s="33"/>
      <c r="K250" s="33"/>
      <c r="L250" s="34"/>
      <c r="M250" s="34"/>
      <c r="N250" s="34"/>
      <c r="O250" s="34"/>
      <c r="P250" s="33"/>
      <c r="Q250" s="35"/>
      <c r="R250" s="33"/>
      <c r="S250" s="33"/>
      <c r="T250" s="33"/>
      <c r="U250" s="33"/>
      <c r="V250" s="33"/>
      <c r="W250" s="33"/>
    </row>
    <row r="251" customFormat="false" ht="15" hidden="false" customHeight="false" outlineLevel="0" collapsed="false">
      <c r="A251" s="33"/>
      <c r="B251" s="33"/>
      <c r="C251" s="33"/>
      <c r="D251" s="33"/>
      <c r="E251" s="33"/>
      <c r="F251" s="33"/>
      <c r="G251" s="33"/>
      <c r="H251" s="33"/>
      <c r="I251" s="33"/>
      <c r="J251" s="33"/>
      <c r="K251" s="33"/>
      <c r="L251" s="34"/>
      <c r="M251" s="34"/>
      <c r="N251" s="34"/>
      <c r="O251" s="34"/>
      <c r="P251" s="33"/>
      <c r="Q251" s="35"/>
      <c r="R251" s="33"/>
      <c r="S251" s="33"/>
      <c r="T251" s="33"/>
      <c r="U251" s="33"/>
      <c r="V251" s="33"/>
      <c r="W251" s="33"/>
    </row>
    <row r="252" customFormat="false" ht="15" hidden="false" customHeight="false" outlineLevel="0" collapsed="false">
      <c r="A252" s="33"/>
      <c r="B252" s="33"/>
      <c r="C252" s="33"/>
      <c r="D252" s="33"/>
      <c r="E252" s="33"/>
      <c r="F252" s="33"/>
      <c r="G252" s="33"/>
      <c r="H252" s="33"/>
      <c r="I252" s="33"/>
      <c r="J252" s="33"/>
      <c r="K252" s="33"/>
      <c r="L252" s="34"/>
      <c r="M252" s="34"/>
      <c r="N252" s="34"/>
      <c r="O252" s="34"/>
      <c r="P252" s="33"/>
      <c r="Q252" s="35"/>
      <c r="R252" s="33"/>
      <c r="S252" s="33"/>
      <c r="T252" s="33"/>
      <c r="U252" s="33"/>
      <c r="V252" s="33"/>
      <c r="W252" s="33"/>
    </row>
    <row r="253" customFormat="false" ht="15" hidden="false" customHeight="false" outlineLevel="0" collapsed="false">
      <c r="A253" s="33"/>
      <c r="B253" s="33"/>
      <c r="C253" s="33"/>
      <c r="D253" s="33"/>
      <c r="E253" s="33"/>
      <c r="F253" s="33"/>
      <c r="G253" s="33"/>
      <c r="H253" s="33"/>
      <c r="I253" s="33"/>
      <c r="J253" s="33"/>
      <c r="K253" s="33"/>
      <c r="L253" s="34"/>
      <c r="M253" s="34"/>
      <c r="N253" s="34"/>
      <c r="O253" s="34"/>
      <c r="P253" s="33"/>
      <c r="Q253" s="35"/>
      <c r="R253" s="33"/>
      <c r="S253" s="33"/>
      <c r="T253" s="33"/>
      <c r="U253" s="33"/>
      <c r="V253" s="33"/>
      <c r="W253" s="33"/>
    </row>
    <row r="254" customFormat="false" ht="15" hidden="false" customHeight="false" outlineLevel="0" collapsed="false">
      <c r="A254" s="33"/>
      <c r="B254" s="33"/>
      <c r="C254" s="33"/>
      <c r="D254" s="33"/>
      <c r="E254" s="33"/>
      <c r="F254" s="33"/>
      <c r="G254" s="33"/>
      <c r="H254" s="33"/>
      <c r="I254" s="33"/>
      <c r="J254" s="33"/>
      <c r="K254" s="33"/>
      <c r="L254" s="34"/>
      <c r="M254" s="34"/>
      <c r="N254" s="34"/>
      <c r="O254" s="34"/>
      <c r="P254" s="33"/>
      <c r="Q254" s="35"/>
      <c r="R254" s="33"/>
      <c r="S254" s="33"/>
      <c r="T254" s="33"/>
      <c r="U254" s="33"/>
      <c r="V254" s="33"/>
      <c r="W254" s="33"/>
    </row>
    <row r="255" customFormat="false" ht="15" hidden="false" customHeight="false" outlineLevel="0" collapsed="false">
      <c r="A255" s="33"/>
      <c r="B255" s="33"/>
      <c r="C255" s="33"/>
      <c r="D255" s="33"/>
      <c r="E255" s="33"/>
      <c r="F255" s="33"/>
      <c r="G255" s="33"/>
      <c r="H255" s="33"/>
      <c r="I255" s="33"/>
      <c r="J255" s="33"/>
      <c r="K255" s="33"/>
      <c r="L255" s="34"/>
      <c r="M255" s="34"/>
      <c r="N255" s="34"/>
      <c r="O255" s="34"/>
      <c r="P255" s="33"/>
      <c r="Q255" s="35"/>
      <c r="R255" s="33"/>
      <c r="S255" s="33"/>
      <c r="T255" s="33"/>
      <c r="U255" s="33"/>
      <c r="V255" s="33"/>
      <c r="W255" s="33"/>
    </row>
    <row r="256" customFormat="false" ht="15" hidden="false" customHeight="false" outlineLevel="0" collapsed="false">
      <c r="A256" s="33"/>
      <c r="B256" s="33"/>
      <c r="C256" s="33"/>
      <c r="D256" s="33"/>
      <c r="E256" s="33"/>
      <c r="F256" s="33"/>
      <c r="G256" s="33"/>
      <c r="H256" s="33"/>
      <c r="I256" s="33"/>
      <c r="J256" s="33"/>
      <c r="K256" s="33"/>
      <c r="L256" s="34"/>
      <c r="M256" s="34"/>
      <c r="N256" s="34"/>
      <c r="O256" s="34"/>
      <c r="P256" s="33"/>
      <c r="Q256" s="35"/>
      <c r="R256" s="33"/>
      <c r="S256" s="33"/>
      <c r="T256" s="33"/>
      <c r="U256" s="33"/>
      <c r="V256" s="33"/>
      <c r="W256" s="33"/>
    </row>
    <row r="257" customFormat="false" ht="15" hidden="false" customHeight="false" outlineLevel="0" collapsed="false">
      <c r="A257" s="33"/>
      <c r="B257" s="33"/>
      <c r="C257" s="33"/>
      <c r="D257" s="33"/>
      <c r="E257" s="33"/>
      <c r="F257" s="33"/>
      <c r="G257" s="33"/>
      <c r="H257" s="33"/>
      <c r="I257" s="33"/>
      <c r="J257" s="33"/>
      <c r="K257" s="33"/>
      <c r="L257" s="34"/>
      <c r="M257" s="34"/>
      <c r="N257" s="34"/>
      <c r="O257" s="34"/>
      <c r="P257" s="33"/>
      <c r="Q257" s="35"/>
      <c r="R257" s="33"/>
      <c r="S257" s="33"/>
      <c r="T257" s="33"/>
      <c r="U257" s="33"/>
      <c r="V257" s="33"/>
      <c r="W257" s="33"/>
    </row>
    <row r="258" customFormat="false" ht="15" hidden="false" customHeight="false" outlineLevel="0" collapsed="false">
      <c r="A258" s="33"/>
      <c r="B258" s="33"/>
      <c r="C258" s="33"/>
      <c r="D258" s="33"/>
      <c r="E258" s="33"/>
      <c r="F258" s="33"/>
      <c r="G258" s="33"/>
      <c r="H258" s="33"/>
      <c r="I258" s="33"/>
      <c r="J258" s="33"/>
      <c r="K258" s="33"/>
      <c r="L258" s="34"/>
      <c r="M258" s="34"/>
      <c r="N258" s="34"/>
      <c r="O258" s="34"/>
      <c r="P258" s="33"/>
      <c r="Q258" s="35"/>
      <c r="R258" s="33"/>
      <c r="S258" s="33"/>
      <c r="T258" s="33"/>
      <c r="U258" s="33"/>
      <c r="V258" s="33"/>
      <c r="W258" s="33"/>
    </row>
    <row r="259" customFormat="false" ht="15" hidden="false" customHeight="false" outlineLevel="0" collapsed="false">
      <c r="A259" s="33"/>
      <c r="B259" s="33"/>
      <c r="C259" s="33"/>
      <c r="D259" s="33"/>
      <c r="E259" s="33"/>
      <c r="F259" s="33"/>
      <c r="G259" s="33"/>
      <c r="H259" s="33"/>
      <c r="I259" s="33"/>
      <c r="J259" s="33"/>
      <c r="K259" s="33"/>
      <c r="L259" s="34"/>
      <c r="M259" s="34"/>
      <c r="N259" s="34"/>
      <c r="O259" s="34"/>
      <c r="P259" s="33"/>
      <c r="Q259" s="35"/>
      <c r="R259" s="33"/>
      <c r="S259" s="33"/>
      <c r="T259" s="33"/>
      <c r="U259" s="33"/>
      <c r="V259" s="33"/>
      <c r="W259" s="33"/>
    </row>
    <row r="260" customFormat="false" ht="15" hidden="false" customHeight="false" outlineLevel="0" collapsed="false">
      <c r="A260" s="33"/>
      <c r="B260" s="33"/>
      <c r="C260" s="33"/>
      <c r="D260" s="33"/>
      <c r="E260" s="33"/>
      <c r="F260" s="33"/>
      <c r="G260" s="33"/>
      <c r="H260" s="33"/>
      <c r="I260" s="33"/>
      <c r="J260" s="33"/>
      <c r="K260" s="33"/>
      <c r="L260" s="34"/>
      <c r="M260" s="34"/>
      <c r="N260" s="34"/>
      <c r="O260" s="34"/>
      <c r="P260" s="33"/>
      <c r="Q260" s="35"/>
      <c r="R260" s="33"/>
      <c r="S260" s="33"/>
      <c r="T260" s="33"/>
      <c r="U260" s="33"/>
      <c r="V260" s="33"/>
      <c r="W260" s="33"/>
    </row>
    <row r="261" customFormat="false" ht="15" hidden="false" customHeight="false" outlineLevel="0" collapsed="false">
      <c r="A261" s="33"/>
      <c r="B261" s="33"/>
      <c r="C261" s="33"/>
      <c r="D261" s="33"/>
      <c r="E261" s="33"/>
      <c r="F261" s="33"/>
      <c r="G261" s="33"/>
      <c r="H261" s="33"/>
      <c r="I261" s="33"/>
      <c r="J261" s="33"/>
      <c r="K261" s="33"/>
      <c r="L261" s="34"/>
      <c r="M261" s="34"/>
      <c r="N261" s="34"/>
      <c r="O261" s="34"/>
      <c r="P261" s="33"/>
      <c r="Q261" s="35"/>
      <c r="R261" s="33"/>
      <c r="S261" s="33"/>
      <c r="T261" s="33"/>
      <c r="U261" s="33"/>
      <c r="V261" s="33"/>
      <c r="W261" s="33"/>
    </row>
    <row r="262" customFormat="false" ht="15" hidden="false" customHeight="false" outlineLevel="0" collapsed="false">
      <c r="A262" s="33"/>
      <c r="B262" s="33"/>
      <c r="C262" s="33"/>
      <c r="D262" s="33"/>
      <c r="E262" s="33"/>
      <c r="F262" s="33"/>
      <c r="G262" s="33"/>
      <c r="H262" s="33"/>
      <c r="I262" s="33"/>
      <c r="J262" s="33"/>
      <c r="K262" s="33"/>
      <c r="L262" s="34"/>
      <c r="M262" s="34"/>
      <c r="N262" s="34"/>
      <c r="O262" s="34"/>
      <c r="P262" s="33"/>
      <c r="Q262" s="35"/>
      <c r="R262" s="33"/>
      <c r="S262" s="33"/>
      <c r="T262" s="33"/>
      <c r="U262" s="33"/>
      <c r="V262" s="33"/>
      <c r="W262" s="33"/>
    </row>
    <row r="263" customFormat="false" ht="15" hidden="false" customHeight="false" outlineLevel="0" collapsed="false">
      <c r="A263" s="33"/>
      <c r="B263" s="33"/>
      <c r="C263" s="33"/>
      <c r="D263" s="33"/>
      <c r="E263" s="33"/>
      <c r="F263" s="33"/>
      <c r="G263" s="33"/>
      <c r="H263" s="33"/>
      <c r="I263" s="33"/>
      <c r="J263" s="33"/>
      <c r="K263" s="33"/>
      <c r="L263" s="34"/>
      <c r="M263" s="34"/>
      <c r="N263" s="34"/>
      <c r="O263" s="34"/>
      <c r="P263" s="33"/>
      <c r="Q263" s="35"/>
      <c r="R263" s="33"/>
      <c r="S263" s="33"/>
      <c r="T263" s="33"/>
      <c r="U263" s="33"/>
      <c r="V263" s="33"/>
      <c r="W263" s="33"/>
    </row>
    <row r="264" customFormat="false" ht="15" hidden="false" customHeight="false" outlineLevel="0" collapsed="false">
      <c r="A264" s="33"/>
      <c r="B264" s="33"/>
      <c r="C264" s="33"/>
      <c r="D264" s="33"/>
      <c r="E264" s="33"/>
      <c r="F264" s="33"/>
      <c r="G264" s="33"/>
      <c r="H264" s="33"/>
      <c r="I264" s="33"/>
      <c r="J264" s="33"/>
      <c r="K264" s="33"/>
      <c r="L264" s="34"/>
      <c r="M264" s="34"/>
      <c r="N264" s="34"/>
      <c r="O264" s="34"/>
      <c r="P264" s="33"/>
      <c r="Q264" s="35"/>
      <c r="R264" s="33"/>
      <c r="S264" s="33"/>
      <c r="T264" s="33"/>
      <c r="U264" s="33"/>
      <c r="V264" s="33"/>
      <c r="W264" s="33"/>
    </row>
    <row r="265" customFormat="false" ht="15" hidden="false" customHeight="false" outlineLevel="0" collapsed="false">
      <c r="A265" s="33"/>
      <c r="B265" s="33"/>
      <c r="C265" s="33"/>
      <c r="D265" s="33"/>
      <c r="E265" s="33"/>
      <c r="F265" s="33"/>
      <c r="G265" s="33"/>
      <c r="H265" s="33"/>
      <c r="I265" s="33"/>
      <c r="J265" s="33"/>
      <c r="K265" s="33"/>
      <c r="L265" s="34"/>
      <c r="M265" s="34"/>
      <c r="N265" s="34"/>
      <c r="O265" s="34"/>
      <c r="P265" s="33"/>
      <c r="Q265" s="35"/>
      <c r="R265" s="33"/>
      <c r="S265" s="33"/>
      <c r="T265" s="33"/>
      <c r="U265" s="33"/>
      <c r="V265" s="33"/>
      <c r="W265" s="33"/>
    </row>
    <row r="266" customFormat="false" ht="15" hidden="false" customHeight="false" outlineLevel="0" collapsed="false">
      <c r="A266" s="33"/>
      <c r="B266" s="33"/>
      <c r="C266" s="33"/>
      <c r="D266" s="33"/>
      <c r="E266" s="33"/>
      <c r="F266" s="33"/>
      <c r="G266" s="33"/>
      <c r="H266" s="33"/>
      <c r="I266" s="33"/>
      <c r="J266" s="33"/>
      <c r="K266" s="33"/>
      <c r="L266" s="34"/>
      <c r="M266" s="34"/>
      <c r="N266" s="34"/>
      <c r="O266" s="34"/>
      <c r="P266" s="33"/>
      <c r="Q266" s="35"/>
      <c r="R266" s="33"/>
      <c r="S266" s="33"/>
      <c r="T266" s="33"/>
      <c r="U266" s="33"/>
      <c r="V266" s="33"/>
      <c r="W266" s="33"/>
    </row>
    <row r="267" customFormat="false" ht="15" hidden="false" customHeight="false" outlineLevel="0" collapsed="false">
      <c r="A267" s="33"/>
      <c r="B267" s="33"/>
      <c r="C267" s="33"/>
      <c r="D267" s="33"/>
      <c r="E267" s="33"/>
      <c r="F267" s="33"/>
      <c r="G267" s="33"/>
      <c r="H267" s="33"/>
      <c r="I267" s="33"/>
      <c r="J267" s="33"/>
      <c r="K267" s="33"/>
      <c r="L267" s="34"/>
      <c r="M267" s="34"/>
      <c r="N267" s="34"/>
      <c r="O267" s="34"/>
      <c r="P267" s="33"/>
      <c r="Q267" s="35"/>
      <c r="R267" s="33"/>
      <c r="S267" s="33"/>
      <c r="T267" s="33"/>
      <c r="U267" s="33"/>
      <c r="V267" s="33"/>
      <c r="W267" s="33"/>
    </row>
    <row r="268" customFormat="false" ht="15" hidden="false" customHeight="false" outlineLevel="0" collapsed="false">
      <c r="A268" s="33"/>
      <c r="B268" s="33"/>
      <c r="C268" s="33"/>
      <c r="D268" s="33"/>
      <c r="E268" s="33"/>
      <c r="F268" s="33"/>
      <c r="G268" s="33"/>
      <c r="H268" s="33"/>
      <c r="I268" s="33"/>
      <c r="J268" s="33"/>
      <c r="K268" s="33"/>
      <c r="L268" s="34"/>
      <c r="M268" s="34"/>
      <c r="N268" s="34"/>
      <c r="O268" s="34"/>
      <c r="P268" s="33"/>
      <c r="Q268" s="35"/>
      <c r="R268" s="33"/>
      <c r="S268" s="33"/>
      <c r="T268" s="33"/>
      <c r="U268" s="33"/>
      <c r="V268" s="33"/>
      <c r="W268" s="33"/>
    </row>
    <row r="269" customFormat="false" ht="15" hidden="false" customHeight="false" outlineLevel="0" collapsed="false">
      <c r="A269" s="33"/>
      <c r="B269" s="33"/>
      <c r="C269" s="33"/>
      <c r="D269" s="33"/>
      <c r="E269" s="33"/>
      <c r="F269" s="33"/>
      <c r="G269" s="33"/>
      <c r="H269" s="33"/>
      <c r="I269" s="33"/>
      <c r="J269" s="33"/>
      <c r="K269" s="33"/>
      <c r="L269" s="34"/>
      <c r="M269" s="34"/>
      <c r="N269" s="34"/>
      <c r="O269" s="34"/>
      <c r="P269" s="33"/>
      <c r="Q269" s="35"/>
      <c r="R269" s="33"/>
      <c r="S269" s="33"/>
      <c r="T269" s="33"/>
      <c r="U269" s="33"/>
      <c r="V269" s="33"/>
      <c r="W269" s="33"/>
    </row>
    <row r="270" customFormat="false" ht="15" hidden="false" customHeight="false" outlineLevel="0" collapsed="false">
      <c r="A270" s="33"/>
      <c r="B270" s="33"/>
      <c r="C270" s="33"/>
      <c r="D270" s="33"/>
      <c r="E270" s="33"/>
      <c r="F270" s="33"/>
      <c r="G270" s="33"/>
      <c r="H270" s="33"/>
      <c r="I270" s="33"/>
      <c r="J270" s="33"/>
      <c r="K270" s="33"/>
      <c r="L270" s="34"/>
      <c r="M270" s="34"/>
      <c r="N270" s="34"/>
      <c r="O270" s="34"/>
      <c r="P270" s="33"/>
      <c r="Q270" s="35"/>
      <c r="R270" s="33"/>
      <c r="S270" s="33"/>
      <c r="T270" s="33"/>
      <c r="U270" s="33"/>
      <c r="V270" s="33"/>
      <c r="W270" s="33"/>
    </row>
    <row r="271" customFormat="false" ht="15" hidden="false" customHeight="false" outlineLevel="0" collapsed="false">
      <c r="A271" s="33"/>
      <c r="B271" s="33"/>
      <c r="C271" s="33"/>
      <c r="D271" s="33"/>
      <c r="E271" s="33"/>
      <c r="F271" s="33"/>
      <c r="G271" s="33"/>
      <c r="H271" s="33"/>
      <c r="I271" s="33"/>
      <c r="J271" s="33"/>
      <c r="K271" s="33"/>
      <c r="L271" s="34"/>
      <c r="M271" s="34"/>
      <c r="N271" s="34"/>
      <c r="O271" s="34"/>
      <c r="P271" s="33"/>
      <c r="Q271" s="35"/>
      <c r="R271" s="33"/>
      <c r="S271" s="33"/>
      <c r="T271" s="33"/>
      <c r="U271" s="33"/>
      <c r="V271" s="33"/>
      <c r="W271" s="33"/>
    </row>
    <row r="272" customFormat="false" ht="15" hidden="false" customHeight="false" outlineLevel="0" collapsed="false">
      <c r="A272" s="33"/>
      <c r="B272" s="33"/>
      <c r="C272" s="33"/>
      <c r="D272" s="33"/>
      <c r="E272" s="33"/>
      <c r="F272" s="33"/>
      <c r="G272" s="33"/>
      <c r="H272" s="33"/>
      <c r="I272" s="33"/>
      <c r="J272" s="33"/>
      <c r="K272" s="33"/>
      <c r="L272" s="34"/>
      <c r="M272" s="34"/>
      <c r="N272" s="34"/>
      <c r="O272" s="34"/>
      <c r="P272" s="33"/>
      <c r="Q272" s="35"/>
      <c r="R272" s="33"/>
      <c r="S272" s="33"/>
      <c r="T272" s="33"/>
      <c r="U272" s="33"/>
      <c r="V272" s="33"/>
      <c r="W272" s="33"/>
    </row>
    <row r="273" customFormat="false" ht="15" hidden="false" customHeight="false" outlineLevel="0" collapsed="false">
      <c r="A273" s="33"/>
      <c r="B273" s="33"/>
      <c r="C273" s="33"/>
      <c r="D273" s="33"/>
      <c r="E273" s="33"/>
      <c r="F273" s="33"/>
      <c r="G273" s="33"/>
      <c r="H273" s="33"/>
      <c r="I273" s="33"/>
      <c r="J273" s="33"/>
      <c r="K273" s="33"/>
      <c r="L273" s="34"/>
      <c r="M273" s="34"/>
      <c r="N273" s="34"/>
      <c r="O273" s="34"/>
      <c r="P273" s="33"/>
      <c r="Q273" s="35"/>
      <c r="R273" s="33"/>
      <c r="S273" s="33"/>
      <c r="T273" s="33"/>
      <c r="U273" s="33"/>
      <c r="V273" s="33"/>
      <c r="W273" s="33"/>
    </row>
    <row r="274" customFormat="false" ht="15" hidden="false" customHeight="false" outlineLevel="0" collapsed="false">
      <c r="A274" s="33"/>
      <c r="B274" s="33"/>
      <c r="C274" s="33"/>
      <c r="D274" s="33"/>
      <c r="E274" s="33"/>
      <c r="F274" s="33"/>
      <c r="G274" s="33"/>
      <c r="H274" s="33"/>
      <c r="I274" s="33"/>
      <c r="J274" s="33"/>
      <c r="K274" s="33"/>
      <c r="L274" s="34"/>
      <c r="M274" s="34"/>
      <c r="N274" s="34"/>
      <c r="O274" s="34"/>
      <c r="P274" s="33"/>
      <c r="Q274" s="35"/>
      <c r="R274" s="33"/>
      <c r="S274" s="33"/>
      <c r="T274" s="33"/>
      <c r="U274" s="33"/>
      <c r="V274" s="33"/>
      <c r="W274" s="33"/>
    </row>
    <row r="275" customFormat="false" ht="15" hidden="false" customHeight="false" outlineLevel="0" collapsed="false">
      <c r="A275" s="33"/>
      <c r="B275" s="33"/>
      <c r="C275" s="33"/>
      <c r="D275" s="33"/>
      <c r="E275" s="33"/>
      <c r="F275" s="33"/>
      <c r="G275" s="33"/>
      <c r="H275" s="33"/>
      <c r="I275" s="33"/>
      <c r="J275" s="33"/>
      <c r="K275" s="33"/>
      <c r="L275" s="34"/>
      <c r="M275" s="34"/>
      <c r="N275" s="34"/>
      <c r="O275" s="34"/>
      <c r="P275" s="33"/>
      <c r="Q275" s="35"/>
      <c r="R275" s="33"/>
      <c r="S275" s="33"/>
      <c r="T275" s="33"/>
      <c r="U275" s="33"/>
      <c r="V275" s="33"/>
      <c r="W275" s="33"/>
    </row>
    <row r="276" customFormat="false" ht="15" hidden="false" customHeight="false" outlineLevel="0" collapsed="false">
      <c r="A276" s="33"/>
      <c r="B276" s="33"/>
      <c r="C276" s="33"/>
      <c r="D276" s="33"/>
      <c r="E276" s="33"/>
      <c r="F276" s="33"/>
      <c r="G276" s="33"/>
      <c r="H276" s="33"/>
      <c r="I276" s="33"/>
      <c r="J276" s="33"/>
      <c r="K276" s="33"/>
      <c r="L276" s="34"/>
      <c r="M276" s="34"/>
      <c r="N276" s="34"/>
      <c r="O276" s="34"/>
      <c r="P276" s="33"/>
      <c r="Q276" s="35"/>
      <c r="R276" s="33"/>
      <c r="S276" s="33"/>
      <c r="T276" s="33"/>
      <c r="U276" s="33"/>
      <c r="V276" s="33"/>
      <c r="W276" s="33"/>
    </row>
    <row r="277" customFormat="false" ht="15" hidden="false" customHeight="false" outlineLevel="0" collapsed="false">
      <c r="A277" s="33"/>
      <c r="B277" s="33"/>
      <c r="C277" s="33"/>
      <c r="D277" s="33"/>
      <c r="E277" s="33"/>
      <c r="F277" s="33"/>
      <c r="G277" s="33"/>
      <c r="H277" s="33"/>
      <c r="I277" s="33"/>
      <c r="J277" s="33"/>
      <c r="K277" s="33"/>
      <c r="L277" s="34"/>
      <c r="M277" s="34"/>
      <c r="N277" s="34"/>
      <c r="O277" s="34"/>
      <c r="P277" s="33"/>
      <c r="Q277" s="35"/>
      <c r="R277" s="33"/>
      <c r="S277" s="33"/>
      <c r="T277" s="33"/>
      <c r="U277" s="33"/>
      <c r="V277" s="33"/>
      <c r="W277" s="33"/>
    </row>
    <row r="278" customFormat="false" ht="15" hidden="false" customHeight="false" outlineLevel="0" collapsed="false">
      <c r="A278" s="33"/>
      <c r="B278" s="33"/>
      <c r="C278" s="33"/>
      <c r="D278" s="33"/>
      <c r="E278" s="33"/>
      <c r="F278" s="33"/>
      <c r="G278" s="33"/>
      <c r="H278" s="33"/>
      <c r="I278" s="33"/>
      <c r="J278" s="33"/>
      <c r="K278" s="33"/>
      <c r="L278" s="34"/>
      <c r="M278" s="34"/>
      <c r="N278" s="34"/>
      <c r="O278" s="34"/>
      <c r="P278" s="33"/>
      <c r="Q278" s="35"/>
      <c r="R278" s="33"/>
      <c r="S278" s="33"/>
      <c r="T278" s="33"/>
      <c r="U278" s="33"/>
      <c r="V278" s="33"/>
      <c r="W278" s="33"/>
    </row>
    <row r="279" customFormat="false" ht="15" hidden="false" customHeight="false" outlineLevel="0" collapsed="false">
      <c r="A279" s="33"/>
      <c r="B279" s="33"/>
      <c r="C279" s="33"/>
      <c r="D279" s="33"/>
      <c r="E279" s="33"/>
      <c r="F279" s="33"/>
      <c r="G279" s="33"/>
      <c r="H279" s="33"/>
      <c r="I279" s="33"/>
      <c r="J279" s="33"/>
      <c r="K279" s="33"/>
      <c r="L279" s="34"/>
      <c r="M279" s="34"/>
      <c r="N279" s="34"/>
      <c r="O279" s="34"/>
      <c r="P279" s="33"/>
      <c r="Q279" s="35"/>
      <c r="R279" s="33"/>
      <c r="S279" s="33"/>
      <c r="T279" s="33"/>
      <c r="U279" s="33"/>
      <c r="V279" s="33"/>
      <c r="W279" s="33"/>
    </row>
    <row r="280" customFormat="false" ht="15" hidden="false" customHeight="false" outlineLevel="0" collapsed="false">
      <c r="A280" s="33"/>
      <c r="B280" s="33"/>
      <c r="C280" s="33"/>
      <c r="D280" s="33"/>
      <c r="E280" s="33"/>
      <c r="F280" s="33"/>
      <c r="G280" s="33"/>
      <c r="H280" s="33"/>
      <c r="I280" s="33"/>
      <c r="J280" s="33"/>
      <c r="K280" s="33"/>
      <c r="L280" s="34"/>
      <c r="M280" s="34"/>
      <c r="N280" s="34"/>
      <c r="O280" s="34"/>
      <c r="P280" s="33"/>
      <c r="Q280" s="35"/>
      <c r="R280" s="33"/>
      <c r="S280" s="33"/>
      <c r="T280" s="33"/>
      <c r="U280" s="33"/>
      <c r="V280" s="33"/>
      <c r="W280" s="33"/>
    </row>
    <row r="281" customFormat="false" ht="15" hidden="false" customHeight="false" outlineLevel="0" collapsed="false">
      <c r="A281" s="33"/>
      <c r="B281" s="33"/>
      <c r="C281" s="33"/>
      <c r="D281" s="33"/>
      <c r="E281" s="33"/>
      <c r="F281" s="33"/>
      <c r="G281" s="33"/>
      <c r="H281" s="33"/>
      <c r="I281" s="33"/>
      <c r="J281" s="33"/>
      <c r="K281" s="33"/>
      <c r="L281" s="34"/>
      <c r="M281" s="34"/>
      <c r="N281" s="34"/>
      <c r="O281" s="34"/>
      <c r="P281" s="33"/>
      <c r="Q281" s="35"/>
      <c r="R281" s="33"/>
      <c r="S281" s="33"/>
      <c r="T281" s="33"/>
      <c r="U281" s="33"/>
      <c r="V281" s="33"/>
      <c r="W281" s="33"/>
    </row>
    <row r="282" customFormat="false" ht="15" hidden="false" customHeight="false" outlineLevel="0" collapsed="false">
      <c r="A282" s="33"/>
      <c r="B282" s="33"/>
      <c r="C282" s="33"/>
      <c r="D282" s="33"/>
      <c r="E282" s="33"/>
      <c r="F282" s="33"/>
      <c r="G282" s="33"/>
      <c r="H282" s="33"/>
      <c r="I282" s="33"/>
      <c r="J282" s="33"/>
      <c r="K282" s="33"/>
      <c r="L282" s="34"/>
      <c r="M282" s="34"/>
      <c r="N282" s="34"/>
      <c r="O282" s="34"/>
      <c r="P282" s="33"/>
      <c r="Q282" s="35"/>
      <c r="R282" s="33"/>
      <c r="S282" s="33"/>
      <c r="T282" s="33"/>
      <c r="U282" s="33"/>
      <c r="V282" s="33"/>
      <c r="W282" s="33"/>
    </row>
    <row r="283" customFormat="false" ht="15" hidden="false" customHeight="false" outlineLevel="0" collapsed="false">
      <c r="A283" s="33"/>
      <c r="B283" s="33"/>
      <c r="C283" s="33"/>
      <c r="D283" s="33"/>
      <c r="E283" s="33"/>
      <c r="F283" s="33"/>
      <c r="G283" s="33"/>
      <c r="H283" s="33"/>
      <c r="I283" s="33"/>
      <c r="J283" s="33"/>
      <c r="K283" s="33"/>
      <c r="L283" s="34"/>
      <c r="M283" s="34"/>
      <c r="N283" s="34"/>
      <c r="O283" s="34"/>
      <c r="P283" s="33"/>
      <c r="Q283" s="35"/>
      <c r="R283" s="33"/>
      <c r="S283" s="33"/>
      <c r="T283" s="33"/>
      <c r="U283" s="33"/>
      <c r="V283" s="33"/>
      <c r="W283" s="33"/>
    </row>
    <row r="284" customFormat="false" ht="15" hidden="false" customHeight="false" outlineLevel="0" collapsed="false">
      <c r="A284" s="33"/>
      <c r="B284" s="33"/>
      <c r="C284" s="33"/>
      <c r="D284" s="33"/>
      <c r="E284" s="33"/>
      <c r="F284" s="33"/>
      <c r="G284" s="33"/>
      <c r="H284" s="33"/>
      <c r="I284" s="33"/>
      <c r="J284" s="33"/>
      <c r="K284" s="33"/>
      <c r="L284" s="34"/>
      <c r="M284" s="34"/>
      <c r="N284" s="34"/>
      <c r="O284" s="34"/>
      <c r="P284" s="33"/>
      <c r="Q284" s="35"/>
      <c r="R284" s="33"/>
      <c r="S284" s="33"/>
      <c r="T284" s="33"/>
      <c r="U284" s="33"/>
      <c r="V284" s="33"/>
      <c r="W284" s="33"/>
    </row>
    <row r="285" customFormat="false" ht="15" hidden="false" customHeight="false" outlineLevel="0" collapsed="false">
      <c r="A285" s="33"/>
      <c r="B285" s="33"/>
      <c r="C285" s="33"/>
      <c r="D285" s="33"/>
      <c r="E285" s="33"/>
      <c r="F285" s="33"/>
      <c r="G285" s="33"/>
      <c r="H285" s="33"/>
      <c r="I285" s="33"/>
      <c r="J285" s="33"/>
      <c r="K285" s="33"/>
      <c r="L285" s="34"/>
      <c r="M285" s="34"/>
      <c r="N285" s="34"/>
      <c r="O285" s="34"/>
      <c r="P285" s="33"/>
      <c r="Q285" s="35"/>
      <c r="R285" s="33"/>
      <c r="S285" s="33"/>
      <c r="T285" s="33"/>
      <c r="U285" s="33"/>
      <c r="V285" s="33"/>
      <c r="W285" s="33"/>
    </row>
    <row r="286" customFormat="false" ht="15" hidden="false" customHeight="false" outlineLevel="0" collapsed="false">
      <c r="A286" s="33"/>
      <c r="B286" s="33"/>
      <c r="C286" s="33"/>
      <c r="D286" s="33"/>
      <c r="E286" s="33"/>
      <c r="F286" s="33"/>
      <c r="G286" s="33"/>
      <c r="H286" s="33"/>
      <c r="I286" s="33"/>
      <c r="J286" s="33"/>
      <c r="K286" s="33"/>
      <c r="L286" s="34"/>
      <c r="M286" s="34"/>
      <c r="N286" s="34"/>
      <c r="O286" s="34"/>
      <c r="P286" s="33"/>
      <c r="Q286" s="35"/>
      <c r="R286" s="33"/>
      <c r="S286" s="33"/>
      <c r="T286" s="33"/>
      <c r="U286" s="33"/>
      <c r="V286" s="33"/>
      <c r="W286" s="33"/>
    </row>
    <row r="287" customFormat="false" ht="15" hidden="false" customHeight="false" outlineLevel="0" collapsed="false">
      <c r="A287" s="33"/>
      <c r="B287" s="33"/>
      <c r="C287" s="33"/>
      <c r="D287" s="33"/>
      <c r="E287" s="33"/>
      <c r="F287" s="33"/>
      <c r="G287" s="33"/>
      <c r="H287" s="33"/>
      <c r="I287" s="33"/>
      <c r="J287" s="33"/>
      <c r="K287" s="33"/>
      <c r="L287" s="34"/>
      <c r="M287" s="34"/>
      <c r="N287" s="34"/>
      <c r="O287" s="34"/>
      <c r="P287" s="33"/>
      <c r="Q287" s="35"/>
      <c r="R287" s="33"/>
      <c r="S287" s="33"/>
      <c r="T287" s="33"/>
      <c r="U287" s="33"/>
      <c r="V287" s="33"/>
      <c r="W287" s="33"/>
    </row>
    <row r="288" customFormat="false" ht="15" hidden="false" customHeight="false" outlineLevel="0" collapsed="false">
      <c r="A288" s="33"/>
      <c r="B288" s="33"/>
      <c r="C288" s="33"/>
      <c r="D288" s="33"/>
      <c r="E288" s="33"/>
      <c r="F288" s="33"/>
      <c r="G288" s="33"/>
      <c r="H288" s="33"/>
      <c r="I288" s="33"/>
      <c r="J288" s="33"/>
      <c r="K288" s="33"/>
      <c r="L288" s="34"/>
      <c r="M288" s="34"/>
      <c r="N288" s="34"/>
      <c r="O288" s="34"/>
      <c r="P288" s="33"/>
      <c r="Q288" s="35"/>
      <c r="R288" s="33"/>
      <c r="S288" s="33"/>
      <c r="T288" s="33"/>
      <c r="U288" s="33"/>
      <c r="V288" s="33"/>
      <c r="W288" s="33"/>
    </row>
    <row r="289" customFormat="false" ht="15" hidden="false" customHeight="false" outlineLevel="0" collapsed="false">
      <c r="A289" s="33"/>
      <c r="B289" s="33"/>
      <c r="C289" s="33"/>
      <c r="D289" s="33"/>
      <c r="E289" s="33"/>
      <c r="F289" s="33"/>
      <c r="G289" s="33"/>
      <c r="H289" s="33"/>
      <c r="I289" s="33"/>
      <c r="J289" s="33"/>
      <c r="K289" s="33"/>
      <c r="L289" s="34"/>
      <c r="M289" s="34"/>
      <c r="N289" s="34"/>
      <c r="O289" s="34"/>
      <c r="P289" s="33"/>
      <c r="Q289" s="35"/>
      <c r="R289" s="33"/>
      <c r="S289" s="33"/>
      <c r="T289" s="33"/>
      <c r="U289" s="33"/>
      <c r="V289" s="33"/>
      <c r="W289" s="33"/>
    </row>
    <row r="290" customFormat="false" ht="15" hidden="false" customHeight="false" outlineLevel="0" collapsed="false">
      <c r="A290" s="33"/>
      <c r="B290" s="33"/>
      <c r="C290" s="33"/>
      <c r="D290" s="33"/>
      <c r="E290" s="33"/>
      <c r="F290" s="33"/>
      <c r="G290" s="33"/>
      <c r="H290" s="33"/>
      <c r="I290" s="33"/>
      <c r="J290" s="33"/>
      <c r="K290" s="33"/>
      <c r="L290" s="34"/>
      <c r="M290" s="34"/>
      <c r="N290" s="34"/>
      <c r="O290" s="34"/>
      <c r="P290" s="33"/>
      <c r="Q290" s="35"/>
      <c r="R290" s="33"/>
      <c r="S290" s="33"/>
      <c r="T290" s="33"/>
      <c r="U290" s="33"/>
      <c r="V290" s="33"/>
      <c r="W290" s="33"/>
    </row>
    <row r="291" customFormat="false" ht="15" hidden="false" customHeight="false" outlineLevel="0" collapsed="false">
      <c r="A291" s="33"/>
      <c r="B291" s="33"/>
      <c r="C291" s="33"/>
      <c r="D291" s="33"/>
      <c r="E291" s="33"/>
      <c r="F291" s="33"/>
      <c r="G291" s="33"/>
      <c r="H291" s="33"/>
      <c r="I291" s="33"/>
      <c r="J291" s="33"/>
      <c r="K291" s="33"/>
      <c r="L291" s="34"/>
      <c r="M291" s="34"/>
      <c r="N291" s="34"/>
      <c r="O291" s="34"/>
      <c r="P291" s="33"/>
      <c r="Q291" s="35"/>
      <c r="R291" s="33"/>
      <c r="S291" s="33"/>
      <c r="T291" s="33"/>
      <c r="U291" s="33"/>
      <c r="V291" s="33"/>
      <c r="W291" s="33"/>
    </row>
    <row r="292" customFormat="false" ht="15" hidden="false" customHeight="false" outlineLevel="0" collapsed="false">
      <c r="A292" s="33"/>
      <c r="B292" s="33"/>
      <c r="C292" s="33"/>
      <c r="D292" s="33"/>
      <c r="E292" s="33"/>
      <c r="F292" s="33"/>
      <c r="G292" s="33"/>
      <c r="H292" s="33"/>
      <c r="I292" s="33"/>
      <c r="J292" s="33"/>
      <c r="K292" s="33"/>
      <c r="L292" s="34"/>
      <c r="M292" s="34"/>
      <c r="N292" s="34"/>
      <c r="O292" s="34"/>
      <c r="P292" s="33"/>
      <c r="Q292" s="35"/>
      <c r="R292" s="33"/>
      <c r="S292" s="33"/>
      <c r="T292" s="33"/>
      <c r="U292" s="33"/>
      <c r="V292" s="33"/>
      <c r="W292" s="33"/>
    </row>
    <row r="293" customFormat="false" ht="15" hidden="false" customHeight="false" outlineLevel="0" collapsed="false">
      <c r="A293" s="33"/>
      <c r="B293" s="33"/>
      <c r="C293" s="33"/>
      <c r="D293" s="33"/>
      <c r="E293" s="33"/>
      <c r="F293" s="33"/>
      <c r="G293" s="33"/>
      <c r="H293" s="33"/>
      <c r="I293" s="33"/>
      <c r="J293" s="33"/>
      <c r="K293" s="33"/>
      <c r="L293" s="34"/>
      <c r="M293" s="34"/>
      <c r="N293" s="34"/>
      <c r="O293" s="34"/>
      <c r="P293" s="33"/>
      <c r="Q293" s="35"/>
      <c r="R293" s="33"/>
      <c r="S293" s="33"/>
      <c r="T293" s="33"/>
      <c r="U293" s="33"/>
      <c r="V293" s="33"/>
      <c r="W293" s="33"/>
    </row>
    <row r="294" customFormat="false" ht="15" hidden="false" customHeight="false" outlineLevel="0" collapsed="false">
      <c r="A294" s="33"/>
      <c r="B294" s="33"/>
      <c r="C294" s="33"/>
      <c r="D294" s="33"/>
      <c r="E294" s="33"/>
      <c r="F294" s="33"/>
      <c r="G294" s="33"/>
      <c r="H294" s="33"/>
      <c r="I294" s="33"/>
      <c r="J294" s="33"/>
      <c r="K294" s="33"/>
      <c r="L294" s="34"/>
      <c r="M294" s="34"/>
      <c r="N294" s="34"/>
      <c r="O294" s="34"/>
      <c r="P294" s="33"/>
      <c r="Q294" s="35"/>
      <c r="R294" s="33"/>
      <c r="S294" s="33"/>
      <c r="T294" s="33"/>
      <c r="U294" s="33"/>
      <c r="V294" s="33"/>
      <c r="W294" s="33"/>
    </row>
    <row r="295" customFormat="false" ht="15" hidden="false" customHeight="false" outlineLevel="0" collapsed="false">
      <c r="A295" s="33"/>
      <c r="B295" s="33"/>
      <c r="C295" s="33"/>
      <c r="D295" s="33"/>
      <c r="E295" s="33"/>
      <c r="F295" s="33"/>
      <c r="G295" s="33"/>
      <c r="H295" s="33"/>
      <c r="I295" s="33"/>
      <c r="J295" s="33"/>
      <c r="K295" s="33"/>
      <c r="L295" s="34"/>
      <c r="M295" s="34"/>
      <c r="N295" s="34"/>
      <c r="O295" s="34"/>
      <c r="P295" s="33"/>
      <c r="Q295" s="35"/>
      <c r="R295" s="33"/>
      <c r="S295" s="33"/>
      <c r="T295" s="33"/>
      <c r="U295" s="33"/>
      <c r="V295" s="33"/>
      <c r="W295" s="33"/>
    </row>
    <row r="296" customFormat="false" ht="15" hidden="false" customHeight="false" outlineLevel="0" collapsed="false">
      <c r="A296" s="33"/>
      <c r="B296" s="33"/>
      <c r="C296" s="33"/>
      <c r="D296" s="33"/>
      <c r="E296" s="33"/>
      <c r="F296" s="33"/>
      <c r="G296" s="33"/>
      <c r="H296" s="33"/>
      <c r="I296" s="33"/>
      <c r="J296" s="33"/>
      <c r="K296" s="33"/>
      <c r="L296" s="34"/>
      <c r="M296" s="34"/>
      <c r="N296" s="34"/>
      <c r="O296" s="34"/>
      <c r="P296" s="33"/>
      <c r="Q296" s="35"/>
      <c r="R296" s="33"/>
      <c r="S296" s="33"/>
      <c r="T296" s="33"/>
      <c r="U296" s="33"/>
      <c r="V296" s="33"/>
      <c r="W296" s="33"/>
    </row>
    <row r="297" customFormat="false" ht="15" hidden="false" customHeight="false" outlineLevel="0" collapsed="false">
      <c r="A297" s="33"/>
      <c r="B297" s="33"/>
      <c r="C297" s="33"/>
      <c r="D297" s="33"/>
      <c r="E297" s="33"/>
      <c r="F297" s="33"/>
      <c r="G297" s="33"/>
      <c r="H297" s="33"/>
      <c r="I297" s="33"/>
      <c r="J297" s="33"/>
      <c r="K297" s="33"/>
      <c r="L297" s="34"/>
      <c r="M297" s="34"/>
      <c r="N297" s="34"/>
      <c r="O297" s="34"/>
      <c r="P297" s="33"/>
      <c r="Q297" s="35"/>
      <c r="R297" s="33"/>
      <c r="S297" s="33"/>
      <c r="T297" s="33"/>
      <c r="U297" s="33"/>
      <c r="V297" s="33"/>
      <c r="W297" s="33"/>
    </row>
    <row r="298" customFormat="false" ht="15" hidden="false" customHeight="false" outlineLevel="0" collapsed="false">
      <c r="A298" s="33"/>
      <c r="B298" s="33"/>
      <c r="C298" s="33"/>
      <c r="D298" s="33"/>
      <c r="E298" s="33"/>
      <c r="F298" s="33"/>
      <c r="G298" s="33"/>
      <c r="H298" s="33"/>
      <c r="I298" s="33"/>
      <c r="J298" s="33"/>
      <c r="K298" s="33"/>
      <c r="L298" s="34"/>
      <c r="M298" s="34"/>
      <c r="N298" s="34"/>
      <c r="O298" s="34"/>
      <c r="P298" s="33"/>
      <c r="Q298" s="35"/>
      <c r="R298" s="33"/>
      <c r="S298" s="33"/>
      <c r="T298" s="33"/>
      <c r="U298" s="33"/>
      <c r="V298" s="33"/>
      <c r="W298" s="33"/>
    </row>
    <row r="299" customFormat="false" ht="15" hidden="false" customHeight="false" outlineLevel="0" collapsed="false">
      <c r="A299" s="33"/>
      <c r="B299" s="33"/>
      <c r="C299" s="33"/>
      <c r="D299" s="33"/>
      <c r="E299" s="33"/>
      <c r="F299" s="33"/>
      <c r="G299" s="33"/>
      <c r="H299" s="33"/>
      <c r="I299" s="33"/>
      <c r="J299" s="33"/>
      <c r="K299" s="33"/>
      <c r="L299" s="34"/>
      <c r="M299" s="34"/>
      <c r="N299" s="34"/>
      <c r="O299" s="34"/>
      <c r="P299" s="33"/>
      <c r="Q299" s="35"/>
      <c r="R299" s="33"/>
      <c r="S299" s="33"/>
      <c r="T299" s="33"/>
      <c r="U299" s="33"/>
      <c r="V299" s="33"/>
      <c r="W299" s="33"/>
    </row>
    <row r="300" customFormat="false" ht="15" hidden="false" customHeight="false" outlineLevel="0" collapsed="false">
      <c r="A300" s="33"/>
      <c r="B300" s="33"/>
      <c r="C300" s="33"/>
      <c r="D300" s="33"/>
      <c r="E300" s="33"/>
      <c r="F300" s="33"/>
      <c r="G300" s="33"/>
      <c r="H300" s="33"/>
      <c r="I300" s="33"/>
      <c r="J300" s="33"/>
      <c r="K300" s="33"/>
      <c r="L300" s="34"/>
      <c r="M300" s="34"/>
      <c r="N300" s="34"/>
      <c r="O300" s="34"/>
      <c r="P300" s="33"/>
      <c r="Q300" s="35"/>
      <c r="R300" s="33"/>
      <c r="S300" s="33"/>
      <c r="T300" s="33"/>
      <c r="U300" s="33"/>
      <c r="V300" s="33"/>
      <c r="W300" s="33"/>
    </row>
  </sheetData>
  <autoFilter ref="A4:W11"/>
  <mergeCells count="6">
    <mergeCell ref="A3:C3"/>
    <mergeCell ref="D3:H3"/>
    <mergeCell ref="I3:O3"/>
    <mergeCell ref="P3:R3"/>
    <mergeCell ref="S3:U3"/>
    <mergeCell ref="V3:W3"/>
  </mergeCells>
  <conditionalFormatting sqref="P5:P300">
    <cfRule type="expression" priority="2" aboveAverage="0" equalAverage="0" bottom="0" percent="0" rank="0" text="" dxfId="5">
      <formula>$P5="AVL"</formula>
    </cfRule>
    <cfRule type="expression" priority="3" aboveAverage="0" equalAverage="0" bottom="0" percent="0" rank="0" text="" dxfId="6">
      <formula>$P5="Qualified"</formula>
    </cfRule>
    <cfRule type="expression" priority="4" aboveAverage="0" equalAverage="0" bottom="0" percent="0" rank="0" text="" dxfId="7">
      <formula>$P5="Prequalified"</formula>
    </cfRule>
    <cfRule type="expression" priority="5" aboveAverage="0" equalAverage="0" bottom="0" percent="0" rank="0" text="" dxfId="8">
      <formula>$P5="On Hold"</formula>
    </cfRule>
    <cfRule type="expression" priority="6" aboveAverage="0" equalAverage="0" bottom="0" percent="0" rank="0" text="" dxfId="9">
      <formula>$P5="Disqualified"</formula>
    </cfRule>
  </conditionalFormatting>
  <conditionalFormatting sqref="W5:W300">
    <cfRule type="expression" priority="7" aboveAverage="0" equalAverage="0" bottom="0" percent="0" rank="0" text="" dxfId="9">
      <formula>$W5="High"</formula>
    </cfRule>
    <cfRule type="expression" priority="8" aboveAverage="0" equalAverage="0" bottom="0" percent="0" rank="0" text="" dxfId="10">
      <formula>$W5="FEOC Review"</formula>
    </cfRule>
    <cfRule type="expression" priority="9" aboveAverage="0" equalAverage="0" bottom="0" percent="0" rank="0" text="" dxfId="8">
      <formula>$W5="Medium"</formula>
    </cfRule>
    <cfRule type="expression" priority="10" aboveAverage="0" equalAverage="0" bottom="0" percent="0" rank="0" text="" dxfId="5">
      <formula>$W5="Low"</formula>
    </cfRule>
  </conditionalFormatting>
  <dataValidations count="5">
    <dataValidation allowBlank="true" error="Pick a value from the list (edit the Lists tab to change options)." errorStyle="stop" errorTitle="Invalid entry" operator="between" showDropDown="false" showErrorMessage="true" showInputMessage="false" sqref="P5:P300" type="list">
      <formula1>lst_status</formula1>
      <formula2>0</formula2>
    </dataValidation>
    <dataValidation allowBlank="true" error="Pick a value from the list (edit the Lists tab to change options)." errorStyle="stop" errorTitle="Invalid entry" operator="between" showDropDown="false" showErrorMessage="true" showInputMessage="false" sqref="R5:R300" type="list">
      <formula1>lst_rfx</formula1>
      <formula2>0</formula2>
    </dataValidation>
    <dataValidation allowBlank="true" error="Pick a value from the list (edit the Lists tab to change options)." errorStyle="stop" errorTitle="Invalid entry" operator="between" showDropDown="false" showErrorMessage="true" showInputMessage="false" sqref="T5:T300" type="list">
      <formula1>lst_fin</formula1>
      <formula2>0</formula2>
    </dataValidation>
    <dataValidation allowBlank="true" error="Pick a value from the list (edit the Lists tab to change options)." errorStyle="stop" errorTitle="Invalid entry" operator="between" showDropDown="false" showErrorMessage="true" showInputMessage="false" sqref="W5:W300" type="list">
      <formula1>lst_scr</formula1>
      <formula2>0</formula2>
    </dataValidation>
    <dataValidation allowBlank="true" error="Enter a date (yyyy-mm-dd)." errorStyle="stop" operator="greaterThan" showDropDown="false" showErrorMessage="true" showInputMessage="false" sqref="Q5:Q300" type="date">
      <formula1>DATE(2020,1,1)</formula1>
      <formula2>0</formula2>
    </dataValidation>
  </dataValidations>
  <hyperlinks>
    <hyperlink ref="I5" r:id="rId2" display="https://www.jensenhughes.com/"/>
    <hyperlink ref="K5" r:id="rId3" display="https://www.jensenhughes.com/contact-us"/>
    <hyperlink ref="I6" r:id="rId4" display="https://www.energyresponsegroup.com/"/>
    <hyperlink ref="K6" r:id="rId5" display="https://www.energyresponsegroup.com/contact"/>
    <hyperlink ref="I7" r:id="rId6" display="https://fireriskalliance.com/"/>
    <hyperlink ref="K7" r:id="rId7" display="https://fireriskalliance.com/contact-us/"/>
    <hyperlink ref="I8" r:id="rId8" display="https://www.telgian.com/"/>
    <hyperlink ref="K8" r:id="rId9" display="https://www.telgian.com/contact/"/>
    <hyperlink ref="I9" r:id="rId10" display="https://www.dnv.com/"/>
    <hyperlink ref="K9" r:id="rId11" display="https://www.dnv.us/contact/"/>
    <hyperlink ref="I10" r:id="rId12" display="https://www.ul.com/"/>
    <hyperlink ref="K10" r:id="rId13" display="https://www.ul.com/contact-us"/>
    <hyperlink ref="I11" r:id="rId14" display="https://www.exponent.c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5"/>
  <legacyDrawing r:id="rId16"/>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C8A"/>
    <pageSetUpPr fitToPage="false"/>
  </sheetPr>
  <dimension ref="A1:W30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40"/>
    <col collapsed="false" customWidth="true" hidden="false" outlineLevel="0" max="4" min="4" style="0" width="15"/>
    <col collapsed="false" customWidth="true" hidden="false" outlineLevel="0" max="5" min="5" style="0" width="11"/>
    <col collapsed="false" customWidth="true" hidden="false" outlineLevel="0" max="6" min="6" style="0" width="13"/>
    <col collapsed="false" customWidth="true" hidden="false" outlineLevel="0" max="7" min="7" style="0" width="18"/>
    <col collapsed="false" customWidth="true" hidden="false" outlineLevel="0" max="9" min="8" style="0" width="28"/>
    <col collapsed="false" customWidth="true" hidden="false" outlineLevel="0" max="10" min="10" style="0" width="18"/>
    <col collapsed="false" customWidth="true" hidden="false" outlineLevel="0" max="11" min="11" style="0" width="28"/>
    <col collapsed="false" customWidth="true" hidden="false" outlineLevel="0" max="12" min="12" style="0" width="20"/>
    <col collapsed="false" customWidth="true" hidden="false" outlineLevel="0" max="13" min="13" style="0" width="18"/>
    <col collapsed="false" customWidth="true" hidden="false" outlineLevel="0" max="14" min="14" style="0" width="24"/>
    <col collapsed="false" customWidth="true" hidden="false" outlineLevel="0" max="16" min="15" style="0" width="15"/>
    <col collapsed="false" customWidth="true" hidden="false" outlineLevel="0" max="17" min="17" style="0" width="12"/>
    <col collapsed="false" customWidth="true" hidden="false" outlineLevel="0" max="18" min="18" style="0" width="14"/>
    <col collapsed="false" customWidth="true" hidden="false" outlineLevel="0" max="19" min="19" style="0" width="24"/>
    <col collapsed="false" customWidth="true" hidden="false" outlineLevel="0" max="20" min="20" style="0" width="13"/>
    <col collapsed="false" customWidth="true" hidden="false" outlineLevel="0" max="22" min="21" style="0" width="45"/>
    <col collapsed="false" customWidth="true" hidden="false" outlineLevel="0" max="23" min="23" style="0" width="13"/>
  </cols>
  <sheetData>
    <row r="1" customFormat="false" ht="17.35" hidden="false" customHeight="false" outlineLevel="0" collapsed="false">
      <c r="A1" s="16" t="s">
        <v>435</v>
      </c>
    </row>
    <row r="2" customFormat="false" ht="15" hidden="false" customHeight="false" outlineLevel="0" collapsed="false">
      <c r="A2" s="2" t="s">
        <v>87</v>
      </c>
    </row>
    <row r="3" customFormat="false" ht="15" hidden="false" customHeight="false" outlineLevel="0" collapsed="false">
      <c r="A3" s="22" t="s">
        <v>58</v>
      </c>
      <c r="B3" s="22"/>
      <c r="C3" s="22"/>
      <c r="D3" s="23" t="s">
        <v>60</v>
      </c>
      <c r="E3" s="23"/>
      <c r="F3" s="23"/>
      <c r="G3" s="23"/>
      <c r="H3" s="23"/>
      <c r="I3" s="24" t="s">
        <v>61</v>
      </c>
      <c r="J3" s="24"/>
      <c r="K3" s="24"/>
      <c r="L3" s="24"/>
      <c r="M3" s="24"/>
      <c r="N3" s="24"/>
      <c r="O3" s="24"/>
      <c r="P3" s="25" t="s">
        <v>62</v>
      </c>
      <c r="Q3" s="25"/>
      <c r="R3" s="25"/>
      <c r="S3" s="26" t="s">
        <v>32</v>
      </c>
      <c r="T3" s="26"/>
      <c r="U3" s="26"/>
      <c r="V3" s="27" t="s">
        <v>34</v>
      </c>
      <c r="W3" s="27"/>
    </row>
    <row r="4" customFormat="false" ht="31.5" hidden="false" customHeight="true" outlineLevel="0" collapsed="false">
      <c r="A4" s="28" t="s">
        <v>88</v>
      </c>
      <c r="B4" s="28" t="s">
        <v>89</v>
      </c>
      <c r="C4" s="28" t="s">
        <v>436</v>
      </c>
      <c r="D4" s="28" t="s">
        <v>91</v>
      </c>
      <c r="E4" s="28" t="s">
        <v>92</v>
      </c>
      <c r="F4" s="28" t="s">
        <v>93</v>
      </c>
      <c r="G4" s="28" t="s">
        <v>94</v>
      </c>
      <c r="H4" s="28" t="s">
        <v>95</v>
      </c>
      <c r="I4" s="28" t="s">
        <v>96</v>
      </c>
      <c r="J4" s="28" t="s">
        <v>97</v>
      </c>
      <c r="K4" s="28" t="s">
        <v>98</v>
      </c>
      <c r="L4" s="28" t="s">
        <v>99</v>
      </c>
      <c r="M4" s="28" t="s">
        <v>100</v>
      </c>
      <c r="N4" s="28" t="s">
        <v>101</v>
      </c>
      <c r="O4" s="28" t="s">
        <v>102</v>
      </c>
      <c r="P4" s="28" t="s">
        <v>103</v>
      </c>
      <c r="Q4" s="28" t="s">
        <v>104</v>
      </c>
      <c r="R4" s="28" t="s">
        <v>105</v>
      </c>
      <c r="S4" s="28" t="s">
        <v>106</v>
      </c>
      <c r="T4" s="28" t="s">
        <v>41</v>
      </c>
      <c r="U4" s="28" t="s">
        <v>107</v>
      </c>
      <c r="V4" s="28" t="s">
        <v>108</v>
      </c>
      <c r="W4" s="28" t="s">
        <v>109</v>
      </c>
    </row>
    <row r="5" customFormat="false" ht="43.25" hidden="false" customHeight="false" outlineLevel="0" collapsed="false">
      <c r="A5" s="29" t="s">
        <v>437</v>
      </c>
      <c r="B5" s="29" t="s">
        <v>405</v>
      </c>
      <c r="C5" s="29" t="s">
        <v>438</v>
      </c>
      <c r="D5" s="29" t="s">
        <v>439</v>
      </c>
      <c r="E5" s="29"/>
      <c r="F5" s="29" t="s">
        <v>408</v>
      </c>
      <c r="G5" s="29"/>
      <c r="H5" s="29" t="s">
        <v>440</v>
      </c>
      <c r="I5" s="30" t="s">
        <v>441</v>
      </c>
      <c r="J5" s="29" t="s">
        <v>442</v>
      </c>
      <c r="K5" s="30" t="s">
        <v>411</v>
      </c>
      <c r="L5" s="31"/>
      <c r="M5" s="31"/>
      <c r="N5" s="31"/>
      <c r="O5" s="31"/>
      <c r="P5" s="29" t="s">
        <v>19</v>
      </c>
      <c r="Q5" s="32" t="n">
        <v>46300</v>
      </c>
      <c r="R5" s="29" t="s">
        <v>117</v>
      </c>
      <c r="S5" s="29" t="s">
        <v>443</v>
      </c>
      <c r="T5" s="29" t="s">
        <v>119</v>
      </c>
      <c r="U5" s="29" t="s">
        <v>444</v>
      </c>
      <c r="V5" s="29" t="s">
        <v>445</v>
      </c>
      <c r="W5" s="29" t="s">
        <v>119</v>
      </c>
    </row>
    <row r="6" customFormat="false" ht="53.7" hidden="false" customHeight="false" outlineLevel="0" collapsed="false">
      <c r="A6" s="29" t="s">
        <v>446</v>
      </c>
      <c r="B6" s="29" t="s">
        <v>447</v>
      </c>
      <c r="C6" s="29" t="s">
        <v>448</v>
      </c>
      <c r="D6" s="29" t="s">
        <v>449</v>
      </c>
      <c r="E6" s="29"/>
      <c r="F6" s="29" t="s">
        <v>450</v>
      </c>
      <c r="G6" s="29"/>
      <c r="H6" s="29"/>
      <c r="I6" s="30" t="s">
        <v>451</v>
      </c>
      <c r="J6" s="29" t="s">
        <v>452</v>
      </c>
      <c r="K6" s="30" t="s">
        <v>453</v>
      </c>
      <c r="L6" s="31"/>
      <c r="M6" s="31"/>
      <c r="N6" s="31"/>
      <c r="O6" s="31"/>
      <c r="P6" s="29" t="s">
        <v>19</v>
      </c>
      <c r="Q6" s="32" t="n">
        <v>46300</v>
      </c>
      <c r="R6" s="29" t="s">
        <v>117</v>
      </c>
      <c r="S6" s="29" t="s">
        <v>454</v>
      </c>
      <c r="T6" s="29" t="s">
        <v>119</v>
      </c>
      <c r="U6" s="29" t="s">
        <v>455</v>
      </c>
      <c r="V6" s="29" t="s">
        <v>456</v>
      </c>
      <c r="W6" s="29" t="s">
        <v>119</v>
      </c>
    </row>
    <row r="7" customFormat="false" ht="43.25" hidden="false" customHeight="false" outlineLevel="0" collapsed="false">
      <c r="A7" s="29" t="s">
        <v>457</v>
      </c>
      <c r="B7" s="29" t="s">
        <v>293</v>
      </c>
      <c r="C7" s="29" t="s">
        <v>458</v>
      </c>
      <c r="D7" s="29" t="s">
        <v>295</v>
      </c>
      <c r="E7" s="29" t="s">
        <v>160</v>
      </c>
      <c r="F7" s="29" t="s">
        <v>127</v>
      </c>
      <c r="G7" s="29"/>
      <c r="H7" s="29" t="s">
        <v>459</v>
      </c>
      <c r="I7" s="30" t="s">
        <v>460</v>
      </c>
      <c r="J7" s="29" t="s">
        <v>297</v>
      </c>
      <c r="K7" s="30" t="s">
        <v>298</v>
      </c>
      <c r="L7" s="31"/>
      <c r="M7" s="31"/>
      <c r="N7" s="31"/>
      <c r="O7" s="31"/>
      <c r="P7" s="29" t="s">
        <v>19</v>
      </c>
      <c r="Q7" s="32" t="n">
        <v>46300</v>
      </c>
      <c r="R7" s="29" t="s">
        <v>117</v>
      </c>
      <c r="S7" s="29" t="s">
        <v>461</v>
      </c>
      <c r="T7" s="29" t="s">
        <v>119</v>
      </c>
      <c r="U7" s="29" t="s">
        <v>462</v>
      </c>
      <c r="V7" s="29" t="s">
        <v>463</v>
      </c>
      <c r="W7" s="29" t="s">
        <v>119</v>
      </c>
    </row>
    <row r="8" customFormat="false" ht="43.25" hidden="false" customHeight="false" outlineLevel="0" collapsed="false">
      <c r="A8" s="29" t="s">
        <v>464</v>
      </c>
      <c r="B8" s="29" t="s">
        <v>279</v>
      </c>
      <c r="C8" s="29" t="s">
        <v>465</v>
      </c>
      <c r="D8" s="29" t="s">
        <v>281</v>
      </c>
      <c r="E8" s="29" t="s">
        <v>282</v>
      </c>
      <c r="F8" s="29" t="s">
        <v>127</v>
      </c>
      <c r="G8" s="29"/>
      <c r="H8" s="29" t="s">
        <v>466</v>
      </c>
      <c r="I8" s="30" t="s">
        <v>467</v>
      </c>
      <c r="J8" s="29" t="s">
        <v>468</v>
      </c>
      <c r="K8" s="30" t="s">
        <v>285</v>
      </c>
      <c r="L8" s="31"/>
      <c r="M8" s="31"/>
      <c r="N8" s="31"/>
      <c r="O8" s="31"/>
      <c r="P8" s="29" t="s">
        <v>19</v>
      </c>
      <c r="Q8" s="32" t="n">
        <v>46300</v>
      </c>
      <c r="R8" s="29" t="s">
        <v>117</v>
      </c>
      <c r="S8" s="29" t="s">
        <v>469</v>
      </c>
      <c r="T8" s="29" t="s">
        <v>119</v>
      </c>
      <c r="U8" s="29" t="s">
        <v>470</v>
      </c>
      <c r="V8" s="29"/>
      <c r="W8" s="29" t="s">
        <v>119</v>
      </c>
    </row>
    <row r="9" customFormat="false" ht="32.8" hidden="false" customHeight="false" outlineLevel="0" collapsed="false">
      <c r="A9" s="29" t="s">
        <v>471</v>
      </c>
      <c r="B9" s="29" t="s">
        <v>472</v>
      </c>
      <c r="C9" s="29" t="s">
        <v>473</v>
      </c>
      <c r="D9" s="29"/>
      <c r="E9" s="29" t="s">
        <v>474</v>
      </c>
      <c r="F9" s="29" t="s">
        <v>127</v>
      </c>
      <c r="G9" s="29"/>
      <c r="H9" s="29"/>
      <c r="I9" s="30" t="s">
        <v>475</v>
      </c>
      <c r="J9" s="29"/>
      <c r="K9" s="29"/>
      <c r="L9" s="31"/>
      <c r="M9" s="31"/>
      <c r="N9" s="31"/>
      <c r="O9" s="31"/>
      <c r="P9" s="29" t="s">
        <v>19</v>
      </c>
      <c r="Q9" s="32" t="n">
        <v>46300</v>
      </c>
      <c r="R9" s="29" t="s">
        <v>117</v>
      </c>
      <c r="S9" s="29" t="s">
        <v>476</v>
      </c>
      <c r="T9" s="29" t="s">
        <v>119</v>
      </c>
      <c r="U9" s="29" t="s">
        <v>477</v>
      </c>
      <c r="V9" s="29" t="s">
        <v>478</v>
      </c>
      <c r="W9" s="29" t="s">
        <v>119</v>
      </c>
    </row>
    <row r="10" customFormat="false" ht="32.8" hidden="false" customHeight="false" outlineLevel="0" collapsed="false">
      <c r="A10" s="29" t="s">
        <v>479</v>
      </c>
      <c r="B10" s="29" t="s">
        <v>480</v>
      </c>
      <c r="C10" s="29" t="s">
        <v>481</v>
      </c>
      <c r="D10" s="29" t="s">
        <v>209</v>
      </c>
      <c r="E10" s="29" t="s">
        <v>210</v>
      </c>
      <c r="F10" s="29" t="s">
        <v>127</v>
      </c>
      <c r="G10" s="29"/>
      <c r="H10" s="29" t="s">
        <v>338</v>
      </c>
      <c r="I10" s="30" t="s">
        <v>482</v>
      </c>
      <c r="J10" s="29"/>
      <c r="K10" s="30" t="s">
        <v>483</v>
      </c>
      <c r="L10" s="31"/>
      <c r="M10" s="31"/>
      <c r="N10" s="31"/>
      <c r="O10" s="31"/>
      <c r="P10" s="29" t="s">
        <v>19</v>
      </c>
      <c r="Q10" s="32" t="n">
        <v>46300</v>
      </c>
      <c r="R10" s="29" t="s">
        <v>117</v>
      </c>
      <c r="S10" s="29" t="s">
        <v>484</v>
      </c>
      <c r="T10" s="29" t="s">
        <v>119</v>
      </c>
      <c r="U10" s="29" t="s">
        <v>485</v>
      </c>
      <c r="V10" s="29"/>
      <c r="W10" s="29" t="s">
        <v>119</v>
      </c>
    </row>
    <row r="11" customFormat="false" ht="32.8" hidden="false" customHeight="false" outlineLevel="0" collapsed="false">
      <c r="A11" s="29" t="s">
        <v>486</v>
      </c>
      <c r="B11" s="29" t="s">
        <v>487</v>
      </c>
      <c r="C11" s="29" t="s">
        <v>488</v>
      </c>
      <c r="D11" s="29" t="s">
        <v>489</v>
      </c>
      <c r="E11" s="29" t="s">
        <v>490</v>
      </c>
      <c r="F11" s="29" t="s">
        <v>491</v>
      </c>
      <c r="G11" s="29"/>
      <c r="H11" s="29"/>
      <c r="I11" s="30" t="s">
        <v>492</v>
      </c>
      <c r="J11" s="29" t="s">
        <v>493</v>
      </c>
      <c r="K11" s="30" t="s">
        <v>494</v>
      </c>
      <c r="L11" s="31"/>
      <c r="M11" s="31"/>
      <c r="N11" s="31"/>
      <c r="O11" s="31"/>
      <c r="P11" s="29" t="s">
        <v>19</v>
      </c>
      <c r="Q11" s="32" t="n">
        <v>46300</v>
      </c>
      <c r="R11" s="29" t="s">
        <v>117</v>
      </c>
      <c r="S11" s="29" t="s">
        <v>495</v>
      </c>
      <c r="T11" s="29" t="s">
        <v>119</v>
      </c>
      <c r="U11" s="29" t="s">
        <v>496</v>
      </c>
      <c r="V11" s="29" t="s">
        <v>497</v>
      </c>
      <c r="W11" s="29" t="s">
        <v>119</v>
      </c>
    </row>
    <row r="12" customFormat="false" ht="15" hidden="false" customHeight="false" outlineLevel="0" collapsed="false">
      <c r="A12" s="29"/>
      <c r="B12" s="29"/>
      <c r="C12" s="29"/>
      <c r="D12" s="29"/>
      <c r="E12" s="29"/>
      <c r="F12" s="29"/>
      <c r="G12" s="29"/>
      <c r="H12" s="29"/>
      <c r="I12" s="29"/>
      <c r="J12" s="29"/>
      <c r="K12" s="29"/>
      <c r="L12" s="31"/>
      <c r="M12" s="31"/>
      <c r="N12" s="31"/>
      <c r="O12" s="31"/>
      <c r="P12" s="29"/>
      <c r="Q12" s="32"/>
      <c r="R12" s="29"/>
      <c r="S12" s="29"/>
      <c r="T12" s="29"/>
      <c r="U12" s="29"/>
      <c r="V12" s="29"/>
      <c r="W12" s="29"/>
    </row>
    <row r="13" customFormat="false" ht="15" hidden="false" customHeight="false" outlineLevel="0" collapsed="false">
      <c r="A13" s="29"/>
      <c r="B13" s="29"/>
      <c r="C13" s="29"/>
      <c r="D13" s="29"/>
      <c r="E13" s="29"/>
      <c r="F13" s="29"/>
      <c r="G13" s="29"/>
      <c r="H13" s="29"/>
      <c r="I13" s="29"/>
      <c r="J13" s="29"/>
      <c r="K13" s="29"/>
      <c r="L13" s="31"/>
      <c r="M13" s="31"/>
      <c r="N13" s="31"/>
      <c r="O13" s="31"/>
      <c r="P13" s="29"/>
      <c r="Q13" s="32"/>
      <c r="R13" s="29"/>
      <c r="S13" s="29"/>
      <c r="T13" s="29"/>
      <c r="U13" s="29"/>
      <c r="V13" s="29"/>
      <c r="W13" s="29"/>
    </row>
    <row r="14" customFormat="false" ht="15" hidden="false" customHeight="false" outlineLevel="0" collapsed="false">
      <c r="A14" s="29"/>
      <c r="B14" s="29"/>
      <c r="C14" s="29"/>
      <c r="D14" s="29"/>
      <c r="E14" s="29"/>
      <c r="F14" s="29"/>
      <c r="G14" s="29"/>
      <c r="H14" s="29"/>
      <c r="I14" s="29"/>
      <c r="J14" s="29"/>
      <c r="K14" s="29"/>
      <c r="L14" s="31"/>
      <c r="M14" s="31"/>
      <c r="N14" s="31"/>
      <c r="O14" s="31"/>
      <c r="P14" s="29"/>
      <c r="Q14" s="32"/>
      <c r="R14" s="29"/>
      <c r="S14" s="29"/>
      <c r="T14" s="29"/>
      <c r="U14" s="29"/>
      <c r="V14" s="29"/>
      <c r="W14" s="29"/>
    </row>
    <row r="15" customFormat="false" ht="15" hidden="false" customHeight="false" outlineLevel="0" collapsed="false">
      <c r="A15" s="29"/>
      <c r="B15" s="29"/>
      <c r="C15" s="29"/>
      <c r="D15" s="29"/>
      <c r="E15" s="29"/>
      <c r="F15" s="29"/>
      <c r="G15" s="29"/>
      <c r="H15" s="29"/>
      <c r="I15" s="29"/>
      <c r="J15" s="29"/>
      <c r="K15" s="29"/>
      <c r="L15" s="31"/>
      <c r="M15" s="31"/>
      <c r="N15" s="31"/>
      <c r="O15" s="31"/>
      <c r="P15" s="29"/>
      <c r="Q15" s="32"/>
      <c r="R15" s="29"/>
      <c r="S15" s="29"/>
      <c r="T15" s="29"/>
      <c r="U15" s="29"/>
      <c r="V15" s="29"/>
      <c r="W15" s="29"/>
    </row>
    <row r="16" customFormat="false" ht="15" hidden="false" customHeight="false" outlineLevel="0" collapsed="false">
      <c r="A16" s="29"/>
      <c r="B16" s="29"/>
      <c r="C16" s="29"/>
      <c r="D16" s="29"/>
      <c r="E16" s="29"/>
      <c r="F16" s="29"/>
      <c r="G16" s="29"/>
      <c r="H16" s="29"/>
      <c r="I16" s="29"/>
      <c r="J16" s="29"/>
      <c r="K16" s="29"/>
      <c r="L16" s="31"/>
      <c r="M16" s="31"/>
      <c r="N16" s="31"/>
      <c r="O16" s="31"/>
      <c r="P16" s="29"/>
      <c r="Q16" s="32"/>
      <c r="R16" s="29"/>
      <c r="S16" s="29"/>
      <c r="T16" s="29"/>
      <c r="U16" s="29"/>
      <c r="V16" s="29"/>
      <c r="W16" s="29"/>
    </row>
    <row r="17" customFormat="false" ht="15" hidden="false" customHeight="false" outlineLevel="0" collapsed="false">
      <c r="A17" s="29"/>
      <c r="B17" s="29"/>
      <c r="C17" s="29"/>
      <c r="D17" s="29"/>
      <c r="E17" s="29"/>
      <c r="F17" s="29"/>
      <c r="G17" s="29"/>
      <c r="H17" s="29"/>
      <c r="I17" s="29"/>
      <c r="J17" s="29"/>
      <c r="K17" s="29"/>
      <c r="L17" s="31"/>
      <c r="M17" s="31"/>
      <c r="N17" s="31"/>
      <c r="O17" s="31"/>
      <c r="P17" s="29"/>
      <c r="Q17" s="32"/>
      <c r="R17" s="29"/>
      <c r="S17" s="29"/>
      <c r="T17" s="29"/>
      <c r="U17" s="29"/>
      <c r="V17" s="29"/>
      <c r="W17" s="29"/>
    </row>
    <row r="18" customFormat="false" ht="15" hidden="false" customHeight="false" outlineLevel="0" collapsed="false">
      <c r="A18" s="29"/>
      <c r="B18" s="29"/>
      <c r="C18" s="29"/>
      <c r="D18" s="29"/>
      <c r="E18" s="29"/>
      <c r="F18" s="29"/>
      <c r="G18" s="29"/>
      <c r="H18" s="29"/>
      <c r="I18" s="29"/>
      <c r="J18" s="29"/>
      <c r="K18" s="29"/>
      <c r="L18" s="31"/>
      <c r="M18" s="31"/>
      <c r="N18" s="31"/>
      <c r="O18" s="31"/>
      <c r="P18" s="29"/>
      <c r="Q18" s="32"/>
      <c r="R18" s="29"/>
      <c r="S18" s="29"/>
      <c r="T18" s="29"/>
      <c r="U18" s="29"/>
      <c r="V18" s="29"/>
      <c r="W18" s="29"/>
    </row>
    <row r="19" customFormat="false" ht="15" hidden="false" customHeight="false" outlineLevel="0" collapsed="false">
      <c r="A19" s="29"/>
      <c r="B19" s="29"/>
      <c r="C19" s="29"/>
      <c r="D19" s="29"/>
      <c r="E19" s="29"/>
      <c r="F19" s="29"/>
      <c r="G19" s="29"/>
      <c r="H19" s="29"/>
      <c r="I19" s="29"/>
      <c r="J19" s="29"/>
      <c r="K19" s="29"/>
      <c r="L19" s="31"/>
      <c r="M19" s="31"/>
      <c r="N19" s="31"/>
      <c r="O19" s="31"/>
      <c r="P19" s="29"/>
      <c r="Q19" s="32"/>
      <c r="R19" s="29"/>
      <c r="S19" s="29"/>
      <c r="T19" s="29"/>
      <c r="U19" s="29"/>
      <c r="V19" s="29"/>
      <c r="W19" s="29"/>
    </row>
    <row r="20" customFormat="false" ht="15" hidden="false" customHeight="false" outlineLevel="0" collapsed="false">
      <c r="A20" s="29"/>
      <c r="B20" s="29"/>
      <c r="C20" s="29"/>
      <c r="D20" s="29"/>
      <c r="E20" s="29"/>
      <c r="F20" s="29"/>
      <c r="G20" s="29"/>
      <c r="H20" s="29"/>
      <c r="I20" s="29"/>
      <c r="J20" s="29"/>
      <c r="K20" s="29"/>
      <c r="L20" s="31"/>
      <c r="M20" s="31"/>
      <c r="N20" s="31"/>
      <c r="O20" s="31"/>
      <c r="P20" s="29"/>
      <c r="Q20" s="32"/>
      <c r="R20" s="29"/>
      <c r="S20" s="29"/>
      <c r="T20" s="29"/>
      <c r="U20" s="29"/>
      <c r="V20" s="29"/>
      <c r="W20" s="29"/>
    </row>
    <row r="21" customFormat="false" ht="15" hidden="false" customHeight="false" outlineLevel="0" collapsed="false">
      <c r="A21" s="29"/>
      <c r="B21" s="29"/>
      <c r="C21" s="29"/>
      <c r="D21" s="29"/>
      <c r="E21" s="29"/>
      <c r="F21" s="29"/>
      <c r="G21" s="29"/>
      <c r="H21" s="29"/>
      <c r="I21" s="29"/>
      <c r="J21" s="29"/>
      <c r="K21" s="29"/>
      <c r="L21" s="31"/>
      <c r="M21" s="31"/>
      <c r="N21" s="31"/>
      <c r="O21" s="31"/>
      <c r="P21" s="29"/>
      <c r="Q21" s="32"/>
      <c r="R21" s="29"/>
      <c r="S21" s="29"/>
      <c r="T21" s="29"/>
      <c r="U21" s="29"/>
      <c r="V21" s="29"/>
      <c r="W21" s="29"/>
    </row>
    <row r="22" customFormat="false" ht="15" hidden="false" customHeight="false" outlineLevel="0" collapsed="false">
      <c r="A22" s="29"/>
      <c r="B22" s="29"/>
      <c r="C22" s="29"/>
      <c r="D22" s="29"/>
      <c r="E22" s="29"/>
      <c r="F22" s="29"/>
      <c r="G22" s="29"/>
      <c r="H22" s="29"/>
      <c r="I22" s="29"/>
      <c r="J22" s="29"/>
      <c r="K22" s="29"/>
      <c r="L22" s="31"/>
      <c r="M22" s="31"/>
      <c r="N22" s="31"/>
      <c r="O22" s="31"/>
      <c r="P22" s="29"/>
      <c r="Q22" s="32"/>
      <c r="R22" s="29"/>
      <c r="S22" s="29"/>
      <c r="T22" s="29"/>
      <c r="U22" s="29"/>
      <c r="V22" s="29"/>
      <c r="W22" s="29"/>
    </row>
    <row r="23" customFormat="false" ht="15" hidden="false" customHeight="false" outlineLevel="0" collapsed="false">
      <c r="A23" s="29"/>
      <c r="B23" s="29"/>
      <c r="C23" s="29"/>
      <c r="D23" s="29"/>
      <c r="E23" s="29"/>
      <c r="F23" s="29"/>
      <c r="G23" s="29"/>
      <c r="H23" s="29"/>
      <c r="I23" s="29"/>
      <c r="J23" s="29"/>
      <c r="K23" s="29"/>
      <c r="L23" s="31"/>
      <c r="M23" s="31"/>
      <c r="N23" s="31"/>
      <c r="O23" s="31"/>
      <c r="P23" s="29"/>
      <c r="Q23" s="32"/>
      <c r="R23" s="29"/>
      <c r="S23" s="29"/>
      <c r="T23" s="29"/>
      <c r="U23" s="29"/>
      <c r="V23" s="29"/>
      <c r="W23" s="29"/>
    </row>
    <row r="24" customFormat="false" ht="15" hidden="false" customHeight="false" outlineLevel="0" collapsed="false">
      <c r="A24" s="29"/>
      <c r="B24" s="29"/>
      <c r="C24" s="29"/>
      <c r="D24" s="29"/>
      <c r="E24" s="29"/>
      <c r="F24" s="29"/>
      <c r="G24" s="29"/>
      <c r="H24" s="29"/>
      <c r="I24" s="29"/>
      <c r="J24" s="29"/>
      <c r="K24" s="29"/>
      <c r="L24" s="31"/>
      <c r="M24" s="31"/>
      <c r="N24" s="31"/>
      <c r="O24" s="31"/>
      <c r="P24" s="29"/>
      <c r="Q24" s="32"/>
      <c r="R24" s="29"/>
      <c r="S24" s="29"/>
      <c r="T24" s="29"/>
      <c r="U24" s="29"/>
      <c r="V24" s="29"/>
      <c r="W24" s="29"/>
    </row>
    <row r="25" customFormat="false" ht="15" hidden="false" customHeight="false" outlineLevel="0" collapsed="false">
      <c r="A25" s="29"/>
      <c r="B25" s="29"/>
      <c r="C25" s="29"/>
      <c r="D25" s="29"/>
      <c r="E25" s="29"/>
      <c r="F25" s="29"/>
      <c r="G25" s="29"/>
      <c r="H25" s="29"/>
      <c r="I25" s="29"/>
      <c r="J25" s="29"/>
      <c r="K25" s="29"/>
      <c r="L25" s="31"/>
      <c r="M25" s="31"/>
      <c r="N25" s="31"/>
      <c r="O25" s="31"/>
      <c r="P25" s="29"/>
      <c r="Q25" s="32"/>
      <c r="R25" s="29"/>
      <c r="S25" s="29"/>
      <c r="T25" s="29"/>
      <c r="U25" s="29"/>
      <c r="V25" s="29"/>
      <c r="W25" s="29"/>
    </row>
    <row r="26" customFormat="false" ht="15" hidden="false" customHeight="false" outlineLevel="0" collapsed="false">
      <c r="A26" s="29"/>
      <c r="B26" s="29"/>
      <c r="C26" s="29"/>
      <c r="D26" s="29"/>
      <c r="E26" s="29"/>
      <c r="F26" s="29"/>
      <c r="G26" s="29"/>
      <c r="H26" s="29"/>
      <c r="I26" s="29"/>
      <c r="J26" s="29"/>
      <c r="K26" s="29"/>
      <c r="L26" s="31"/>
      <c r="M26" s="31"/>
      <c r="N26" s="31"/>
      <c r="O26" s="31"/>
      <c r="P26" s="29"/>
      <c r="Q26" s="32"/>
      <c r="R26" s="29"/>
      <c r="S26" s="29"/>
      <c r="T26" s="29"/>
      <c r="U26" s="29"/>
      <c r="V26" s="29"/>
      <c r="W26" s="29"/>
    </row>
    <row r="27" customFormat="false" ht="15" hidden="false" customHeight="false" outlineLevel="0" collapsed="false">
      <c r="A27" s="33"/>
      <c r="B27" s="33"/>
      <c r="C27" s="33"/>
      <c r="D27" s="33"/>
      <c r="E27" s="33"/>
      <c r="F27" s="33"/>
      <c r="G27" s="33"/>
      <c r="H27" s="33"/>
      <c r="I27" s="33"/>
      <c r="J27" s="33"/>
      <c r="K27" s="33"/>
      <c r="L27" s="34"/>
      <c r="M27" s="34"/>
      <c r="N27" s="34"/>
      <c r="O27" s="34"/>
      <c r="P27" s="33"/>
      <c r="Q27" s="35"/>
      <c r="R27" s="33"/>
      <c r="S27" s="33"/>
      <c r="T27" s="33"/>
      <c r="U27" s="33"/>
      <c r="V27" s="33"/>
      <c r="W27" s="33"/>
    </row>
    <row r="28" customFormat="false" ht="15" hidden="false" customHeight="false" outlineLevel="0" collapsed="false">
      <c r="A28" s="33"/>
      <c r="B28" s="33"/>
      <c r="C28" s="33"/>
      <c r="D28" s="33"/>
      <c r="E28" s="33"/>
      <c r="F28" s="33"/>
      <c r="G28" s="33"/>
      <c r="H28" s="33"/>
      <c r="I28" s="33"/>
      <c r="J28" s="33"/>
      <c r="K28" s="33"/>
      <c r="L28" s="34"/>
      <c r="M28" s="34"/>
      <c r="N28" s="34"/>
      <c r="O28" s="34"/>
      <c r="P28" s="33"/>
      <c r="Q28" s="35"/>
      <c r="R28" s="33"/>
      <c r="S28" s="33"/>
      <c r="T28" s="33"/>
      <c r="U28" s="33"/>
      <c r="V28" s="33"/>
      <c r="W28" s="33"/>
    </row>
    <row r="29" customFormat="false" ht="15" hidden="false" customHeight="false" outlineLevel="0" collapsed="false">
      <c r="A29" s="33"/>
      <c r="B29" s="33"/>
      <c r="C29" s="33"/>
      <c r="D29" s="33"/>
      <c r="E29" s="33"/>
      <c r="F29" s="33"/>
      <c r="G29" s="33"/>
      <c r="H29" s="33"/>
      <c r="I29" s="33"/>
      <c r="J29" s="33"/>
      <c r="K29" s="33"/>
      <c r="L29" s="34"/>
      <c r="M29" s="34"/>
      <c r="N29" s="34"/>
      <c r="O29" s="34"/>
      <c r="P29" s="33"/>
      <c r="Q29" s="35"/>
      <c r="R29" s="33"/>
      <c r="S29" s="33"/>
      <c r="T29" s="33"/>
      <c r="U29" s="33"/>
      <c r="V29" s="33"/>
      <c r="W29" s="33"/>
    </row>
    <row r="30" customFormat="false" ht="15" hidden="false" customHeight="false" outlineLevel="0" collapsed="false">
      <c r="A30" s="33"/>
      <c r="B30" s="33"/>
      <c r="C30" s="33"/>
      <c r="D30" s="33"/>
      <c r="E30" s="33"/>
      <c r="F30" s="33"/>
      <c r="G30" s="33"/>
      <c r="H30" s="33"/>
      <c r="I30" s="33"/>
      <c r="J30" s="33"/>
      <c r="K30" s="33"/>
      <c r="L30" s="34"/>
      <c r="M30" s="34"/>
      <c r="N30" s="34"/>
      <c r="O30" s="34"/>
      <c r="P30" s="33"/>
      <c r="Q30" s="35"/>
      <c r="R30" s="33"/>
      <c r="S30" s="33"/>
      <c r="T30" s="33"/>
      <c r="U30" s="33"/>
      <c r="V30" s="33"/>
      <c r="W30" s="33"/>
    </row>
    <row r="31" customFormat="false" ht="15" hidden="false" customHeight="false" outlineLevel="0" collapsed="false">
      <c r="A31" s="33"/>
      <c r="B31" s="33"/>
      <c r="C31" s="33"/>
      <c r="D31" s="33"/>
      <c r="E31" s="33"/>
      <c r="F31" s="33"/>
      <c r="G31" s="33"/>
      <c r="H31" s="33"/>
      <c r="I31" s="33"/>
      <c r="J31" s="33"/>
      <c r="K31" s="33"/>
      <c r="L31" s="34"/>
      <c r="M31" s="34"/>
      <c r="N31" s="34"/>
      <c r="O31" s="34"/>
      <c r="P31" s="33"/>
      <c r="Q31" s="35"/>
      <c r="R31" s="33"/>
      <c r="S31" s="33"/>
      <c r="T31" s="33"/>
      <c r="U31" s="33"/>
      <c r="V31" s="33"/>
      <c r="W31" s="33"/>
    </row>
    <row r="32" customFormat="false" ht="15" hidden="false" customHeight="false" outlineLevel="0" collapsed="false">
      <c r="A32" s="33"/>
      <c r="B32" s="33"/>
      <c r="C32" s="33"/>
      <c r="D32" s="33"/>
      <c r="E32" s="33"/>
      <c r="F32" s="33"/>
      <c r="G32" s="33"/>
      <c r="H32" s="33"/>
      <c r="I32" s="33"/>
      <c r="J32" s="33"/>
      <c r="K32" s="33"/>
      <c r="L32" s="34"/>
      <c r="M32" s="34"/>
      <c r="N32" s="34"/>
      <c r="O32" s="34"/>
      <c r="P32" s="33"/>
      <c r="Q32" s="35"/>
      <c r="R32" s="33"/>
      <c r="S32" s="33"/>
      <c r="T32" s="33"/>
      <c r="U32" s="33"/>
      <c r="V32" s="33"/>
      <c r="W32" s="33"/>
    </row>
    <row r="33" customFormat="false" ht="15" hidden="false" customHeight="false" outlineLevel="0" collapsed="false">
      <c r="A33" s="33"/>
      <c r="B33" s="33"/>
      <c r="C33" s="33"/>
      <c r="D33" s="33"/>
      <c r="E33" s="33"/>
      <c r="F33" s="33"/>
      <c r="G33" s="33"/>
      <c r="H33" s="33"/>
      <c r="I33" s="33"/>
      <c r="J33" s="33"/>
      <c r="K33" s="33"/>
      <c r="L33" s="34"/>
      <c r="M33" s="34"/>
      <c r="N33" s="34"/>
      <c r="O33" s="34"/>
      <c r="P33" s="33"/>
      <c r="Q33" s="35"/>
      <c r="R33" s="33"/>
      <c r="S33" s="33"/>
      <c r="T33" s="33"/>
      <c r="U33" s="33"/>
      <c r="V33" s="33"/>
      <c r="W33" s="33"/>
    </row>
    <row r="34" customFormat="false" ht="15" hidden="false" customHeight="false" outlineLevel="0" collapsed="false">
      <c r="A34" s="33"/>
      <c r="B34" s="33"/>
      <c r="C34" s="33"/>
      <c r="D34" s="33"/>
      <c r="E34" s="33"/>
      <c r="F34" s="33"/>
      <c r="G34" s="33"/>
      <c r="H34" s="33"/>
      <c r="I34" s="33"/>
      <c r="J34" s="33"/>
      <c r="K34" s="33"/>
      <c r="L34" s="34"/>
      <c r="M34" s="34"/>
      <c r="N34" s="34"/>
      <c r="O34" s="34"/>
      <c r="P34" s="33"/>
      <c r="Q34" s="35"/>
      <c r="R34" s="33"/>
      <c r="S34" s="33"/>
      <c r="T34" s="33"/>
      <c r="U34" s="33"/>
      <c r="V34" s="33"/>
      <c r="W34" s="33"/>
    </row>
    <row r="35" customFormat="false" ht="15" hidden="false" customHeight="false" outlineLevel="0" collapsed="false">
      <c r="A35" s="33"/>
      <c r="B35" s="33"/>
      <c r="C35" s="33"/>
      <c r="D35" s="33"/>
      <c r="E35" s="33"/>
      <c r="F35" s="33"/>
      <c r="G35" s="33"/>
      <c r="H35" s="33"/>
      <c r="I35" s="33"/>
      <c r="J35" s="33"/>
      <c r="K35" s="33"/>
      <c r="L35" s="34"/>
      <c r="M35" s="34"/>
      <c r="N35" s="34"/>
      <c r="O35" s="34"/>
      <c r="P35" s="33"/>
      <c r="Q35" s="35"/>
      <c r="R35" s="33"/>
      <c r="S35" s="33"/>
      <c r="T35" s="33"/>
      <c r="U35" s="33"/>
      <c r="V35" s="33"/>
      <c r="W35" s="33"/>
    </row>
    <row r="36" customFormat="false" ht="15" hidden="false" customHeight="false" outlineLevel="0" collapsed="false">
      <c r="A36" s="33"/>
      <c r="B36" s="33"/>
      <c r="C36" s="33"/>
      <c r="D36" s="33"/>
      <c r="E36" s="33"/>
      <c r="F36" s="33"/>
      <c r="G36" s="33"/>
      <c r="H36" s="33"/>
      <c r="I36" s="33"/>
      <c r="J36" s="33"/>
      <c r="K36" s="33"/>
      <c r="L36" s="34"/>
      <c r="M36" s="34"/>
      <c r="N36" s="34"/>
      <c r="O36" s="34"/>
      <c r="P36" s="33"/>
      <c r="Q36" s="35"/>
      <c r="R36" s="33"/>
      <c r="S36" s="33"/>
      <c r="T36" s="33"/>
      <c r="U36" s="33"/>
      <c r="V36" s="33"/>
      <c r="W36" s="33"/>
    </row>
    <row r="37" customFormat="false" ht="15" hidden="false" customHeight="false" outlineLevel="0" collapsed="false">
      <c r="A37" s="33"/>
      <c r="B37" s="33"/>
      <c r="C37" s="33"/>
      <c r="D37" s="33"/>
      <c r="E37" s="33"/>
      <c r="F37" s="33"/>
      <c r="G37" s="33"/>
      <c r="H37" s="33"/>
      <c r="I37" s="33"/>
      <c r="J37" s="33"/>
      <c r="K37" s="33"/>
      <c r="L37" s="34"/>
      <c r="M37" s="34"/>
      <c r="N37" s="34"/>
      <c r="O37" s="34"/>
      <c r="P37" s="33"/>
      <c r="Q37" s="35"/>
      <c r="R37" s="33"/>
      <c r="S37" s="33"/>
      <c r="T37" s="33"/>
      <c r="U37" s="33"/>
      <c r="V37" s="33"/>
      <c r="W37" s="33"/>
    </row>
    <row r="38" customFormat="false" ht="15" hidden="false" customHeight="false" outlineLevel="0" collapsed="false">
      <c r="A38" s="33"/>
      <c r="B38" s="33"/>
      <c r="C38" s="33"/>
      <c r="D38" s="33"/>
      <c r="E38" s="33"/>
      <c r="F38" s="33"/>
      <c r="G38" s="33"/>
      <c r="H38" s="33"/>
      <c r="I38" s="33"/>
      <c r="J38" s="33"/>
      <c r="K38" s="33"/>
      <c r="L38" s="34"/>
      <c r="M38" s="34"/>
      <c r="N38" s="34"/>
      <c r="O38" s="34"/>
      <c r="P38" s="33"/>
      <c r="Q38" s="35"/>
      <c r="R38" s="33"/>
      <c r="S38" s="33"/>
      <c r="T38" s="33"/>
      <c r="U38" s="33"/>
      <c r="V38" s="33"/>
      <c r="W38" s="33"/>
    </row>
    <row r="39" customFormat="false" ht="15" hidden="false" customHeight="false" outlineLevel="0" collapsed="false">
      <c r="A39" s="33"/>
      <c r="B39" s="33"/>
      <c r="C39" s="33"/>
      <c r="D39" s="33"/>
      <c r="E39" s="33"/>
      <c r="F39" s="33"/>
      <c r="G39" s="33"/>
      <c r="H39" s="33"/>
      <c r="I39" s="33"/>
      <c r="J39" s="33"/>
      <c r="K39" s="33"/>
      <c r="L39" s="34"/>
      <c r="M39" s="34"/>
      <c r="N39" s="34"/>
      <c r="O39" s="34"/>
      <c r="P39" s="33"/>
      <c r="Q39" s="35"/>
      <c r="R39" s="33"/>
      <c r="S39" s="33"/>
      <c r="T39" s="33"/>
      <c r="U39" s="33"/>
      <c r="V39" s="33"/>
      <c r="W39" s="33"/>
    </row>
    <row r="40" customFormat="false" ht="15" hidden="false" customHeight="false" outlineLevel="0" collapsed="false">
      <c r="A40" s="33"/>
      <c r="B40" s="33"/>
      <c r="C40" s="33"/>
      <c r="D40" s="33"/>
      <c r="E40" s="33"/>
      <c r="F40" s="33"/>
      <c r="G40" s="33"/>
      <c r="H40" s="33"/>
      <c r="I40" s="33"/>
      <c r="J40" s="33"/>
      <c r="K40" s="33"/>
      <c r="L40" s="34"/>
      <c r="M40" s="34"/>
      <c r="N40" s="34"/>
      <c r="O40" s="34"/>
      <c r="P40" s="33"/>
      <c r="Q40" s="35"/>
      <c r="R40" s="33"/>
      <c r="S40" s="33"/>
      <c r="T40" s="33"/>
      <c r="U40" s="33"/>
      <c r="V40" s="33"/>
      <c r="W40" s="33"/>
    </row>
    <row r="41" customFormat="false" ht="15" hidden="false" customHeight="false" outlineLevel="0" collapsed="false">
      <c r="A41" s="33"/>
      <c r="B41" s="33"/>
      <c r="C41" s="33"/>
      <c r="D41" s="33"/>
      <c r="E41" s="33"/>
      <c r="F41" s="33"/>
      <c r="G41" s="33"/>
      <c r="H41" s="33"/>
      <c r="I41" s="33"/>
      <c r="J41" s="33"/>
      <c r="K41" s="33"/>
      <c r="L41" s="34"/>
      <c r="M41" s="34"/>
      <c r="N41" s="34"/>
      <c r="O41" s="34"/>
      <c r="P41" s="33"/>
      <c r="Q41" s="35"/>
      <c r="R41" s="33"/>
      <c r="S41" s="33"/>
      <c r="T41" s="33"/>
      <c r="U41" s="33"/>
      <c r="V41" s="33"/>
      <c r="W41" s="33"/>
    </row>
    <row r="42" customFormat="false" ht="15" hidden="false" customHeight="false" outlineLevel="0" collapsed="false">
      <c r="A42" s="33"/>
      <c r="B42" s="33"/>
      <c r="C42" s="33"/>
      <c r="D42" s="33"/>
      <c r="E42" s="33"/>
      <c r="F42" s="33"/>
      <c r="G42" s="33"/>
      <c r="H42" s="33"/>
      <c r="I42" s="33"/>
      <c r="J42" s="33"/>
      <c r="K42" s="33"/>
      <c r="L42" s="34"/>
      <c r="M42" s="34"/>
      <c r="N42" s="34"/>
      <c r="O42" s="34"/>
      <c r="P42" s="33"/>
      <c r="Q42" s="35"/>
      <c r="R42" s="33"/>
      <c r="S42" s="33"/>
      <c r="T42" s="33"/>
      <c r="U42" s="33"/>
      <c r="V42" s="33"/>
      <c r="W42" s="33"/>
    </row>
    <row r="43" customFormat="false" ht="15" hidden="false" customHeight="false" outlineLevel="0" collapsed="false">
      <c r="A43" s="33"/>
      <c r="B43" s="33"/>
      <c r="C43" s="33"/>
      <c r="D43" s="33"/>
      <c r="E43" s="33"/>
      <c r="F43" s="33"/>
      <c r="G43" s="33"/>
      <c r="H43" s="33"/>
      <c r="I43" s="33"/>
      <c r="J43" s="33"/>
      <c r="K43" s="33"/>
      <c r="L43" s="34"/>
      <c r="M43" s="34"/>
      <c r="N43" s="34"/>
      <c r="O43" s="34"/>
      <c r="P43" s="33"/>
      <c r="Q43" s="35"/>
      <c r="R43" s="33"/>
      <c r="S43" s="33"/>
      <c r="T43" s="33"/>
      <c r="U43" s="33"/>
      <c r="V43" s="33"/>
      <c r="W43" s="33"/>
    </row>
    <row r="44" customFormat="false" ht="15" hidden="false" customHeight="false" outlineLevel="0" collapsed="false">
      <c r="A44" s="33"/>
      <c r="B44" s="33"/>
      <c r="C44" s="33"/>
      <c r="D44" s="33"/>
      <c r="E44" s="33"/>
      <c r="F44" s="33"/>
      <c r="G44" s="33"/>
      <c r="H44" s="33"/>
      <c r="I44" s="33"/>
      <c r="J44" s="33"/>
      <c r="K44" s="33"/>
      <c r="L44" s="34"/>
      <c r="M44" s="34"/>
      <c r="N44" s="34"/>
      <c r="O44" s="34"/>
      <c r="P44" s="33"/>
      <c r="Q44" s="35"/>
      <c r="R44" s="33"/>
      <c r="S44" s="33"/>
      <c r="T44" s="33"/>
      <c r="U44" s="33"/>
      <c r="V44" s="33"/>
      <c r="W44" s="33"/>
    </row>
    <row r="45" customFormat="false" ht="15" hidden="false" customHeight="false" outlineLevel="0" collapsed="false">
      <c r="A45" s="33"/>
      <c r="B45" s="33"/>
      <c r="C45" s="33"/>
      <c r="D45" s="33"/>
      <c r="E45" s="33"/>
      <c r="F45" s="33"/>
      <c r="G45" s="33"/>
      <c r="H45" s="33"/>
      <c r="I45" s="33"/>
      <c r="J45" s="33"/>
      <c r="K45" s="33"/>
      <c r="L45" s="34"/>
      <c r="M45" s="34"/>
      <c r="N45" s="34"/>
      <c r="O45" s="34"/>
      <c r="P45" s="33"/>
      <c r="Q45" s="35"/>
      <c r="R45" s="33"/>
      <c r="S45" s="33"/>
      <c r="T45" s="33"/>
      <c r="U45" s="33"/>
      <c r="V45" s="33"/>
      <c r="W45" s="33"/>
    </row>
    <row r="46" customFormat="false" ht="15" hidden="false" customHeight="false" outlineLevel="0" collapsed="false">
      <c r="A46" s="33"/>
      <c r="B46" s="33"/>
      <c r="C46" s="33"/>
      <c r="D46" s="33"/>
      <c r="E46" s="33"/>
      <c r="F46" s="33"/>
      <c r="G46" s="33"/>
      <c r="H46" s="33"/>
      <c r="I46" s="33"/>
      <c r="J46" s="33"/>
      <c r="K46" s="33"/>
      <c r="L46" s="34"/>
      <c r="M46" s="34"/>
      <c r="N46" s="34"/>
      <c r="O46" s="34"/>
      <c r="P46" s="33"/>
      <c r="Q46" s="35"/>
      <c r="R46" s="33"/>
      <c r="S46" s="33"/>
      <c r="T46" s="33"/>
      <c r="U46" s="33"/>
      <c r="V46" s="33"/>
      <c r="W46" s="33"/>
    </row>
    <row r="47" customFormat="false" ht="15" hidden="false" customHeight="false" outlineLevel="0" collapsed="false">
      <c r="A47" s="33"/>
      <c r="B47" s="33"/>
      <c r="C47" s="33"/>
      <c r="D47" s="33"/>
      <c r="E47" s="33"/>
      <c r="F47" s="33"/>
      <c r="G47" s="33"/>
      <c r="H47" s="33"/>
      <c r="I47" s="33"/>
      <c r="J47" s="33"/>
      <c r="K47" s="33"/>
      <c r="L47" s="34"/>
      <c r="M47" s="34"/>
      <c r="N47" s="34"/>
      <c r="O47" s="34"/>
      <c r="P47" s="33"/>
      <c r="Q47" s="35"/>
      <c r="R47" s="33"/>
      <c r="S47" s="33"/>
      <c r="T47" s="33"/>
      <c r="U47" s="33"/>
      <c r="V47" s="33"/>
      <c r="W47" s="33"/>
    </row>
    <row r="48" customFormat="false" ht="15" hidden="false" customHeight="false" outlineLevel="0" collapsed="false">
      <c r="A48" s="33"/>
      <c r="B48" s="33"/>
      <c r="C48" s="33"/>
      <c r="D48" s="33"/>
      <c r="E48" s="33"/>
      <c r="F48" s="33"/>
      <c r="G48" s="33"/>
      <c r="H48" s="33"/>
      <c r="I48" s="33"/>
      <c r="J48" s="33"/>
      <c r="K48" s="33"/>
      <c r="L48" s="34"/>
      <c r="M48" s="34"/>
      <c r="N48" s="34"/>
      <c r="O48" s="34"/>
      <c r="P48" s="33"/>
      <c r="Q48" s="35"/>
      <c r="R48" s="33"/>
      <c r="S48" s="33"/>
      <c r="T48" s="33"/>
      <c r="U48" s="33"/>
      <c r="V48" s="33"/>
      <c r="W48" s="33"/>
    </row>
    <row r="49" customFormat="false" ht="15" hidden="false" customHeight="false" outlineLevel="0" collapsed="false">
      <c r="A49" s="33"/>
      <c r="B49" s="33"/>
      <c r="C49" s="33"/>
      <c r="D49" s="33"/>
      <c r="E49" s="33"/>
      <c r="F49" s="33"/>
      <c r="G49" s="33"/>
      <c r="H49" s="33"/>
      <c r="I49" s="33"/>
      <c r="J49" s="33"/>
      <c r="K49" s="33"/>
      <c r="L49" s="34"/>
      <c r="M49" s="34"/>
      <c r="N49" s="34"/>
      <c r="O49" s="34"/>
      <c r="P49" s="33"/>
      <c r="Q49" s="35"/>
      <c r="R49" s="33"/>
      <c r="S49" s="33"/>
      <c r="T49" s="33"/>
      <c r="U49" s="33"/>
      <c r="V49" s="33"/>
      <c r="W49" s="33"/>
    </row>
    <row r="50" customFormat="false" ht="15" hidden="false" customHeight="false" outlineLevel="0" collapsed="false">
      <c r="A50" s="33"/>
      <c r="B50" s="33"/>
      <c r="C50" s="33"/>
      <c r="D50" s="33"/>
      <c r="E50" s="33"/>
      <c r="F50" s="33"/>
      <c r="G50" s="33"/>
      <c r="H50" s="33"/>
      <c r="I50" s="33"/>
      <c r="J50" s="33"/>
      <c r="K50" s="33"/>
      <c r="L50" s="34"/>
      <c r="M50" s="34"/>
      <c r="N50" s="34"/>
      <c r="O50" s="34"/>
      <c r="P50" s="33"/>
      <c r="Q50" s="35"/>
      <c r="R50" s="33"/>
      <c r="S50" s="33"/>
      <c r="T50" s="33"/>
      <c r="U50" s="33"/>
      <c r="V50" s="33"/>
      <c r="W50" s="33"/>
    </row>
    <row r="51" customFormat="false" ht="15" hidden="false" customHeight="false" outlineLevel="0" collapsed="false">
      <c r="A51" s="33"/>
      <c r="B51" s="33"/>
      <c r="C51" s="33"/>
      <c r="D51" s="33"/>
      <c r="E51" s="33"/>
      <c r="F51" s="33"/>
      <c r="G51" s="33"/>
      <c r="H51" s="33"/>
      <c r="I51" s="33"/>
      <c r="J51" s="33"/>
      <c r="K51" s="33"/>
      <c r="L51" s="34"/>
      <c r="M51" s="34"/>
      <c r="N51" s="34"/>
      <c r="O51" s="34"/>
      <c r="P51" s="33"/>
      <c r="Q51" s="35"/>
      <c r="R51" s="33"/>
      <c r="S51" s="33"/>
      <c r="T51" s="33"/>
      <c r="U51" s="33"/>
      <c r="V51" s="33"/>
      <c r="W51" s="33"/>
    </row>
    <row r="52" customFormat="false" ht="15" hidden="false" customHeight="false" outlineLevel="0" collapsed="false">
      <c r="A52" s="33"/>
      <c r="B52" s="33"/>
      <c r="C52" s="33"/>
      <c r="D52" s="33"/>
      <c r="E52" s="33"/>
      <c r="F52" s="33"/>
      <c r="G52" s="33"/>
      <c r="H52" s="33"/>
      <c r="I52" s="33"/>
      <c r="J52" s="33"/>
      <c r="K52" s="33"/>
      <c r="L52" s="34"/>
      <c r="M52" s="34"/>
      <c r="N52" s="34"/>
      <c r="O52" s="34"/>
      <c r="P52" s="33"/>
      <c r="Q52" s="35"/>
      <c r="R52" s="33"/>
      <c r="S52" s="33"/>
      <c r="T52" s="33"/>
      <c r="U52" s="33"/>
      <c r="V52" s="33"/>
      <c r="W52" s="33"/>
    </row>
    <row r="53" customFormat="false" ht="15" hidden="false" customHeight="false" outlineLevel="0" collapsed="false">
      <c r="A53" s="33"/>
      <c r="B53" s="33"/>
      <c r="C53" s="33"/>
      <c r="D53" s="33"/>
      <c r="E53" s="33"/>
      <c r="F53" s="33"/>
      <c r="G53" s="33"/>
      <c r="H53" s="33"/>
      <c r="I53" s="33"/>
      <c r="J53" s="33"/>
      <c r="K53" s="33"/>
      <c r="L53" s="34"/>
      <c r="M53" s="34"/>
      <c r="N53" s="34"/>
      <c r="O53" s="34"/>
      <c r="P53" s="33"/>
      <c r="Q53" s="35"/>
      <c r="R53" s="33"/>
      <c r="S53" s="33"/>
      <c r="T53" s="33"/>
      <c r="U53" s="33"/>
      <c r="V53" s="33"/>
      <c r="W53" s="33"/>
    </row>
    <row r="54" customFormat="false" ht="15" hidden="false" customHeight="false" outlineLevel="0" collapsed="false">
      <c r="A54" s="33"/>
      <c r="B54" s="33"/>
      <c r="C54" s="33"/>
      <c r="D54" s="33"/>
      <c r="E54" s="33"/>
      <c r="F54" s="33"/>
      <c r="G54" s="33"/>
      <c r="H54" s="33"/>
      <c r="I54" s="33"/>
      <c r="J54" s="33"/>
      <c r="K54" s="33"/>
      <c r="L54" s="34"/>
      <c r="M54" s="34"/>
      <c r="N54" s="34"/>
      <c r="O54" s="34"/>
      <c r="P54" s="33"/>
      <c r="Q54" s="35"/>
      <c r="R54" s="33"/>
      <c r="S54" s="33"/>
      <c r="T54" s="33"/>
      <c r="U54" s="33"/>
      <c r="V54" s="33"/>
      <c r="W54" s="33"/>
    </row>
    <row r="55" customFormat="false" ht="15" hidden="false" customHeight="false" outlineLevel="0" collapsed="false">
      <c r="A55" s="33"/>
      <c r="B55" s="33"/>
      <c r="C55" s="33"/>
      <c r="D55" s="33"/>
      <c r="E55" s="33"/>
      <c r="F55" s="33"/>
      <c r="G55" s="33"/>
      <c r="H55" s="33"/>
      <c r="I55" s="33"/>
      <c r="J55" s="33"/>
      <c r="K55" s="33"/>
      <c r="L55" s="34"/>
      <c r="M55" s="34"/>
      <c r="N55" s="34"/>
      <c r="O55" s="34"/>
      <c r="P55" s="33"/>
      <c r="Q55" s="35"/>
      <c r="R55" s="33"/>
      <c r="S55" s="33"/>
      <c r="T55" s="33"/>
      <c r="U55" s="33"/>
      <c r="V55" s="33"/>
      <c r="W55" s="33"/>
    </row>
    <row r="56" customFormat="false" ht="15" hidden="false" customHeight="false" outlineLevel="0" collapsed="false">
      <c r="A56" s="33"/>
      <c r="B56" s="33"/>
      <c r="C56" s="33"/>
      <c r="D56" s="33"/>
      <c r="E56" s="33"/>
      <c r="F56" s="33"/>
      <c r="G56" s="33"/>
      <c r="H56" s="33"/>
      <c r="I56" s="33"/>
      <c r="J56" s="33"/>
      <c r="K56" s="33"/>
      <c r="L56" s="34"/>
      <c r="M56" s="34"/>
      <c r="N56" s="34"/>
      <c r="O56" s="34"/>
      <c r="P56" s="33"/>
      <c r="Q56" s="35"/>
      <c r="R56" s="33"/>
      <c r="S56" s="33"/>
      <c r="T56" s="33"/>
      <c r="U56" s="33"/>
      <c r="V56" s="33"/>
      <c r="W56" s="33"/>
    </row>
    <row r="57" customFormat="false" ht="15" hidden="false" customHeight="false" outlineLevel="0" collapsed="false">
      <c r="A57" s="33"/>
      <c r="B57" s="33"/>
      <c r="C57" s="33"/>
      <c r="D57" s="33"/>
      <c r="E57" s="33"/>
      <c r="F57" s="33"/>
      <c r="G57" s="33"/>
      <c r="H57" s="33"/>
      <c r="I57" s="33"/>
      <c r="J57" s="33"/>
      <c r="K57" s="33"/>
      <c r="L57" s="34"/>
      <c r="M57" s="34"/>
      <c r="N57" s="34"/>
      <c r="O57" s="34"/>
      <c r="P57" s="33"/>
      <c r="Q57" s="35"/>
      <c r="R57" s="33"/>
      <c r="S57" s="33"/>
      <c r="T57" s="33"/>
      <c r="U57" s="33"/>
      <c r="V57" s="33"/>
      <c r="W57" s="33"/>
    </row>
    <row r="58" customFormat="false" ht="15" hidden="false" customHeight="false" outlineLevel="0" collapsed="false">
      <c r="A58" s="33"/>
      <c r="B58" s="33"/>
      <c r="C58" s="33"/>
      <c r="D58" s="33"/>
      <c r="E58" s="33"/>
      <c r="F58" s="33"/>
      <c r="G58" s="33"/>
      <c r="H58" s="33"/>
      <c r="I58" s="33"/>
      <c r="J58" s="33"/>
      <c r="K58" s="33"/>
      <c r="L58" s="34"/>
      <c r="M58" s="34"/>
      <c r="N58" s="34"/>
      <c r="O58" s="34"/>
      <c r="P58" s="33"/>
      <c r="Q58" s="35"/>
      <c r="R58" s="33"/>
      <c r="S58" s="33"/>
      <c r="T58" s="33"/>
      <c r="U58" s="33"/>
      <c r="V58" s="33"/>
      <c r="W58" s="33"/>
    </row>
    <row r="59" customFormat="false" ht="15" hidden="false" customHeight="false" outlineLevel="0" collapsed="false">
      <c r="A59" s="33"/>
      <c r="B59" s="33"/>
      <c r="C59" s="33"/>
      <c r="D59" s="33"/>
      <c r="E59" s="33"/>
      <c r="F59" s="33"/>
      <c r="G59" s="33"/>
      <c r="H59" s="33"/>
      <c r="I59" s="33"/>
      <c r="J59" s="33"/>
      <c r="K59" s="33"/>
      <c r="L59" s="34"/>
      <c r="M59" s="34"/>
      <c r="N59" s="34"/>
      <c r="O59" s="34"/>
      <c r="P59" s="33"/>
      <c r="Q59" s="35"/>
      <c r="R59" s="33"/>
      <c r="S59" s="33"/>
      <c r="T59" s="33"/>
      <c r="U59" s="33"/>
      <c r="V59" s="33"/>
      <c r="W59" s="33"/>
    </row>
    <row r="60" customFormat="false" ht="15" hidden="false" customHeight="false" outlineLevel="0" collapsed="false">
      <c r="A60" s="33"/>
      <c r="B60" s="33"/>
      <c r="C60" s="33"/>
      <c r="D60" s="33"/>
      <c r="E60" s="33"/>
      <c r="F60" s="33"/>
      <c r="G60" s="33"/>
      <c r="H60" s="33"/>
      <c r="I60" s="33"/>
      <c r="J60" s="33"/>
      <c r="K60" s="33"/>
      <c r="L60" s="34"/>
      <c r="M60" s="34"/>
      <c r="N60" s="34"/>
      <c r="O60" s="34"/>
      <c r="P60" s="33"/>
      <c r="Q60" s="35"/>
      <c r="R60" s="33"/>
      <c r="S60" s="33"/>
      <c r="T60" s="33"/>
      <c r="U60" s="33"/>
      <c r="V60" s="33"/>
      <c r="W60" s="33"/>
    </row>
    <row r="61" customFormat="false" ht="15" hidden="false" customHeight="false" outlineLevel="0" collapsed="false">
      <c r="A61" s="33"/>
      <c r="B61" s="33"/>
      <c r="C61" s="33"/>
      <c r="D61" s="33"/>
      <c r="E61" s="33"/>
      <c r="F61" s="33"/>
      <c r="G61" s="33"/>
      <c r="H61" s="33"/>
      <c r="I61" s="33"/>
      <c r="J61" s="33"/>
      <c r="K61" s="33"/>
      <c r="L61" s="34"/>
      <c r="M61" s="34"/>
      <c r="N61" s="34"/>
      <c r="O61" s="34"/>
      <c r="P61" s="33"/>
      <c r="Q61" s="35"/>
      <c r="R61" s="33"/>
      <c r="S61" s="33"/>
      <c r="T61" s="33"/>
      <c r="U61" s="33"/>
      <c r="V61" s="33"/>
      <c r="W61" s="33"/>
    </row>
    <row r="62" customFormat="false" ht="15" hidden="false" customHeight="false" outlineLevel="0" collapsed="false">
      <c r="A62" s="33"/>
      <c r="B62" s="33"/>
      <c r="C62" s="33"/>
      <c r="D62" s="33"/>
      <c r="E62" s="33"/>
      <c r="F62" s="33"/>
      <c r="G62" s="33"/>
      <c r="H62" s="33"/>
      <c r="I62" s="33"/>
      <c r="J62" s="33"/>
      <c r="K62" s="33"/>
      <c r="L62" s="34"/>
      <c r="M62" s="34"/>
      <c r="N62" s="34"/>
      <c r="O62" s="34"/>
      <c r="P62" s="33"/>
      <c r="Q62" s="35"/>
      <c r="R62" s="33"/>
      <c r="S62" s="33"/>
      <c r="T62" s="33"/>
      <c r="U62" s="33"/>
      <c r="V62" s="33"/>
      <c r="W62" s="33"/>
    </row>
    <row r="63" customFormat="false" ht="15" hidden="false" customHeight="false" outlineLevel="0" collapsed="false">
      <c r="A63" s="33"/>
      <c r="B63" s="33"/>
      <c r="C63" s="33"/>
      <c r="D63" s="33"/>
      <c r="E63" s="33"/>
      <c r="F63" s="33"/>
      <c r="G63" s="33"/>
      <c r="H63" s="33"/>
      <c r="I63" s="33"/>
      <c r="J63" s="33"/>
      <c r="K63" s="33"/>
      <c r="L63" s="34"/>
      <c r="M63" s="34"/>
      <c r="N63" s="34"/>
      <c r="O63" s="34"/>
      <c r="P63" s="33"/>
      <c r="Q63" s="35"/>
      <c r="R63" s="33"/>
      <c r="S63" s="33"/>
      <c r="T63" s="33"/>
      <c r="U63" s="33"/>
      <c r="V63" s="33"/>
      <c r="W63" s="33"/>
    </row>
    <row r="64" customFormat="false" ht="15" hidden="false" customHeight="false" outlineLevel="0" collapsed="false">
      <c r="A64" s="33"/>
      <c r="B64" s="33"/>
      <c r="C64" s="33"/>
      <c r="D64" s="33"/>
      <c r="E64" s="33"/>
      <c r="F64" s="33"/>
      <c r="G64" s="33"/>
      <c r="H64" s="33"/>
      <c r="I64" s="33"/>
      <c r="J64" s="33"/>
      <c r="K64" s="33"/>
      <c r="L64" s="34"/>
      <c r="M64" s="34"/>
      <c r="N64" s="34"/>
      <c r="O64" s="34"/>
      <c r="P64" s="33"/>
      <c r="Q64" s="35"/>
      <c r="R64" s="33"/>
      <c r="S64" s="33"/>
      <c r="T64" s="33"/>
      <c r="U64" s="33"/>
      <c r="V64" s="33"/>
      <c r="W64" s="33"/>
    </row>
    <row r="65" customFormat="false" ht="15" hidden="false" customHeight="false" outlineLevel="0" collapsed="false">
      <c r="A65" s="33"/>
      <c r="B65" s="33"/>
      <c r="C65" s="33"/>
      <c r="D65" s="33"/>
      <c r="E65" s="33"/>
      <c r="F65" s="33"/>
      <c r="G65" s="33"/>
      <c r="H65" s="33"/>
      <c r="I65" s="33"/>
      <c r="J65" s="33"/>
      <c r="K65" s="33"/>
      <c r="L65" s="34"/>
      <c r="M65" s="34"/>
      <c r="N65" s="34"/>
      <c r="O65" s="34"/>
      <c r="P65" s="33"/>
      <c r="Q65" s="35"/>
      <c r="R65" s="33"/>
      <c r="S65" s="33"/>
      <c r="T65" s="33"/>
      <c r="U65" s="33"/>
      <c r="V65" s="33"/>
      <c r="W65" s="33"/>
    </row>
    <row r="66" customFormat="false" ht="15" hidden="false" customHeight="false" outlineLevel="0" collapsed="false">
      <c r="A66" s="33"/>
      <c r="B66" s="33"/>
      <c r="C66" s="33"/>
      <c r="D66" s="33"/>
      <c r="E66" s="33"/>
      <c r="F66" s="33"/>
      <c r="G66" s="33"/>
      <c r="H66" s="33"/>
      <c r="I66" s="33"/>
      <c r="J66" s="33"/>
      <c r="K66" s="33"/>
      <c r="L66" s="34"/>
      <c r="M66" s="34"/>
      <c r="N66" s="34"/>
      <c r="O66" s="34"/>
      <c r="P66" s="33"/>
      <c r="Q66" s="35"/>
      <c r="R66" s="33"/>
      <c r="S66" s="33"/>
      <c r="T66" s="33"/>
      <c r="U66" s="33"/>
      <c r="V66" s="33"/>
      <c r="W66" s="33"/>
    </row>
    <row r="67" customFormat="false" ht="15" hidden="false" customHeight="false" outlineLevel="0" collapsed="false">
      <c r="A67" s="33"/>
      <c r="B67" s="33"/>
      <c r="C67" s="33"/>
      <c r="D67" s="33"/>
      <c r="E67" s="33"/>
      <c r="F67" s="33"/>
      <c r="G67" s="33"/>
      <c r="H67" s="33"/>
      <c r="I67" s="33"/>
      <c r="J67" s="33"/>
      <c r="K67" s="33"/>
      <c r="L67" s="34"/>
      <c r="M67" s="34"/>
      <c r="N67" s="34"/>
      <c r="O67" s="34"/>
      <c r="P67" s="33"/>
      <c r="Q67" s="35"/>
      <c r="R67" s="33"/>
      <c r="S67" s="33"/>
      <c r="T67" s="33"/>
      <c r="U67" s="33"/>
      <c r="V67" s="33"/>
      <c r="W67" s="33"/>
    </row>
    <row r="68" customFormat="false" ht="15" hidden="false" customHeight="false" outlineLevel="0" collapsed="false">
      <c r="A68" s="33"/>
      <c r="B68" s="33"/>
      <c r="C68" s="33"/>
      <c r="D68" s="33"/>
      <c r="E68" s="33"/>
      <c r="F68" s="33"/>
      <c r="G68" s="33"/>
      <c r="H68" s="33"/>
      <c r="I68" s="33"/>
      <c r="J68" s="33"/>
      <c r="K68" s="33"/>
      <c r="L68" s="34"/>
      <c r="M68" s="34"/>
      <c r="N68" s="34"/>
      <c r="O68" s="34"/>
      <c r="P68" s="33"/>
      <c r="Q68" s="35"/>
      <c r="R68" s="33"/>
      <c r="S68" s="33"/>
      <c r="T68" s="33"/>
      <c r="U68" s="33"/>
      <c r="V68" s="33"/>
      <c r="W68" s="33"/>
    </row>
    <row r="69" customFormat="false" ht="15" hidden="false" customHeight="false" outlineLevel="0" collapsed="false">
      <c r="A69" s="33"/>
      <c r="B69" s="33"/>
      <c r="C69" s="33"/>
      <c r="D69" s="33"/>
      <c r="E69" s="33"/>
      <c r="F69" s="33"/>
      <c r="G69" s="33"/>
      <c r="H69" s="33"/>
      <c r="I69" s="33"/>
      <c r="J69" s="33"/>
      <c r="K69" s="33"/>
      <c r="L69" s="34"/>
      <c r="M69" s="34"/>
      <c r="N69" s="34"/>
      <c r="O69" s="34"/>
      <c r="P69" s="33"/>
      <c r="Q69" s="35"/>
      <c r="R69" s="33"/>
      <c r="S69" s="33"/>
      <c r="T69" s="33"/>
      <c r="U69" s="33"/>
      <c r="V69" s="33"/>
      <c r="W69" s="33"/>
    </row>
    <row r="70" customFormat="false" ht="15" hidden="false" customHeight="false" outlineLevel="0" collapsed="false">
      <c r="A70" s="33"/>
      <c r="B70" s="33"/>
      <c r="C70" s="33"/>
      <c r="D70" s="33"/>
      <c r="E70" s="33"/>
      <c r="F70" s="33"/>
      <c r="G70" s="33"/>
      <c r="H70" s="33"/>
      <c r="I70" s="33"/>
      <c r="J70" s="33"/>
      <c r="K70" s="33"/>
      <c r="L70" s="34"/>
      <c r="M70" s="34"/>
      <c r="N70" s="34"/>
      <c r="O70" s="34"/>
      <c r="P70" s="33"/>
      <c r="Q70" s="35"/>
      <c r="R70" s="33"/>
      <c r="S70" s="33"/>
      <c r="T70" s="33"/>
      <c r="U70" s="33"/>
      <c r="V70" s="33"/>
      <c r="W70" s="33"/>
    </row>
    <row r="71" customFormat="false" ht="15" hidden="false" customHeight="false" outlineLevel="0" collapsed="false">
      <c r="A71" s="33"/>
      <c r="B71" s="33"/>
      <c r="C71" s="33"/>
      <c r="D71" s="33"/>
      <c r="E71" s="33"/>
      <c r="F71" s="33"/>
      <c r="G71" s="33"/>
      <c r="H71" s="33"/>
      <c r="I71" s="33"/>
      <c r="J71" s="33"/>
      <c r="K71" s="33"/>
      <c r="L71" s="34"/>
      <c r="M71" s="34"/>
      <c r="N71" s="34"/>
      <c r="O71" s="34"/>
      <c r="P71" s="33"/>
      <c r="Q71" s="35"/>
      <c r="R71" s="33"/>
      <c r="S71" s="33"/>
      <c r="T71" s="33"/>
      <c r="U71" s="33"/>
      <c r="V71" s="33"/>
      <c r="W71" s="33"/>
    </row>
    <row r="72" customFormat="false" ht="15" hidden="false" customHeight="false" outlineLevel="0" collapsed="false">
      <c r="A72" s="33"/>
      <c r="B72" s="33"/>
      <c r="C72" s="33"/>
      <c r="D72" s="33"/>
      <c r="E72" s="33"/>
      <c r="F72" s="33"/>
      <c r="G72" s="33"/>
      <c r="H72" s="33"/>
      <c r="I72" s="33"/>
      <c r="J72" s="33"/>
      <c r="K72" s="33"/>
      <c r="L72" s="34"/>
      <c r="M72" s="34"/>
      <c r="N72" s="34"/>
      <c r="O72" s="34"/>
      <c r="P72" s="33"/>
      <c r="Q72" s="35"/>
      <c r="R72" s="33"/>
      <c r="S72" s="33"/>
      <c r="T72" s="33"/>
      <c r="U72" s="33"/>
      <c r="V72" s="33"/>
      <c r="W72" s="33"/>
    </row>
    <row r="73" customFormat="false" ht="15" hidden="false" customHeight="false" outlineLevel="0" collapsed="false">
      <c r="A73" s="33"/>
      <c r="B73" s="33"/>
      <c r="C73" s="33"/>
      <c r="D73" s="33"/>
      <c r="E73" s="33"/>
      <c r="F73" s="33"/>
      <c r="G73" s="33"/>
      <c r="H73" s="33"/>
      <c r="I73" s="33"/>
      <c r="J73" s="33"/>
      <c r="K73" s="33"/>
      <c r="L73" s="34"/>
      <c r="M73" s="34"/>
      <c r="N73" s="34"/>
      <c r="O73" s="34"/>
      <c r="P73" s="33"/>
      <c r="Q73" s="35"/>
      <c r="R73" s="33"/>
      <c r="S73" s="33"/>
      <c r="T73" s="33"/>
      <c r="U73" s="33"/>
      <c r="V73" s="33"/>
      <c r="W73" s="33"/>
    </row>
    <row r="74" customFormat="false" ht="15" hidden="false" customHeight="false" outlineLevel="0" collapsed="false">
      <c r="A74" s="33"/>
      <c r="B74" s="33"/>
      <c r="C74" s="33"/>
      <c r="D74" s="33"/>
      <c r="E74" s="33"/>
      <c r="F74" s="33"/>
      <c r="G74" s="33"/>
      <c r="H74" s="33"/>
      <c r="I74" s="33"/>
      <c r="J74" s="33"/>
      <c r="K74" s="33"/>
      <c r="L74" s="34"/>
      <c r="M74" s="34"/>
      <c r="N74" s="34"/>
      <c r="O74" s="34"/>
      <c r="P74" s="33"/>
      <c r="Q74" s="35"/>
      <c r="R74" s="33"/>
      <c r="S74" s="33"/>
      <c r="T74" s="33"/>
      <c r="U74" s="33"/>
      <c r="V74" s="33"/>
      <c r="W74" s="33"/>
    </row>
    <row r="75" customFormat="false" ht="15" hidden="false" customHeight="false" outlineLevel="0" collapsed="false">
      <c r="A75" s="33"/>
      <c r="B75" s="33"/>
      <c r="C75" s="33"/>
      <c r="D75" s="33"/>
      <c r="E75" s="33"/>
      <c r="F75" s="33"/>
      <c r="G75" s="33"/>
      <c r="H75" s="33"/>
      <c r="I75" s="33"/>
      <c r="J75" s="33"/>
      <c r="K75" s="33"/>
      <c r="L75" s="34"/>
      <c r="M75" s="34"/>
      <c r="N75" s="34"/>
      <c r="O75" s="34"/>
      <c r="P75" s="33"/>
      <c r="Q75" s="35"/>
      <c r="R75" s="33"/>
      <c r="S75" s="33"/>
      <c r="T75" s="33"/>
      <c r="U75" s="33"/>
      <c r="V75" s="33"/>
      <c r="W75" s="33"/>
    </row>
    <row r="76" customFormat="false" ht="15" hidden="false" customHeight="false" outlineLevel="0" collapsed="false">
      <c r="A76" s="33"/>
      <c r="B76" s="33"/>
      <c r="C76" s="33"/>
      <c r="D76" s="33"/>
      <c r="E76" s="33"/>
      <c r="F76" s="33"/>
      <c r="G76" s="33"/>
      <c r="H76" s="33"/>
      <c r="I76" s="33"/>
      <c r="J76" s="33"/>
      <c r="K76" s="33"/>
      <c r="L76" s="34"/>
      <c r="M76" s="34"/>
      <c r="N76" s="34"/>
      <c r="O76" s="34"/>
      <c r="P76" s="33"/>
      <c r="Q76" s="35"/>
      <c r="R76" s="33"/>
      <c r="S76" s="33"/>
      <c r="T76" s="33"/>
      <c r="U76" s="33"/>
      <c r="V76" s="33"/>
      <c r="W76" s="33"/>
    </row>
    <row r="77" customFormat="false" ht="15" hidden="false" customHeight="false" outlineLevel="0" collapsed="false">
      <c r="A77" s="33"/>
      <c r="B77" s="33"/>
      <c r="C77" s="33"/>
      <c r="D77" s="33"/>
      <c r="E77" s="33"/>
      <c r="F77" s="33"/>
      <c r="G77" s="33"/>
      <c r="H77" s="33"/>
      <c r="I77" s="33"/>
      <c r="J77" s="33"/>
      <c r="K77" s="33"/>
      <c r="L77" s="34"/>
      <c r="M77" s="34"/>
      <c r="N77" s="34"/>
      <c r="O77" s="34"/>
      <c r="P77" s="33"/>
      <c r="Q77" s="35"/>
      <c r="R77" s="33"/>
      <c r="S77" s="33"/>
      <c r="T77" s="33"/>
      <c r="U77" s="33"/>
      <c r="V77" s="33"/>
      <c r="W77" s="33"/>
    </row>
    <row r="78" customFormat="false" ht="15" hidden="false" customHeight="false" outlineLevel="0" collapsed="false">
      <c r="A78" s="33"/>
      <c r="B78" s="33"/>
      <c r="C78" s="33"/>
      <c r="D78" s="33"/>
      <c r="E78" s="33"/>
      <c r="F78" s="33"/>
      <c r="G78" s="33"/>
      <c r="H78" s="33"/>
      <c r="I78" s="33"/>
      <c r="J78" s="33"/>
      <c r="K78" s="33"/>
      <c r="L78" s="34"/>
      <c r="M78" s="34"/>
      <c r="N78" s="34"/>
      <c r="O78" s="34"/>
      <c r="P78" s="33"/>
      <c r="Q78" s="35"/>
      <c r="R78" s="33"/>
      <c r="S78" s="33"/>
      <c r="T78" s="33"/>
      <c r="U78" s="33"/>
      <c r="V78" s="33"/>
      <c r="W78" s="33"/>
    </row>
    <row r="79" customFormat="false" ht="15" hidden="false" customHeight="false" outlineLevel="0" collapsed="false">
      <c r="A79" s="33"/>
      <c r="B79" s="33"/>
      <c r="C79" s="33"/>
      <c r="D79" s="33"/>
      <c r="E79" s="33"/>
      <c r="F79" s="33"/>
      <c r="G79" s="33"/>
      <c r="H79" s="33"/>
      <c r="I79" s="33"/>
      <c r="J79" s="33"/>
      <c r="K79" s="33"/>
      <c r="L79" s="34"/>
      <c r="M79" s="34"/>
      <c r="N79" s="34"/>
      <c r="O79" s="34"/>
      <c r="P79" s="33"/>
      <c r="Q79" s="35"/>
      <c r="R79" s="33"/>
      <c r="S79" s="33"/>
      <c r="T79" s="33"/>
      <c r="U79" s="33"/>
      <c r="V79" s="33"/>
      <c r="W79" s="33"/>
    </row>
    <row r="80" customFormat="false" ht="15" hidden="false" customHeight="false" outlineLevel="0" collapsed="false">
      <c r="A80" s="33"/>
      <c r="B80" s="33"/>
      <c r="C80" s="33"/>
      <c r="D80" s="33"/>
      <c r="E80" s="33"/>
      <c r="F80" s="33"/>
      <c r="G80" s="33"/>
      <c r="H80" s="33"/>
      <c r="I80" s="33"/>
      <c r="J80" s="33"/>
      <c r="K80" s="33"/>
      <c r="L80" s="34"/>
      <c r="M80" s="34"/>
      <c r="N80" s="34"/>
      <c r="O80" s="34"/>
      <c r="P80" s="33"/>
      <c r="Q80" s="35"/>
      <c r="R80" s="33"/>
      <c r="S80" s="33"/>
      <c r="T80" s="33"/>
      <c r="U80" s="33"/>
      <c r="V80" s="33"/>
      <c r="W80" s="33"/>
    </row>
    <row r="81" customFormat="false" ht="15" hidden="false" customHeight="false" outlineLevel="0" collapsed="false">
      <c r="A81" s="33"/>
      <c r="B81" s="33"/>
      <c r="C81" s="33"/>
      <c r="D81" s="33"/>
      <c r="E81" s="33"/>
      <c r="F81" s="33"/>
      <c r="G81" s="33"/>
      <c r="H81" s="33"/>
      <c r="I81" s="33"/>
      <c r="J81" s="33"/>
      <c r="K81" s="33"/>
      <c r="L81" s="34"/>
      <c r="M81" s="34"/>
      <c r="N81" s="34"/>
      <c r="O81" s="34"/>
      <c r="P81" s="33"/>
      <c r="Q81" s="35"/>
      <c r="R81" s="33"/>
      <c r="S81" s="33"/>
      <c r="T81" s="33"/>
      <c r="U81" s="33"/>
      <c r="V81" s="33"/>
      <c r="W81" s="33"/>
    </row>
    <row r="82" customFormat="false" ht="15" hidden="false" customHeight="false" outlineLevel="0" collapsed="false">
      <c r="A82" s="33"/>
      <c r="B82" s="33"/>
      <c r="C82" s="33"/>
      <c r="D82" s="33"/>
      <c r="E82" s="33"/>
      <c r="F82" s="33"/>
      <c r="G82" s="33"/>
      <c r="H82" s="33"/>
      <c r="I82" s="33"/>
      <c r="J82" s="33"/>
      <c r="K82" s="33"/>
      <c r="L82" s="34"/>
      <c r="M82" s="34"/>
      <c r="N82" s="34"/>
      <c r="O82" s="34"/>
      <c r="P82" s="33"/>
      <c r="Q82" s="35"/>
      <c r="R82" s="33"/>
      <c r="S82" s="33"/>
      <c r="T82" s="33"/>
      <c r="U82" s="33"/>
      <c r="V82" s="33"/>
      <c r="W82" s="33"/>
    </row>
    <row r="83" customFormat="false" ht="15" hidden="false" customHeight="false" outlineLevel="0" collapsed="false">
      <c r="A83" s="33"/>
      <c r="B83" s="33"/>
      <c r="C83" s="33"/>
      <c r="D83" s="33"/>
      <c r="E83" s="33"/>
      <c r="F83" s="33"/>
      <c r="G83" s="33"/>
      <c r="H83" s="33"/>
      <c r="I83" s="33"/>
      <c r="J83" s="33"/>
      <c r="K83" s="33"/>
      <c r="L83" s="34"/>
      <c r="M83" s="34"/>
      <c r="N83" s="34"/>
      <c r="O83" s="34"/>
      <c r="P83" s="33"/>
      <c r="Q83" s="35"/>
      <c r="R83" s="33"/>
      <c r="S83" s="33"/>
      <c r="T83" s="33"/>
      <c r="U83" s="33"/>
      <c r="V83" s="33"/>
      <c r="W83" s="33"/>
    </row>
    <row r="84" customFormat="false" ht="15" hidden="false" customHeight="false" outlineLevel="0" collapsed="false">
      <c r="A84" s="33"/>
      <c r="B84" s="33"/>
      <c r="C84" s="33"/>
      <c r="D84" s="33"/>
      <c r="E84" s="33"/>
      <c r="F84" s="33"/>
      <c r="G84" s="33"/>
      <c r="H84" s="33"/>
      <c r="I84" s="33"/>
      <c r="J84" s="33"/>
      <c r="K84" s="33"/>
      <c r="L84" s="34"/>
      <c r="M84" s="34"/>
      <c r="N84" s="34"/>
      <c r="O84" s="34"/>
      <c r="P84" s="33"/>
      <c r="Q84" s="35"/>
      <c r="R84" s="33"/>
      <c r="S84" s="33"/>
      <c r="T84" s="33"/>
      <c r="U84" s="33"/>
      <c r="V84" s="33"/>
      <c r="W84" s="33"/>
    </row>
    <row r="85" customFormat="false" ht="15" hidden="false" customHeight="false" outlineLevel="0" collapsed="false">
      <c r="A85" s="33"/>
      <c r="B85" s="33"/>
      <c r="C85" s="33"/>
      <c r="D85" s="33"/>
      <c r="E85" s="33"/>
      <c r="F85" s="33"/>
      <c r="G85" s="33"/>
      <c r="H85" s="33"/>
      <c r="I85" s="33"/>
      <c r="J85" s="33"/>
      <c r="K85" s="33"/>
      <c r="L85" s="34"/>
      <c r="M85" s="34"/>
      <c r="N85" s="34"/>
      <c r="O85" s="34"/>
      <c r="P85" s="33"/>
      <c r="Q85" s="35"/>
      <c r="R85" s="33"/>
      <c r="S85" s="33"/>
      <c r="T85" s="33"/>
      <c r="U85" s="33"/>
      <c r="V85" s="33"/>
      <c r="W85" s="33"/>
    </row>
    <row r="86" customFormat="false" ht="15" hidden="false" customHeight="false" outlineLevel="0" collapsed="false">
      <c r="A86" s="33"/>
      <c r="B86" s="33"/>
      <c r="C86" s="33"/>
      <c r="D86" s="33"/>
      <c r="E86" s="33"/>
      <c r="F86" s="33"/>
      <c r="G86" s="33"/>
      <c r="H86" s="33"/>
      <c r="I86" s="33"/>
      <c r="J86" s="33"/>
      <c r="K86" s="33"/>
      <c r="L86" s="34"/>
      <c r="M86" s="34"/>
      <c r="N86" s="34"/>
      <c r="O86" s="34"/>
      <c r="P86" s="33"/>
      <c r="Q86" s="35"/>
      <c r="R86" s="33"/>
      <c r="S86" s="33"/>
      <c r="T86" s="33"/>
      <c r="U86" s="33"/>
      <c r="V86" s="33"/>
      <c r="W86" s="33"/>
    </row>
    <row r="87" customFormat="false" ht="15" hidden="false" customHeight="false" outlineLevel="0" collapsed="false">
      <c r="A87" s="33"/>
      <c r="B87" s="33"/>
      <c r="C87" s="33"/>
      <c r="D87" s="33"/>
      <c r="E87" s="33"/>
      <c r="F87" s="33"/>
      <c r="G87" s="33"/>
      <c r="H87" s="33"/>
      <c r="I87" s="33"/>
      <c r="J87" s="33"/>
      <c r="K87" s="33"/>
      <c r="L87" s="34"/>
      <c r="M87" s="34"/>
      <c r="N87" s="34"/>
      <c r="O87" s="34"/>
      <c r="P87" s="33"/>
      <c r="Q87" s="35"/>
      <c r="R87" s="33"/>
      <c r="S87" s="33"/>
      <c r="T87" s="33"/>
      <c r="U87" s="33"/>
      <c r="V87" s="33"/>
      <c r="W87" s="33"/>
    </row>
    <row r="88" customFormat="false" ht="15" hidden="false" customHeight="false" outlineLevel="0" collapsed="false">
      <c r="A88" s="33"/>
      <c r="B88" s="33"/>
      <c r="C88" s="33"/>
      <c r="D88" s="33"/>
      <c r="E88" s="33"/>
      <c r="F88" s="33"/>
      <c r="G88" s="33"/>
      <c r="H88" s="33"/>
      <c r="I88" s="33"/>
      <c r="J88" s="33"/>
      <c r="K88" s="33"/>
      <c r="L88" s="34"/>
      <c r="M88" s="34"/>
      <c r="N88" s="34"/>
      <c r="O88" s="34"/>
      <c r="P88" s="33"/>
      <c r="Q88" s="35"/>
      <c r="R88" s="33"/>
      <c r="S88" s="33"/>
      <c r="T88" s="33"/>
      <c r="U88" s="33"/>
      <c r="V88" s="33"/>
      <c r="W88" s="33"/>
    </row>
    <row r="89" customFormat="false" ht="15" hidden="false" customHeight="false" outlineLevel="0" collapsed="false">
      <c r="A89" s="33"/>
      <c r="B89" s="33"/>
      <c r="C89" s="33"/>
      <c r="D89" s="33"/>
      <c r="E89" s="33"/>
      <c r="F89" s="33"/>
      <c r="G89" s="33"/>
      <c r="H89" s="33"/>
      <c r="I89" s="33"/>
      <c r="J89" s="33"/>
      <c r="K89" s="33"/>
      <c r="L89" s="34"/>
      <c r="M89" s="34"/>
      <c r="N89" s="34"/>
      <c r="O89" s="34"/>
      <c r="P89" s="33"/>
      <c r="Q89" s="35"/>
      <c r="R89" s="33"/>
      <c r="S89" s="33"/>
      <c r="T89" s="33"/>
      <c r="U89" s="33"/>
      <c r="V89" s="33"/>
      <c r="W89" s="33"/>
    </row>
    <row r="90" customFormat="false" ht="15" hidden="false" customHeight="false" outlineLevel="0" collapsed="false">
      <c r="A90" s="33"/>
      <c r="B90" s="33"/>
      <c r="C90" s="33"/>
      <c r="D90" s="33"/>
      <c r="E90" s="33"/>
      <c r="F90" s="33"/>
      <c r="G90" s="33"/>
      <c r="H90" s="33"/>
      <c r="I90" s="33"/>
      <c r="J90" s="33"/>
      <c r="K90" s="33"/>
      <c r="L90" s="34"/>
      <c r="M90" s="34"/>
      <c r="N90" s="34"/>
      <c r="O90" s="34"/>
      <c r="P90" s="33"/>
      <c r="Q90" s="35"/>
      <c r="R90" s="33"/>
      <c r="S90" s="33"/>
      <c r="T90" s="33"/>
      <c r="U90" s="33"/>
      <c r="V90" s="33"/>
      <c r="W90" s="33"/>
    </row>
    <row r="91" customFormat="false" ht="15" hidden="false" customHeight="false" outlineLevel="0" collapsed="false">
      <c r="A91" s="33"/>
      <c r="B91" s="33"/>
      <c r="C91" s="33"/>
      <c r="D91" s="33"/>
      <c r="E91" s="33"/>
      <c r="F91" s="33"/>
      <c r="G91" s="33"/>
      <c r="H91" s="33"/>
      <c r="I91" s="33"/>
      <c r="J91" s="33"/>
      <c r="K91" s="33"/>
      <c r="L91" s="34"/>
      <c r="M91" s="34"/>
      <c r="N91" s="34"/>
      <c r="O91" s="34"/>
      <c r="P91" s="33"/>
      <c r="Q91" s="35"/>
      <c r="R91" s="33"/>
      <c r="S91" s="33"/>
      <c r="T91" s="33"/>
      <c r="U91" s="33"/>
      <c r="V91" s="33"/>
      <c r="W91" s="33"/>
    </row>
    <row r="92" customFormat="false" ht="15" hidden="false" customHeight="false" outlineLevel="0" collapsed="false">
      <c r="A92" s="33"/>
      <c r="B92" s="33"/>
      <c r="C92" s="33"/>
      <c r="D92" s="33"/>
      <c r="E92" s="33"/>
      <c r="F92" s="33"/>
      <c r="G92" s="33"/>
      <c r="H92" s="33"/>
      <c r="I92" s="33"/>
      <c r="J92" s="33"/>
      <c r="K92" s="33"/>
      <c r="L92" s="34"/>
      <c r="M92" s="34"/>
      <c r="N92" s="34"/>
      <c r="O92" s="34"/>
      <c r="P92" s="33"/>
      <c r="Q92" s="35"/>
      <c r="R92" s="33"/>
      <c r="S92" s="33"/>
      <c r="T92" s="33"/>
      <c r="U92" s="33"/>
      <c r="V92" s="33"/>
      <c r="W92" s="33"/>
    </row>
    <row r="93" customFormat="false" ht="15" hidden="false" customHeight="false" outlineLevel="0" collapsed="false">
      <c r="A93" s="33"/>
      <c r="B93" s="33"/>
      <c r="C93" s="33"/>
      <c r="D93" s="33"/>
      <c r="E93" s="33"/>
      <c r="F93" s="33"/>
      <c r="G93" s="33"/>
      <c r="H93" s="33"/>
      <c r="I93" s="33"/>
      <c r="J93" s="33"/>
      <c r="K93" s="33"/>
      <c r="L93" s="34"/>
      <c r="M93" s="34"/>
      <c r="N93" s="34"/>
      <c r="O93" s="34"/>
      <c r="P93" s="33"/>
      <c r="Q93" s="35"/>
      <c r="R93" s="33"/>
      <c r="S93" s="33"/>
      <c r="T93" s="33"/>
      <c r="U93" s="33"/>
      <c r="V93" s="33"/>
      <c r="W93" s="33"/>
    </row>
    <row r="94" customFormat="false" ht="15" hidden="false" customHeight="false" outlineLevel="0" collapsed="false">
      <c r="A94" s="33"/>
      <c r="B94" s="33"/>
      <c r="C94" s="33"/>
      <c r="D94" s="33"/>
      <c r="E94" s="33"/>
      <c r="F94" s="33"/>
      <c r="G94" s="33"/>
      <c r="H94" s="33"/>
      <c r="I94" s="33"/>
      <c r="J94" s="33"/>
      <c r="K94" s="33"/>
      <c r="L94" s="34"/>
      <c r="M94" s="34"/>
      <c r="N94" s="34"/>
      <c r="O94" s="34"/>
      <c r="P94" s="33"/>
      <c r="Q94" s="35"/>
      <c r="R94" s="33"/>
      <c r="S94" s="33"/>
      <c r="T94" s="33"/>
      <c r="U94" s="33"/>
      <c r="V94" s="33"/>
      <c r="W94" s="33"/>
    </row>
    <row r="95" customFormat="false" ht="15" hidden="false" customHeight="false" outlineLevel="0" collapsed="false">
      <c r="A95" s="33"/>
      <c r="B95" s="33"/>
      <c r="C95" s="33"/>
      <c r="D95" s="33"/>
      <c r="E95" s="33"/>
      <c r="F95" s="33"/>
      <c r="G95" s="33"/>
      <c r="H95" s="33"/>
      <c r="I95" s="33"/>
      <c r="J95" s="33"/>
      <c r="K95" s="33"/>
      <c r="L95" s="34"/>
      <c r="M95" s="34"/>
      <c r="N95" s="34"/>
      <c r="O95" s="34"/>
      <c r="P95" s="33"/>
      <c r="Q95" s="35"/>
      <c r="R95" s="33"/>
      <c r="S95" s="33"/>
      <c r="T95" s="33"/>
      <c r="U95" s="33"/>
      <c r="V95" s="33"/>
      <c r="W95" s="33"/>
    </row>
    <row r="96" customFormat="false" ht="15" hidden="false" customHeight="false" outlineLevel="0" collapsed="false">
      <c r="A96" s="33"/>
      <c r="B96" s="33"/>
      <c r="C96" s="33"/>
      <c r="D96" s="33"/>
      <c r="E96" s="33"/>
      <c r="F96" s="33"/>
      <c r="G96" s="33"/>
      <c r="H96" s="33"/>
      <c r="I96" s="33"/>
      <c r="J96" s="33"/>
      <c r="K96" s="33"/>
      <c r="L96" s="34"/>
      <c r="M96" s="34"/>
      <c r="N96" s="34"/>
      <c r="O96" s="34"/>
      <c r="P96" s="33"/>
      <c r="Q96" s="35"/>
      <c r="R96" s="33"/>
      <c r="S96" s="33"/>
      <c r="T96" s="33"/>
      <c r="U96" s="33"/>
      <c r="V96" s="33"/>
      <c r="W96" s="33"/>
    </row>
    <row r="97" customFormat="false" ht="15" hidden="false" customHeight="false" outlineLevel="0" collapsed="false">
      <c r="A97" s="33"/>
      <c r="B97" s="33"/>
      <c r="C97" s="33"/>
      <c r="D97" s="33"/>
      <c r="E97" s="33"/>
      <c r="F97" s="33"/>
      <c r="G97" s="33"/>
      <c r="H97" s="33"/>
      <c r="I97" s="33"/>
      <c r="J97" s="33"/>
      <c r="K97" s="33"/>
      <c r="L97" s="34"/>
      <c r="M97" s="34"/>
      <c r="N97" s="34"/>
      <c r="O97" s="34"/>
      <c r="P97" s="33"/>
      <c r="Q97" s="35"/>
      <c r="R97" s="33"/>
      <c r="S97" s="33"/>
      <c r="T97" s="33"/>
      <c r="U97" s="33"/>
      <c r="V97" s="33"/>
      <c r="W97" s="33"/>
    </row>
    <row r="98" customFormat="false" ht="15" hidden="false" customHeight="false" outlineLevel="0" collapsed="false">
      <c r="A98" s="33"/>
      <c r="B98" s="33"/>
      <c r="C98" s="33"/>
      <c r="D98" s="33"/>
      <c r="E98" s="33"/>
      <c r="F98" s="33"/>
      <c r="G98" s="33"/>
      <c r="H98" s="33"/>
      <c r="I98" s="33"/>
      <c r="J98" s="33"/>
      <c r="K98" s="33"/>
      <c r="L98" s="34"/>
      <c r="M98" s="34"/>
      <c r="N98" s="34"/>
      <c r="O98" s="34"/>
      <c r="P98" s="33"/>
      <c r="Q98" s="35"/>
      <c r="R98" s="33"/>
      <c r="S98" s="33"/>
      <c r="T98" s="33"/>
      <c r="U98" s="33"/>
      <c r="V98" s="33"/>
      <c r="W98" s="33"/>
    </row>
    <row r="99" customFormat="false" ht="15" hidden="false" customHeight="false" outlineLevel="0" collapsed="false">
      <c r="A99" s="33"/>
      <c r="B99" s="33"/>
      <c r="C99" s="33"/>
      <c r="D99" s="33"/>
      <c r="E99" s="33"/>
      <c r="F99" s="33"/>
      <c r="G99" s="33"/>
      <c r="H99" s="33"/>
      <c r="I99" s="33"/>
      <c r="J99" s="33"/>
      <c r="K99" s="33"/>
      <c r="L99" s="34"/>
      <c r="M99" s="34"/>
      <c r="N99" s="34"/>
      <c r="O99" s="34"/>
      <c r="P99" s="33"/>
      <c r="Q99" s="35"/>
      <c r="R99" s="33"/>
      <c r="S99" s="33"/>
      <c r="T99" s="33"/>
      <c r="U99" s="33"/>
      <c r="V99" s="33"/>
      <c r="W99" s="33"/>
    </row>
    <row r="100" customFormat="false" ht="15" hidden="false" customHeight="false" outlineLevel="0" collapsed="false">
      <c r="A100" s="33"/>
      <c r="B100" s="33"/>
      <c r="C100" s="33"/>
      <c r="D100" s="33"/>
      <c r="E100" s="33"/>
      <c r="F100" s="33"/>
      <c r="G100" s="33"/>
      <c r="H100" s="33"/>
      <c r="I100" s="33"/>
      <c r="J100" s="33"/>
      <c r="K100" s="33"/>
      <c r="L100" s="34"/>
      <c r="M100" s="34"/>
      <c r="N100" s="34"/>
      <c r="O100" s="34"/>
      <c r="P100" s="33"/>
      <c r="Q100" s="35"/>
      <c r="R100" s="33"/>
      <c r="S100" s="33"/>
      <c r="T100" s="33"/>
      <c r="U100" s="33"/>
      <c r="V100" s="33"/>
      <c r="W100" s="33"/>
    </row>
    <row r="101" customFormat="false" ht="15" hidden="false" customHeight="false" outlineLevel="0" collapsed="false">
      <c r="A101" s="33"/>
      <c r="B101" s="33"/>
      <c r="C101" s="33"/>
      <c r="D101" s="33"/>
      <c r="E101" s="33"/>
      <c r="F101" s="33"/>
      <c r="G101" s="33"/>
      <c r="H101" s="33"/>
      <c r="I101" s="33"/>
      <c r="J101" s="33"/>
      <c r="K101" s="33"/>
      <c r="L101" s="34"/>
      <c r="M101" s="34"/>
      <c r="N101" s="34"/>
      <c r="O101" s="34"/>
      <c r="P101" s="33"/>
      <c r="Q101" s="35"/>
      <c r="R101" s="33"/>
      <c r="S101" s="33"/>
      <c r="T101" s="33"/>
      <c r="U101" s="33"/>
      <c r="V101" s="33"/>
      <c r="W101" s="33"/>
    </row>
    <row r="102" customFormat="false" ht="15" hidden="false" customHeight="false" outlineLevel="0" collapsed="false">
      <c r="A102" s="33"/>
      <c r="B102" s="33"/>
      <c r="C102" s="33"/>
      <c r="D102" s="33"/>
      <c r="E102" s="33"/>
      <c r="F102" s="33"/>
      <c r="G102" s="33"/>
      <c r="H102" s="33"/>
      <c r="I102" s="33"/>
      <c r="J102" s="33"/>
      <c r="K102" s="33"/>
      <c r="L102" s="34"/>
      <c r="M102" s="34"/>
      <c r="N102" s="34"/>
      <c r="O102" s="34"/>
      <c r="P102" s="33"/>
      <c r="Q102" s="35"/>
      <c r="R102" s="33"/>
      <c r="S102" s="33"/>
      <c r="T102" s="33"/>
      <c r="U102" s="33"/>
      <c r="V102" s="33"/>
      <c r="W102" s="33"/>
    </row>
    <row r="103" customFormat="false" ht="15" hidden="false" customHeight="false" outlineLevel="0" collapsed="false">
      <c r="A103" s="33"/>
      <c r="B103" s="33"/>
      <c r="C103" s="33"/>
      <c r="D103" s="33"/>
      <c r="E103" s="33"/>
      <c r="F103" s="33"/>
      <c r="G103" s="33"/>
      <c r="H103" s="33"/>
      <c r="I103" s="33"/>
      <c r="J103" s="33"/>
      <c r="K103" s="33"/>
      <c r="L103" s="34"/>
      <c r="M103" s="34"/>
      <c r="N103" s="34"/>
      <c r="O103" s="34"/>
      <c r="P103" s="33"/>
      <c r="Q103" s="35"/>
      <c r="R103" s="33"/>
      <c r="S103" s="33"/>
      <c r="T103" s="33"/>
      <c r="U103" s="33"/>
      <c r="V103" s="33"/>
      <c r="W103" s="33"/>
    </row>
    <row r="104" customFormat="false" ht="15" hidden="false" customHeight="false" outlineLevel="0" collapsed="false">
      <c r="A104" s="33"/>
      <c r="B104" s="33"/>
      <c r="C104" s="33"/>
      <c r="D104" s="33"/>
      <c r="E104" s="33"/>
      <c r="F104" s="33"/>
      <c r="G104" s="33"/>
      <c r="H104" s="33"/>
      <c r="I104" s="33"/>
      <c r="J104" s="33"/>
      <c r="K104" s="33"/>
      <c r="L104" s="34"/>
      <c r="M104" s="34"/>
      <c r="N104" s="34"/>
      <c r="O104" s="34"/>
      <c r="P104" s="33"/>
      <c r="Q104" s="35"/>
      <c r="R104" s="33"/>
      <c r="S104" s="33"/>
      <c r="T104" s="33"/>
      <c r="U104" s="33"/>
      <c r="V104" s="33"/>
      <c r="W104" s="33"/>
    </row>
    <row r="105" customFormat="false" ht="15" hidden="false" customHeight="false" outlineLevel="0" collapsed="false">
      <c r="A105" s="33"/>
      <c r="B105" s="33"/>
      <c r="C105" s="33"/>
      <c r="D105" s="33"/>
      <c r="E105" s="33"/>
      <c r="F105" s="33"/>
      <c r="G105" s="33"/>
      <c r="H105" s="33"/>
      <c r="I105" s="33"/>
      <c r="J105" s="33"/>
      <c r="K105" s="33"/>
      <c r="L105" s="34"/>
      <c r="M105" s="34"/>
      <c r="N105" s="34"/>
      <c r="O105" s="34"/>
      <c r="P105" s="33"/>
      <c r="Q105" s="35"/>
      <c r="R105" s="33"/>
      <c r="S105" s="33"/>
      <c r="T105" s="33"/>
      <c r="U105" s="33"/>
      <c r="V105" s="33"/>
      <c r="W105" s="33"/>
    </row>
    <row r="106" customFormat="false" ht="15" hidden="false" customHeight="false" outlineLevel="0" collapsed="false">
      <c r="A106" s="33"/>
      <c r="B106" s="33"/>
      <c r="C106" s="33"/>
      <c r="D106" s="33"/>
      <c r="E106" s="33"/>
      <c r="F106" s="33"/>
      <c r="G106" s="33"/>
      <c r="H106" s="33"/>
      <c r="I106" s="33"/>
      <c r="J106" s="33"/>
      <c r="K106" s="33"/>
      <c r="L106" s="34"/>
      <c r="M106" s="34"/>
      <c r="N106" s="34"/>
      <c r="O106" s="34"/>
      <c r="P106" s="33"/>
      <c r="Q106" s="35"/>
      <c r="R106" s="33"/>
      <c r="S106" s="33"/>
      <c r="T106" s="33"/>
      <c r="U106" s="33"/>
      <c r="V106" s="33"/>
      <c r="W106" s="33"/>
    </row>
    <row r="107" customFormat="false" ht="15" hidden="false" customHeight="false" outlineLevel="0" collapsed="false">
      <c r="A107" s="33"/>
      <c r="B107" s="33"/>
      <c r="C107" s="33"/>
      <c r="D107" s="33"/>
      <c r="E107" s="33"/>
      <c r="F107" s="33"/>
      <c r="G107" s="33"/>
      <c r="H107" s="33"/>
      <c r="I107" s="33"/>
      <c r="J107" s="33"/>
      <c r="K107" s="33"/>
      <c r="L107" s="34"/>
      <c r="M107" s="34"/>
      <c r="N107" s="34"/>
      <c r="O107" s="34"/>
      <c r="P107" s="33"/>
      <c r="Q107" s="35"/>
      <c r="R107" s="33"/>
      <c r="S107" s="33"/>
      <c r="T107" s="33"/>
      <c r="U107" s="33"/>
      <c r="V107" s="33"/>
      <c r="W107" s="33"/>
    </row>
    <row r="108" customFormat="false" ht="15" hidden="false" customHeight="false" outlineLevel="0" collapsed="false">
      <c r="A108" s="33"/>
      <c r="B108" s="33"/>
      <c r="C108" s="33"/>
      <c r="D108" s="33"/>
      <c r="E108" s="33"/>
      <c r="F108" s="33"/>
      <c r="G108" s="33"/>
      <c r="H108" s="33"/>
      <c r="I108" s="33"/>
      <c r="J108" s="33"/>
      <c r="K108" s="33"/>
      <c r="L108" s="34"/>
      <c r="M108" s="34"/>
      <c r="N108" s="34"/>
      <c r="O108" s="34"/>
      <c r="P108" s="33"/>
      <c r="Q108" s="35"/>
      <c r="R108" s="33"/>
      <c r="S108" s="33"/>
      <c r="T108" s="33"/>
      <c r="U108" s="33"/>
      <c r="V108" s="33"/>
      <c r="W108" s="33"/>
    </row>
    <row r="109" customFormat="false" ht="15" hidden="false" customHeight="false" outlineLevel="0" collapsed="false">
      <c r="A109" s="33"/>
      <c r="B109" s="33"/>
      <c r="C109" s="33"/>
      <c r="D109" s="33"/>
      <c r="E109" s="33"/>
      <c r="F109" s="33"/>
      <c r="G109" s="33"/>
      <c r="H109" s="33"/>
      <c r="I109" s="33"/>
      <c r="J109" s="33"/>
      <c r="K109" s="33"/>
      <c r="L109" s="34"/>
      <c r="M109" s="34"/>
      <c r="N109" s="34"/>
      <c r="O109" s="34"/>
      <c r="P109" s="33"/>
      <c r="Q109" s="35"/>
      <c r="R109" s="33"/>
      <c r="S109" s="33"/>
      <c r="T109" s="33"/>
      <c r="U109" s="33"/>
      <c r="V109" s="33"/>
      <c r="W109" s="33"/>
    </row>
    <row r="110" customFormat="false" ht="15" hidden="false" customHeight="false" outlineLevel="0" collapsed="false">
      <c r="A110" s="33"/>
      <c r="B110" s="33"/>
      <c r="C110" s="33"/>
      <c r="D110" s="33"/>
      <c r="E110" s="33"/>
      <c r="F110" s="33"/>
      <c r="G110" s="33"/>
      <c r="H110" s="33"/>
      <c r="I110" s="33"/>
      <c r="J110" s="33"/>
      <c r="K110" s="33"/>
      <c r="L110" s="34"/>
      <c r="M110" s="34"/>
      <c r="N110" s="34"/>
      <c r="O110" s="34"/>
      <c r="P110" s="33"/>
      <c r="Q110" s="35"/>
      <c r="R110" s="33"/>
      <c r="S110" s="33"/>
      <c r="T110" s="33"/>
      <c r="U110" s="33"/>
      <c r="V110" s="33"/>
      <c r="W110" s="33"/>
    </row>
    <row r="111" customFormat="false" ht="15" hidden="false" customHeight="false" outlineLevel="0" collapsed="false">
      <c r="A111" s="33"/>
      <c r="B111" s="33"/>
      <c r="C111" s="33"/>
      <c r="D111" s="33"/>
      <c r="E111" s="33"/>
      <c r="F111" s="33"/>
      <c r="G111" s="33"/>
      <c r="H111" s="33"/>
      <c r="I111" s="33"/>
      <c r="J111" s="33"/>
      <c r="K111" s="33"/>
      <c r="L111" s="34"/>
      <c r="M111" s="34"/>
      <c r="N111" s="34"/>
      <c r="O111" s="34"/>
      <c r="P111" s="33"/>
      <c r="Q111" s="35"/>
      <c r="R111" s="33"/>
      <c r="S111" s="33"/>
      <c r="T111" s="33"/>
      <c r="U111" s="33"/>
      <c r="V111" s="33"/>
      <c r="W111" s="33"/>
    </row>
    <row r="112" customFormat="false" ht="15" hidden="false" customHeight="false" outlineLevel="0" collapsed="false">
      <c r="A112" s="33"/>
      <c r="B112" s="33"/>
      <c r="C112" s="33"/>
      <c r="D112" s="33"/>
      <c r="E112" s="33"/>
      <c r="F112" s="33"/>
      <c r="G112" s="33"/>
      <c r="H112" s="33"/>
      <c r="I112" s="33"/>
      <c r="J112" s="33"/>
      <c r="K112" s="33"/>
      <c r="L112" s="34"/>
      <c r="M112" s="34"/>
      <c r="N112" s="34"/>
      <c r="O112" s="34"/>
      <c r="P112" s="33"/>
      <c r="Q112" s="35"/>
      <c r="R112" s="33"/>
      <c r="S112" s="33"/>
      <c r="T112" s="33"/>
      <c r="U112" s="33"/>
      <c r="V112" s="33"/>
      <c r="W112" s="33"/>
    </row>
    <row r="113" customFormat="false" ht="15" hidden="false" customHeight="false" outlineLevel="0" collapsed="false">
      <c r="A113" s="33"/>
      <c r="B113" s="33"/>
      <c r="C113" s="33"/>
      <c r="D113" s="33"/>
      <c r="E113" s="33"/>
      <c r="F113" s="33"/>
      <c r="G113" s="33"/>
      <c r="H113" s="33"/>
      <c r="I113" s="33"/>
      <c r="J113" s="33"/>
      <c r="K113" s="33"/>
      <c r="L113" s="34"/>
      <c r="M113" s="34"/>
      <c r="N113" s="34"/>
      <c r="O113" s="34"/>
      <c r="P113" s="33"/>
      <c r="Q113" s="35"/>
      <c r="R113" s="33"/>
      <c r="S113" s="33"/>
      <c r="T113" s="33"/>
      <c r="U113" s="33"/>
      <c r="V113" s="33"/>
      <c r="W113" s="33"/>
    </row>
    <row r="114" customFormat="false" ht="15" hidden="false" customHeight="false" outlineLevel="0" collapsed="false">
      <c r="A114" s="33"/>
      <c r="B114" s="33"/>
      <c r="C114" s="33"/>
      <c r="D114" s="33"/>
      <c r="E114" s="33"/>
      <c r="F114" s="33"/>
      <c r="G114" s="33"/>
      <c r="H114" s="33"/>
      <c r="I114" s="33"/>
      <c r="J114" s="33"/>
      <c r="K114" s="33"/>
      <c r="L114" s="34"/>
      <c r="M114" s="34"/>
      <c r="N114" s="34"/>
      <c r="O114" s="34"/>
      <c r="P114" s="33"/>
      <c r="Q114" s="35"/>
      <c r="R114" s="33"/>
      <c r="S114" s="33"/>
      <c r="T114" s="33"/>
      <c r="U114" s="33"/>
      <c r="V114" s="33"/>
      <c r="W114" s="33"/>
    </row>
    <row r="115" customFormat="false" ht="15" hidden="false" customHeight="false" outlineLevel="0" collapsed="false">
      <c r="A115" s="33"/>
      <c r="B115" s="33"/>
      <c r="C115" s="33"/>
      <c r="D115" s="33"/>
      <c r="E115" s="33"/>
      <c r="F115" s="33"/>
      <c r="G115" s="33"/>
      <c r="H115" s="33"/>
      <c r="I115" s="33"/>
      <c r="J115" s="33"/>
      <c r="K115" s="33"/>
      <c r="L115" s="34"/>
      <c r="M115" s="34"/>
      <c r="N115" s="34"/>
      <c r="O115" s="34"/>
      <c r="P115" s="33"/>
      <c r="Q115" s="35"/>
      <c r="R115" s="33"/>
      <c r="S115" s="33"/>
      <c r="T115" s="33"/>
      <c r="U115" s="33"/>
      <c r="V115" s="33"/>
      <c r="W115" s="33"/>
    </row>
    <row r="116" customFormat="false" ht="15" hidden="false" customHeight="false" outlineLevel="0" collapsed="false">
      <c r="A116" s="33"/>
      <c r="B116" s="33"/>
      <c r="C116" s="33"/>
      <c r="D116" s="33"/>
      <c r="E116" s="33"/>
      <c r="F116" s="33"/>
      <c r="G116" s="33"/>
      <c r="H116" s="33"/>
      <c r="I116" s="33"/>
      <c r="J116" s="33"/>
      <c r="K116" s="33"/>
      <c r="L116" s="34"/>
      <c r="M116" s="34"/>
      <c r="N116" s="34"/>
      <c r="O116" s="34"/>
      <c r="P116" s="33"/>
      <c r="Q116" s="35"/>
      <c r="R116" s="33"/>
      <c r="S116" s="33"/>
      <c r="T116" s="33"/>
      <c r="U116" s="33"/>
      <c r="V116" s="33"/>
      <c r="W116" s="33"/>
    </row>
    <row r="117" customFormat="false" ht="15" hidden="false" customHeight="false" outlineLevel="0" collapsed="false">
      <c r="A117" s="33"/>
      <c r="B117" s="33"/>
      <c r="C117" s="33"/>
      <c r="D117" s="33"/>
      <c r="E117" s="33"/>
      <c r="F117" s="33"/>
      <c r="G117" s="33"/>
      <c r="H117" s="33"/>
      <c r="I117" s="33"/>
      <c r="J117" s="33"/>
      <c r="K117" s="33"/>
      <c r="L117" s="34"/>
      <c r="M117" s="34"/>
      <c r="N117" s="34"/>
      <c r="O117" s="34"/>
      <c r="P117" s="33"/>
      <c r="Q117" s="35"/>
      <c r="R117" s="33"/>
      <c r="S117" s="33"/>
      <c r="T117" s="33"/>
      <c r="U117" s="33"/>
      <c r="V117" s="33"/>
      <c r="W117" s="33"/>
    </row>
    <row r="118" customFormat="false" ht="15" hidden="false" customHeight="false" outlineLevel="0" collapsed="false">
      <c r="A118" s="33"/>
      <c r="B118" s="33"/>
      <c r="C118" s="33"/>
      <c r="D118" s="33"/>
      <c r="E118" s="33"/>
      <c r="F118" s="33"/>
      <c r="G118" s="33"/>
      <c r="H118" s="33"/>
      <c r="I118" s="33"/>
      <c r="J118" s="33"/>
      <c r="K118" s="33"/>
      <c r="L118" s="34"/>
      <c r="M118" s="34"/>
      <c r="N118" s="34"/>
      <c r="O118" s="34"/>
      <c r="P118" s="33"/>
      <c r="Q118" s="35"/>
      <c r="R118" s="33"/>
      <c r="S118" s="33"/>
      <c r="T118" s="33"/>
      <c r="U118" s="33"/>
      <c r="V118" s="33"/>
      <c r="W118" s="33"/>
    </row>
    <row r="119" customFormat="false" ht="15" hidden="false" customHeight="false" outlineLevel="0" collapsed="false">
      <c r="A119" s="33"/>
      <c r="B119" s="33"/>
      <c r="C119" s="33"/>
      <c r="D119" s="33"/>
      <c r="E119" s="33"/>
      <c r="F119" s="33"/>
      <c r="G119" s="33"/>
      <c r="H119" s="33"/>
      <c r="I119" s="33"/>
      <c r="J119" s="33"/>
      <c r="K119" s="33"/>
      <c r="L119" s="34"/>
      <c r="M119" s="34"/>
      <c r="N119" s="34"/>
      <c r="O119" s="34"/>
      <c r="P119" s="33"/>
      <c r="Q119" s="35"/>
      <c r="R119" s="33"/>
      <c r="S119" s="33"/>
      <c r="T119" s="33"/>
      <c r="U119" s="33"/>
      <c r="V119" s="33"/>
      <c r="W119" s="33"/>
    </row>
    <row r="120" customFormat="false" ht="15" hidden="false" customHeight="false" outlineLevel="0" collapsed="false">
      <c r="A120" s="33"/>
      <c r="B120" s="33"/>
      <c r="C120" s="33"/>
      <c r="D120" s="33"/>
      <c r="E120" s="33"/>
      <c r="F120" s="33"/>
      <c r="G120" s="33"/>
      <c r="H120" s="33"/>
      <c r="I120" s="33"/>
      <c r="J120" s="33"/>
      <c r="K120" s="33"/>
      <c r="L120" s="34"/>
      <c r="M120" s="34"/>
      <c r="N120" s="34"/>
      <c r="O120" s="34"/>
      <c r="P120" s="33"/>
      <c r="Q120" s="35"/>
      <c r="R120" s="33"/>
      <c r="S120" s="33"/>
      <c r="T120" s="33"/>
      <c r="U120" s="33"/>
      <c r="V120" s="33"/>
      <c r="W120" s="33"/>
    </row>
    <row r="121" customFormat="false" ht="15" hidden="false" customHeight="false" outlineLevel="0" collapsed="false">
      <c r="A121" s="33"/>
      <c r="B121" s="33"/>
      <c r="C121" s="33"/>
      <c r="D121" s="33"/>
      <c r="E121" s="33"/>
      <c r="F121" s="33"/>
      <c r="G121" s="33"/>
      <c r="H121" s="33"/>
      <c r="I121" s="33"/>
      <c r="J121" s="33"/>
      <c r="K121" s="33"/>
      <c r="L121" s="34"/>
      <c r="M121" s="34"/>
      <c r="N121" s="34"/>
      <c r="O121" s="34"/>
      <c r="P121" s="33"/>
      <c r="Q121" s="35"/>
      <c r="R121" s="33"/>
      <c r="S121" s="33"/>
      <c r="T121" s="33"/>
      <c r="U121" s="33"/>
      <c r="V121" s="33"/>
      <c r="W121" s="33"/>
    </row>
    <row r="122" customFormat="false" ht="15" hidden="false" customHeight="false" outlineLevel="0" collapsed="false">
      <c r="A122" s="33"/>
      <c r="B122" s="33"/>
      <c r="C122" s="33"/>
      <c r="D122" s="33"/>
      <c r="E122" s="33"/>
      <c r="F122" s="33"/>
      <c r="G122" s="33"/>
      <c r="H122" s="33"/>
      <c r="I122" s="33"/>
      <c r="J122" s="33"/>
      <c r="K122" s="33"/>
      <c r="L122" s="34"/>
      <c r="M122" s="34"/>
      <c r="N122" s="34"/>
      <c r="O122" s="34"/>
      <c r="P122" s="33"/>
      <c r="Q122" s="35"/>
      <c r="R122" s="33"/>
      <c r="S122" s="33"/>
      <c r="T122" s="33"/>
      <c r="U122" s="33"/>
      <c r="V122" s="33"/>
      <c r="W122" s="33"/>
    </row>
    <row r="123" customFormat="false" ht="15" hidden="false" customHeight="false" outlineLevel="0" collapsed="false">
      <c r="A123" s="33"/>
      <c r="B123" s="33"/>
      <c r="C123" s="33"/>
      <c r="D123" s="33"/>
      <c r="E123" s="33"/>
      <c r="F123" s="33"/>
      <c r="G123" s="33"/>
      <c r="H123" s="33"/>
      <c r="I123" s="33"/>
      <c r="J123" s="33"/>
      <c r="K123" s="33"/>
      <c r="L123" s="34"/>
      <c r="M123" s="34"/>
      <c r="N123" s="34"/>
      <c r="O123" s="34"/>
      <c r="P123" s="33"/>
      <c r="Q123" s="35"/>
      <c r="R123" s="33"/>
      <c r="S123" s="33"/>
      <c r="T123" s="33"/>
      <c r="U123" s="33"/>
      <c r="V123" s="33"/>
      <c r="W123" s="33"/>
    </row>
    <row r="124" customFormat="false" ht="15" hidden="false" customHeight="false" outlineLevel="0" collapsed="false">
      <c r="A124" s="33"/>
      <c r="B124" s="33"/>
      <c r="C124" s="33"/>
      <c r="D124" s="33"/>
      <c r="E124" s="33"/>
      <c r="F124" s="33"/>
      <c r="G124" s="33"/>
      <c r="H124" s="33"/>
      <c r="I124" s="33"/>
      <c r="J124" s="33"/>
      <c r="K124" s="33"/>
      <c r="L124" s="34"/>
      <c r="M124" s="34"/>
      <c r="N124" s="34"/>
      <c r="O124" s="34"/>
      <c r="P124" s="33"/>
      <c r="Q124" s="35"/>
      <c r="R124" s="33"/>
      <c r="S124" s="33"/>
      <c r="T124" s="33"/>
      <c r="U124" s="33"/>
      <c r="V124" s="33"/>
      <c r="W124" s="33"/>
    </row>
    <row r="125" customFormat="false" ht="15" hidden="false" customHeight="false" outlineLevel="0" collapsed="false">
      <c r="A125" s="33"/>
      <c r="B125" s="33"/>
      <c r="C125" s="33"/>
      <c r="D125" s="33"/>
      <c r="E125" s="33"/>
      <c r="F125" s="33"/>
      <c r="G125" s="33"/>
      <c r="H125" s="33"/>
      <c r="I125" s="33"/>
      <c r="J125" s="33"/>
      <c r="K125" s="33"/>
      <c r="L125" s="34"/>
      <c r="M125" s="34"/>
      <c r="N125" s="34"/>
      <c r="O125" s="34"/>
      <c r="P125" s="33"/>
      <c r="Q125" s="35"/>
      <c r="R125" s="33"/>
      <c r="S125" s="33"/>
      <c r="T125" s="33"/>
      <c r="U125" s="33"/>
      <c r="V125" s="33"/>
      <c r="W125" s="33"/>
    </row>
    <row r="126" customFormat="false" ht="15" hidden="false" customHeight="false" outlineLevel="0" collapsed="false">
      <c r="A126" s="33"/>
      <c r="B126" s="33"/>
      <c r="C126" s="33"/>
      <c r="D126" s="33"/>
      <c r="E126" s="33"/>
      <c r="F126" s="33"/>
      <c r="G126" s="33"/>
      <c r="H126" s="33"/>
      <c r="I126" s="33"/>
      <c r="J126" s="33"/>
      <c r="K126" s="33"/>
      <c r="L126" s="34"/>
      <c r="M126" s="34"/>
      <c r="N126" s="34"/>
      <c r="O126" s="34"/>
      <c r="P126" s="33"/>
      <c r="Q126" s="35"/>
      <c r="R126" s="33"/>
      <c r="S126" s="33"/>
      <c r="T126" s="33"/>
      <c r="U126" s="33"/>
      <c r="V126" s="33"/>
      <c r="W126" s="33"/>
    </row>
    <row r="127" customFormat="false" ht="15" hidden="false" customHeight="false" outlineLevel="0" collapsed="false">
      <c r="A127" s="33"/>
      <c r="B127" s="33"/>
      <c r="C127" s="33"/>
      <c r="D127" s="33"/>
      <c r="E127" s="33"/>
      <c r="F127" s="33"/>
      <c r="G127" s="33"/>
      <c r="H127" s="33"/>
      <c r="I127" s="33"/>
      <c r="J127" s="33"/>
      <c r="K127" s="33"/>
      <c r="L127" s="34"/>
      <c r="M127" s="34"/>
      <c r="N127" s="34"/>
      <c r="O127" s="34"/>
      <c r="P127" s="33"/>
      <c r="Q127" s="35"/>
      <c r="R127" s="33"/>
      <c r="S127" s="33"/>
      <c r="T127" s="33"/>
      <c r="U127" s="33"/>
      <c r="V127" s="33"/>
      <c r="W127" s="33"/>
    </row>
    <row r="128" customFormat="false" ht="15" hidden="false" customHeight="false" outlineLevel="0" collapsed="false">
      <c r="A128" s="33"/>
      <c r="B128" s="33"/>
      <c r="C128" s="33"/>
      <c r="D128" s="33"/>
      <c r="E128" s="33"/>
      <c r="F128" s="33"/>
      <c r="G128" s="33"/>
      <c r="H128" s="33"/>
      <c r="I128" s="33"/>
      <c r="J128" s="33"/>
      <c r="K128" s="33"/>
      <c r="L128" s="34"/>
      <c r="M128" s="34"/>
      <c r="N128" s="34"/>
      <c r="O128" s="34"/>
      <c r="P128" s="33"/>
      <c r="Q128" s="35"/>
      <c r="R128" s="33"/>
      <c r="S128" s="33"/>
      <c r="T128" s="33"/>
      <c r="U128" s="33"/>
      <c r="V128" s="33"/>
      <c r="W128" s="33"/>
    </row>
    <row r="129" customFormat="false" ht="15" hidden="false" customHeight="false" outlineLevel="0" collapsed="false">
      <c r="A129" s="33"/>
      <c r="B129" s="33"/>
      <c r="C129" s="33"/>
      <c r="D129" s="33"/>
      <c r="E129" s="33"/>
      <c r="F129" s="33"/>
      <c r="G129" s="33"/>
      <c r="H129" s="33"/>
      <c r="I129" s="33"/>
      <c r="J129" s="33"/>
      <c r="K129" s="33"/>
      <c r="L129" s="34"/>
      <c r="M129" s="34"/>
      <c r="N129" s="34"/>
      <c r="O129" s="34"/>
      <c r="P129" s="33"/>
      <c r="Q129" s="35"/>
      <c r="R129" s="33"/>
      <c r="S129" s="33"/>
      <c r="T129" s="33"/>
      <c r="U129" s="33"/>
      <c r="V129" s="33"/>
      <c r="W129" s="33"/>
    </row>
    <row r="130" customFormat="false" ht="15" hidden="false" customHeight="false" outlineLevel="0" collapsed="false">
      <c r="A130" s="33"/>
      <c r="B130" s="33"/>
      <c r="C130" s="33"/>
      <c r="D130" s="33"/>
      <c r="E130" s="33"/>
      <c r="F130" s="33"/>
      <c r="G130" s="33"/>
      <c r="H130" s="33"/>
      <c r="I130" s="33"/>
      <c r="J130" s="33"/>
      <c r="K130" s="33"/>
      <c r="L130" s="34"/>
      <c r="M130" s="34"/>
      <c r="N130" s="34"/>
      <c r="O130" s="34"/>
      <c r="P130" s="33"/>
      <c r="Q130" s="35"/>
      <c r="R130" s="33"/>
      <c r="S130" s="33"/>
      <c r="T130" s="33"/>
      <c r="U130" s="33"/>
      <c r="V130" s="33"/>
      <c r="W130" s="33"/>
    </row>
    <row r="131" customFormat="false" ht="15" hidden="false" customHeight="false" outlineLevel="0" collapsed="false">
      <c r="A131" s="33"/>
      <c r="B131" s="33"/>
      <c r="C131" s="33"/>
      <c r="D131" s="33"/>
      <c r="E131" s="33"/>
      <c r="F131" s="33"/>
      <c r="G131" s="33"/>
      <c r="H131" s="33"/>
      <c r="I131" s="33"/>
      <c r="J131" s="33"/>
      <c r="K131" s="33"/>
      <c r="L131" s="34"/>
      <c r="M131" s="34"/>
      <c r="N131" s="34"/>
      <c r="O131" s="34"/>
      <c r="P131" s="33"/>
      <c r="Q131" s="35"/>
      <c r="R131" s="33"/>
      <c r="S131" s="33"/>
      <c r="T131" s="33"/>
      <c r="U131" s="33"/>
      <c r="V131" s="33"/>
      <c r="W131" s="33"/>
    </row>
    <row r="132" customFormat="false" ht="15" hidden="false" customHeight="false" outlineLevel="0" collapsed="false">
      <c r="A132" s="33"/>
      <c r="B132" s="33"/>
      <c r="C132" s="33"/>
      <c r="D132" s="33"/>
      <c r="E132" s="33"/>
      <c r="F132" s="33"/>
      <c r="G132" s="33"/>
      <c r="H132" s="33"/>
      <c r="I132" s="33"/>
      <c r="J132" s="33"/>
      <c r="K132" s="33"/>
      <c r="L132" s="34"/>
      <c r="M132" s="34"/>
      <c r="N132" s="34"/>
      <c r="O132" s="34"/>
      <c r="P132" s="33"/>
      <c r="Q132" s="35"/>
      <c r="R132" s="33"/>
      <c r="S132" s="33"/>
      <c r="T132" s="33"/>
      <c r="U132" s="33"/>
      <c r="V132" s="33"/>
      <c r="W132" s="33"/>
    </row>
    <row r="133" customFormat="false" ht="15" hidden="false" customHeight="false" outlineLevel="0" collapsed="false">
      <c r="A133" s="33"/>
      <c r="B133" s="33"/>
      <c r="C133" s="33"/>
      <c r="D133" s="33"/>
      <c r="E133" s="33"/>
      <c r="F133" s="33"/>
      <c r="G133" s="33"/>
      <c r="H133" s="33"/>
      <c r="I133" s="33"/>
      <c r="J133" s="33"/>
      <c r="K133" s="33"/>
      <c r="L133" s="34"/>
      <c r="M133" s="34"/>
      <c r="N133" s="34"/>
      <c r="O133" s="34"/>
      <c r="P133" s="33"/>
      <c r="Q133" s="35"/>
      <c r="R133" s="33"/>
      <c r="S133" s="33"/>
      <c r="T133" s="33"/>
      <c r="U133" s="33"/>
      <c r="V133" s="33"/>
      <c r="W133" s="33"/>
    </row>
    <row r="134" customFormat="false" ht="15" hidden="false" customHeight="false" outlineLevel="0" collapsed="false">
      <c r="A134" s="33"/>
      <c r="B134" s="33"/>
      <c r="C134" s="33"/>
      <c r="D134" s="33"/>
      <c r="E134" s="33"/>
      <c r="F134" s="33"/>
      <c r="G134" s="33"/>
      <c r="H134" s="33"/>
      <c r="I134" s="33"/>
      <c r="J134" s="33"/>
      <c r="K134" s="33"/>
      <c r="L134" s="34"/>
      <c r="M134" s="34"/>
      <c r="N134" s="34"/>
      <c r="O134" s="34"/>
      <c r="P134" s="33"/>
      <c r="Q134" s="35"/>
      <c r="R134" s="33"/>
      <c r="S134" s="33"/>
      <c r="T134" s="33"/>
      <c r="U134" s="33"/>
      <c r="V134" s="33"/>
      <c r="W134" s="33"/>
    </row>
    <row r="135" customFormat="false" ht="15" hidden="false" customHeight="false" outlineLevel="0" collapsed="false">
      <c r="A135" s="33"/>
      <c r="B135" s="33"/>
      <c r="C135" s="33"/>
      <c r="D135" s="33"/>
      <c r="E135" s="33"/>
      <c r="F135" s="33"/>
      <c r="G135" s="33"/>
      <c r="H135" s="33"/>
      <c r="I135" s="33"/>
      <c r="J135" s="33"/>
      <c r="K135" s="33"/>
      <c r="L135" s="34"/>
      <c r="M135" s="34"/>
      <c r="N135" s="34"/>
      <c r="O135" s="34"/>
      <c r="P135" s="33"/>
      <c r="Q135" s="35"/>
      <c r="R135" s="33"/>
      <c r="S135" s="33"/>
      <c r="T135" s="33"/>
      <c r="U135" s="33"/>
      <c r="V135" s="33"/>
      <c r="W135" s="33"/>
    </row>
    <row r="136" customFormat="false" ht="15" hidden="false" customHeight="false" outlineLevel="0" collapsed="false">
      <c r="A136" s="33"/>
      <c r="B136" s="33"/>
      <c r="C136" s="33"/>
      <c r="D136" s="33"/>
      <c r="E136" s="33"/>
      <c r="F136" s="33"/>
      <c r="G136" s="33"/>
      <c r="H136" s="33"/>
      <c r="I136" s="33"/>
      <c r="J136" s="33"/>
      <c r="K136" s="33"/>
      <c r="L136" s="34"/>
      <c r="M136" s="34"/>
      <c r="N136" s="34"/>
      <c r="O136" s="34"/>
      <c r="P136" s="33"/>
      <c r="Q136" s="35"/>
      <c r="R136" s="33"/>
      <c r="S136" s="33"/>
      <c r="T136" s="33"/>
      <c r="U136" s="33"/>
      <c r="V136" s="33"/>
      <c r="W136" s="33"/>
    </row>
    <row r="137" customFormat="false" ht="15" hidden="false" customHeight="false" outlineLevel="0" collapsed="false">
      <c r="A137" s="33"/>
      <c r="B137" s="33"/>
      <c r="C137" s="33"/>
      <c r="D137" s="33"/>
      <c r="E137" s="33"/>
      <c r="F137" s="33"/>
      <c r="G137" s="33"/>
      <c r="H137" s="33"/>
      <c r="I137" s="33"/>
      <c r="J137" s="33"/>
      <c r="K137" s="33"/>
      <c r="L137" s="34"/>
      <c r="M137" s="34"/>
      <c r="N137" s="34"/>
      <c r="O137" s="34"/>
      <c r="P137" s="33"/>
      <c r="Q137" s="35"/>
      <c r="R137" s="33"/>
      <c r="S137" s="33"/>
      <c r="T137" s="33"/>
      <c r="U137" s="33"/>
      <c r="V137" s="33"/>
      <c r="W137" s="33"/>
    </row>
    <row r="138" customFormat="false" ht="15" hidden="false" customHeight="false" outlineLevel="0" collapsed="false">
      <c r="A138" s="33"/>
      <c r="B138" s="33"/>
      <c r="C138" s="33"/>
      <c r="D138" s="33"/>
      <c r="E138" s="33"/>
      <c r="F138" s="33"/>
      <c r="G138" s="33"/>
      <c r="H138" s="33"/>
      <c r="I138" s="33"/>
      <c r="J138" s="33"/>
      <c r="K138" s="33"/>
      <c r="L138" s="34"/>
      <c r="M138" s="34"/>
      <c r="N138" s="34"/>
      <c r="O138" s="34"/>
      <c r="P138" s="33"/>
      <c r="Q138" s="35"/>
      <c r="R138" s="33"/>
      <c r="S138" s="33"/>
      <c r="T138" s="33"/>
      <c r="U138" s="33"/>
      <c r="V138" s="33"/>
      <c r="W138" s="33"/>
    </row>
    <row r="139" customFormat="false" ht="15" hidden="false" customHeight="false" outlineLevel="0" collapsed="false">
      <c r="A139" s="33"/>
      <c r="B139" s="33"/>
      <c r="C139" s="33"/>
      <c r="D139" s="33"/>
      <c r="E139" s="33"/>
      <c r="F139" s="33"/>
      <c r="G139" s="33"/>
      <c r="H139" s="33"/>
      <c r="I139" s="33"/>
      <c r="J139" s="33"/>
      <c r="K139" s="33"/>
      <c r="L139" s="34"/>
      <c r="M139" s="34"/>
      <c r="N139" s="34"/>
      <c r="O139" s="34"/>
      <c r="P139" s="33"/>
      <c r="Q139" s="35"/>
      <c r="R139" s="33"/>
      <c r="S139" s="33"/>
      <c r="T139" s="33"/>
      <c r="U139" s="33"/>
      <c r="V139" s="33"/>
      <c r="W139" s="33"/>
    </row>
    <row r="140" customFormat="false" ht="15" hidden="false" customHeight="false" outlineLevel="0" collapsed="false">
      <c r="A140" s="33"/>
      <c r="B140" s="33"/>
      <c r="C140" s="33"/>
      <c r="D140" s="33"/>
      <c r="E140" s="33"/>
      <c r="F140" s="33"/>
      <c r="G140" s="33"/>
      <c r="H140" s="33"/>
      <c r="I140" s="33"/>
      <c r="J140" s="33"/>
      <c r="K140" s="33"/>
      <c r="L140" s="34"/>
      <c r="M140" s="34"/>
      <c r="N140" s="34"/>
      <c r="O140" s="34"/>
      <c r="P140" s="33"/>
      <c r="Q140" s="35"/>
      <c r="R140" s="33"/>
      <c r="S140" s="33"/>
      <c r="T140" s="33"/>
      <c r="U140" s="33"/>
      <c r="V140" s="33"/>
      <c r="W140" s="33"/>
    </row>
    <row r="141" customFormat="false" ht="15" hidden="false" customHeight="false" outlineLevel="0" collapsed="false">
      <c r="A141" s="33"/>
      <c r="B141" s="33"/>
      <c r="C141" s="33"/>
      <c r="D141" s="33"/>
      <c r="E141" s="33"/>
      <c r="F141" s="33"/>
      <c r="G141" s="33"/>
      <c r="H141" s="33"/>
      <c r="I141" s="33"/>
      <c r="J141" s="33"/>
      <c r="K141" s="33"/>
      <c r="L141" s="34"/>
      <c r="M141" s="34"/>
      <c r="N141" s="34"/>
      <c r="O141" s="34"/>
      <c r="P141" s="33"/>
      <c r="Q141" s="35"/>
      <c r="R141" s="33"/>
      <c r="S141" s="33"/>
      <c r="T141" s="33"/>
      <c r="U141" s="33"/>
      <c r="V141" s="33"/>
      <c r="W141" s="33"/>
    </row>
    <row r="142" customFormat="false" ht="15" hidden="false" customHeight="false" outlineLevel="0" collapsed="false">
      <c r="A142" s="33"/>
      <c r="B142" s="33"/>
      <c r="C142" s="33"/>
      <c r="D142" s="33"/>
      <c r="E142" s="33"/>
      <c r="F142" s="33"/>
      <c r="G142" s="33"/>
      <c r="H142" s="33"/>
      <c r="I142" s="33"/>
      <c r="J142" s="33"/>
      <c r="K142" s="33"/>
      <c r="L142" s="34"/>
      <c r="M142" s="34"/>
      <c r="N142" s="34"/>
      <c r="O142" s="34"/>
      <c r="P142" s="33"/>
      <c r="Q142" s="35"/>
      <c r="R142" s="33"/>
      <c r="S142" s="33"/>
      <c r="T142" s="33"/>
      <c r="U142" s="33"/>
      <c r="V142" s="33"/>
      <c r="W142" s="33"/>
    </row>
    <row r="143" customFormat="false" ht="15" hidden="false" customHeight="false" outlineLevel="0" collapsed="false">
      <c r="A143" s="33"/>
      <c r="B143" s="33"/>
      <c r="C143" s="33"/>
      <c r="D143" s="33"/>
      <c r="E143" s="33"/>
      <c r="F143" s="33"/>
      <c r="G143" s="33"/>
      <c r="H143" s="33"/>
      <c r="I143" s="33"/>
      <c r="J143" s="33"/>
      <c r="K143" s="33"/>
      <c r="L143" s="34"/>
      <c r="M143" s="34"/>
      <c r="N143" s="34"/>
      <c r="O143" s="34"/>
      <c r="P143" s="33"/>
      <c r="Q143" s="35"/>
      <c r="R143" s="33"/>
      <c r="S143" s="33"/>
      <c r="T143" s="33"/>
      <c r="U143" s="33"/>
      <c r="V143" s="33"/>
      <c r="W143" s="33"/>
    </row>
    <row r="144" customFormat="false" ht="15" hidden="false" customHeight="false" outlineLevel="0" collapsed="false">
      <c r="A144" s="33"/>
      <c r="B144" s="33"/>
      <c r="C144" s="33"/>
      <c r="D144" s="33"/>
      <c r="E144" s="33"/>
      <c r="F144" s="33"/>
      <c r="G144" s="33"/>
      <c r="H144" s="33"/>
      <c r="I144" s="33"/>
      <c r="J144" s="33"/>
      <c r="K144" s="33"/>
      <c r="L144" s="34"/>
      <c r="M144" s="34"/>
      <c r="N144" s="34"/>
      <c r="O144" s="34"/>
      <c r="P144" s="33"/>
      <c r="Q144" s="35"/>
      <c r="R144" s="33"/>
      <c r="S144" s="33"/>
      <c r="T144" s="33"/>
      <c r="U144" s="33"/>
      <c r="V144" s="33"/>
      <c r="W144" s="33"/>
    </row>
    <row r="145" customFormat="false" ht="15" hidden="false" customHeight="false" outlineLevel="0" collapsed="false">
      <c r="A145" s="33"/>
      <c r="B145" s="33"/>
      <c r="C145" s="33"/>
      <c r="D145" s="33"/>
      <c r="E145" s="33"/>
      <c r="F145" s="33"/>
      <c r="G145" s="33"/>
      <c r="H145" s="33"/>
      <c r="I145" s="33"/>
      <c r="J145" s="33"/>
      <c r="K145" s="33"/>
      <c r="L145" s="34"/>
      <c r="M145" s="34"/>
      <c r="N145" s="34"/>
      <c r="O145" s="34"/>
      <c r="P145" s="33"/>
      <c r="Q145" s="35"/>
      <c r="R145" s="33"/>
      <c r="S145" s="33"/>
      <c r="T145" s="33"/>
      <c r="U145" s="33"/>
      <c r="V145" s="33"/>
      <c r="W145" s="33"/>
    </row>
    <row r="146" customFormat="false" ht="15" hidden="false" customHeight="false" outlineLevel="0" collapsed="false">
      <c r="A146" s="33"/>
      <c r="B146" s="33"/>
      <c r="C146" s="33"/>
      <c r="D146" s="33"/>
      <c r="E146" s="33"/>
      <c r="F146" s="33"/>
      <c r="G146" s="33"/>
      <c r="H146" s="33"/>
      <c r="I146" s="33"/>
      <c r="J146" s="33"/>
      <c r="K146" s="33"/>
      <c r="L146" s="34"/>
      <c r="M146" s="34"/>
      <c r="N146" s="34"/>
      <c r="O146" s="34"/>
      <c r="P146" s="33"/>
      <c r="Q146" s="35"/>
      <c r="R146" s="33"/>
      <c r="S146" s="33"/>
      <c r="T146" s="33"/>
      <c r="U146" s="33"/>
      <c r="V146" s="33"/>
      <c r="W146" s="33"/>
    </row>
    <row r="147" customFormat="false" ht="15" hidden="false" customHeight="false" outlineLevel="0" collapsed="false">
      <c r="A147" s="33"/>
      <c r="B147" s="33"/>
      <c r="C147" s="33"/>
      <c r="D147" s="33"/>
      <c r="E147" s="33"/>
      <c r="F147" s="33"/>
      <c r="G147" s="33"/>
      <c r="H147" s="33"/>
      <c r="I147" s="33"/>
      <c r="J147" s="33"/>
      <c r="K147" s="33"/>
      <c r="L147" s="34"/>
      <c r="M147" s="34"/>
      <c r="N147" s="34"/>
      <c r="O147" s="34"/>
      <c r="P147" s="33"/>
      <c r="Q147" s="35"/>
      <c r="R147" s="33"/>
      <c r="S147" s="33"/>
      <c r="T147" s="33"/>
      <c r="U147" s="33"/>
      <c r="V147" s="33"/>
      <c r="W147" s="33"/>
    </row>
    <row r="148" customFormat="false" ht="15" hidden="false" customHeight="false" outlineLevel="0" collapsed="false">
      <c r="A148" s="33"/>
      <c r="B148" s="33"/>
      <c r="C148" s="33"/>
      <c r="D148" s="33"/>
      <c r="E148" s="33"/>
      <c r="F148" s="33"/>
      <c r="G148" s="33"/>
      <c r="H148" s="33"/>
      <c r="I148" s="33"/>
      <c r="J148" s="33"/>
      <c r="K148" s="33"/>
      <c r="L148" s="34"/>
      <c r="M148" s="34"/>
      <c r="N148" s="34"/>
      <c r="O148" s="34"/>
      <c r="P148" s="33"/>
      <c r="Q148" s="35"/>
      <c r="R148" s="33"/>
      <c r="S148" s="33"/>
      <c r="T148" s="33"/>
      <c r="U148" s="33"/>
      <c r="V148" s="33"/>
      <c r="W148" s="33"/>
    </row>
    <row r="149" customFormat="false" ht="15" hidden="false" customHeight="false" outlineLevel="0" collapsed="false">
      <c r="A149" s="33"/>
      <c r="B149" s="33"/>
      <c r="C149" s="33"/>
      <c r="D149" s="33"/>
      <c r="E149" s="33"/>
      <c r="F149" s="33"/>
      <c r="G149" s="33"/>
      <c r="H149" s="33"/>
      <c r="I149" s="33"/>
      <c r="J149" s="33"/>
      <c r="K149" s="33"/>
      <c r="L149" s="34"/>
      <c r="M149" s="34"/>
      <c r="N149" s="34"/>
      <c r="O149" s="34"/>
      <c r="P149" s="33"/>
      <c r="Q149" s="35"/>
      <c r="R149" s="33"/>
      <c r="S149" s="33"/>
      <c r="T149" s="33"/>
      <c r="U149" s="33"/>
      <c r="V149" s="33"/>
      <c r="W149" s="33"/>
    </row>
    <row r="150" customFormat="false" ht="15" hidden="false" customHeight="false" outlineLevel="0" collapsed="false">
      <c r="A150" s="33"/>
      <c r="B150" s="33"/>
      <c r="C150" s="33"/>
      <c r="D150" s="33"/>
      <c r="E150" s="33"/>
      <c r="F150" s="33"/>
      <c r="G150" s="33"/>
      <c r="H150" s="33"/>
      <c r="I150" s="33"/>
      <c r="J150" s="33"/>
      <c r="K150" s="33"/>
      <c r="L150" s="34"/>
      <c r="M150" s="34"/>
      <c r="N150" s="34"/>
      <c r="O150" s="34"/>
      <c r="P150" s="33"/>
      <c r="Q150" s="35"/>
      <c r="R150" s="33"/>
      <c r="S150" s="33"/>
      <c r="T150" s="33"/>
      <c r="U150" s="33"/>
      <c r="V150" s="33"/>
      <c r="W150" s="33"/>
    </row>
    <row r="151" customFormat="false" ht="15" hidden="false" customHeight="false" outlineLevel="0" collapsed="false">
      <c r="A151" s="33"/>
      <c r="B151" s="33"/>
      <c r="C151" s="33"/>
      <c r="D151" s="33"/>
      <c r="E151" s="33"/>
      <c r="F151" s="33"/>
      <c r="G151" s="33"/>
      <c r="H151" s="33"/>
      <c r="I151" s="33"/>
      <c r="J151" s="33"/>
      <c r="K151" s="33"/>
      <c r="L151" s="34"/>
      <c r="M151" s="34"/>
      <c r="N151" s="34"/>
      <c r="O151" s="34"/>
      <c r="P151" s="33"/>
      <c r="Q151" s="35"/>
      <c r="R151" s="33"/>
      <c r="S151" s="33"/>
      <c r="T151" s="33"/>
      <c r="U151" s="33"/>
      <c r="V151" s="33"/>
      <c r="W151" s="33"/>
    </row>
    <row r="152" customFormat="false" ht="15" hidden="false" customHeight="false" outlineLevel="0" collapsed="false">
      <c r="A152" s="33"/>
      <c r="B152" s="33"/>
      <c r="C152" s="33"/>
      <c r="D152" s="33"/>
      <c r="E152" s="33"/>
      <c r="F152" s="33"/>
      <c r="G152" s="33"/>
      <c r="H152" s="33"/>
      <c r="I152" s="33"/>
      <c r="J152" s="33"/>
      <c r="K152" s="33"/>
      <c r="L152" s="34"/>
      <c r="M152" s="34"/>
      <c r="N152" s="34"/>
      <c r="O152" s="34"/>
      <c r="P152" s="33"/>
      <c r="Q152" s="35"/>
      <c r="R152" s="33"/>
      <c r="S152" s="33"/>
      <c r="T152" s="33"/>
      <c r="U152" s="33"/>
      <c r="V152" s="33"/>
      <c r="W152" s="33"/>
    </row>
    <row r="153" customFormat="false" ht="15" hidden="false" customHeight="false" outlineLevel="0" collapsed="false">
      <c r="A153" s="33"/>
      <c r="B153" s="33"/>
      <c r="C153" s="33"/>
      <c r="D153" s="33"/>
      <c r="E153" s="33"/>
      <c r="F153" s="33"/>
      <c r="G153" s="33"/>
      <c r="H153" s="33"/>
      <c r="I153" s="33"/>
      <c r="J153" s="33"/>
      <c r="K153" s="33"/>
      <c r="L153" s="34"/>
      <c r="M153" s="34"/>
      <c r="N153" s="34"/>
      <c r="O153" s="34"/>
      <c r="P153" s="33"/>
      <c r="Q153" s="35"/>
      <c r="R153" s="33"/>
      <c r="S153" s="33"/>
      <c r="T153" s="33"/>
      <c r="U153" s="33"/>
      <c r="V153" s="33"/>
      <c r="W153" s="33"/>
    </row>
    <row r="154" customFormat="false" ht="15" hidden="false" customHeight="false" outlineLevel="0" collapsed="false">
      <c r="A154" s="33"/>
      <c r="B154" s="33"/>
      <c r="C154" s="33"/>
      <c r="D154" s="33"/>
      <c r="E154" s="33"/>
      <c r="F154" s="33"/>
      <c r="G154" s="33"/>
      <c r="H154" s="33"/>
      <c r="I154" s="33"/>
      <c r="J154" s="33"/>
      <c r="K154" s="33"/>
      <c r="L154" s="34"/>
      <c r="M154" s="34"/>
      <c r="N154" s="34"/>
      <c r="O154" s="34"/>
      <c r="P154" s="33"/>
      <c r="Q154" s="35"/>
      <c r="R154" s="33"/>
      <c r="S154" s="33"/>
      <c r="T154" s="33"/>
      <c r="U154" s="33"/>
      <c r="V154" s="33"/>
      <c r="W154" s="33"/>
    </row>
    <row r="155" customFormat="false" ht="15" hidden="false" customHeight="false" outlineLevel="0" collapsed="false">
      <c r="A155" s="33"/>
      <c r="B155" s="33"/>
      <c r="C155" s="33"/>
      <c r="D155" s="33"/>
      <c r="E155" s="33"/>
      <c r="F155" s="33"/>
      <c r="G155" s="33"/>
      <c r="H155" s="33"/>
      <c r="I155" s="33"/>
      <c r="J155" s="33"/>
      <c r="K155" s="33"/>
      <c r="L155" s="34"/>
      <c r="M155" s="34"/>
      <c r="N155" s="34"/>
      <c r="O155" s="34"/>
      <c r="P155" s="33"/>
      <c r="Q155" s="35"/>
      <c r="R155" s="33"/>
      <c r="S155" s="33"/>
      <c r="T155" s="33"/>
      <c r="U155" s="33"/>
      <c r="V155" s="33"/>
      <c r="W155" s="33"/>
    </row>
    <row r="156" customFormat="false" ht="15" hidden="false" customHeight="false" outlineLevel="0" collapsed="false">
      <c r="A156" s="33"/>
      <c r="B156" s="33"/>
      <c r="C156" s="33"/>
      <c r="D156" s="33"/>
      <c r="E156" s="33"/>
      <c r="F156" s="33"/>
      <c r="G156" s="33"/>
      <c r="H156" s="33"/>
      <c r="I156" s="33"/>
      <c r="J156" s="33"/>
      <c r="K156" s="33"/>
      <c r="L156" s="34"/>
      <c r="M156" s="34"/>
      <c r="N156" s="34"/>
      <c r="O156" s="34"/>
      <c r="P156" s="33"/>
      <c r="Q156" s="35"/>
      <c r="R156" s="33"/>
      <c r="S156" s="33"/>
      <c r="T156" s="33"/>
      <c r="U156" s="33"/>
      <c r="V156" s="33"/>
      <c r="W156" s="33"/>
    </row>
    <row r="157" customFormat="false" ht="15" hidden="false" customHeight="false" outlineLevel="0" collapsed="false">
      <c r="A157" s="33"/>
      <c r="B157" s="33"/>
      <c r="C157" s="33"/>
      <c r="D157" s="33"/>
      <c r="E157" s="33"/>
      <c r="F157" s="33"/>
      <c r="G157" s="33"/>
      <c r="H157" s="33"/>
      <c r="I157" s="33"/>
      <c r="J157" s="33"/>
      <c r="K157" s="33"/>
      <c r="L157" s="34"/>
      <c r="M157" s="34"/>
      <c r="N157" s="34"/>
      <c r="O157" s="34"/>
      <c r="P157" s="33"/>
      <c r="Q157" s="35"/>
      <c r="R157" s="33"/>
      <c r="S157" s="33"/>
      <c r="T157" s="33"/>
      <c r="U157" s="33"/>
      <c r="V157" s="33"/>
      <c r="W157" s="33"/>
    </row>
    <row r="158" customFormat="false" ht="15" hidden="false" customHeight="false" outlineLevel="0" collapsed="false">
      <c r="A158" s="33"/>
      <c r="B158" s="33"/>
      <c r="C158" s="33"/>
      <c r="D158" s="33"/>
      <c r="E158" s="33"/>
      <c r="F158" s="33"/>
      <c r="G158" s="33"/>
      <c r="H158" s="33"/>
      <c r="I158" s="33"/>
      <c r="J158" s="33"/>
      <c r="K158" s="33"/>
      <c r="L158" s="34"/>
      <c r="M158" s="34"/>
      <c r="N158" s="34"/>
      <c r="O158" s="34"/>
      <c r="P158" s="33"/>
      <c r="Q158" s="35"/>
      <c r="R158" s="33"/>
      <c r="S158" s="33"/>
      <c r="T158" s="33"/>
      <c r="U158" s="33"/>
      <c r="V158" s="33"/>
      <c r="W158" s="33"/>
    </row>
    <row r="159" customFormat="false" ht="15" hidden="false" customHeight="false" outlineLevel="0" collapsed="false">
      <c r="A159" s="33"/>
      <c r="B159" s="33"/>
      <c r="C159" s="33"/>
      <c r="D159" s="33"/>
      <c r="E159" s="33"/>
      <c r="F159" s="33"/>
      <c r="G159" s="33"/>
      <c r="H159" s="33"/>
      <c r="I159" s="33"/>
      <c r="J159" s="33"/>
      <c r="K159" s="33"/>
      <c r="L159" s="34"/>
      <c r="M159" s="34"/>
      <c r="N159" s="34"/>
      <c r="O159" s="34"/>
      <c r="P159" s="33"/>
      <c r="Q159" s="35"/>
      <c r="R159" s="33"/>
      <c r="S159" s="33"/>
      <c r="T159" s="33"/>
      <c r="U159" s="33"/>
      <c r="V159" s="33"/>
      <c r="W159" s="33"/>
    </row>
    <row r="160" customFormat="false" ht="15" hidden="false" customHeight="false" outlineLevel="0" collapsed="false">
      <c r="A160" s="33"/>
      <c r="B160" s="33"/>
      <c r="C160" s="33"/>
      <c r="D160" s="33"/>
      <c r="E160" s="33"/>
      <c r="F160" s="33"/>
      <c r="G160" s="33"/>
      <c r="H160" s="33"/>
      <c r="I160" s="33"/>
      <c r="J160" s="33"/>
      <c r="K160" s="33"/>
      <c r="L160" s="34"/>
      <c r="M160" s="34"/>
      <c r="N160" s="34"/>
      <c r="O160" s="34"/>
      <c r="P160" s="33"/>
      <c r="Q160" s="35"/>
      <c r="R160" s="33"/>
      <c r="S160" s="33"/>
      <c r="T160" s="33"/>
      <c r="U160" s="33"/>
      <c r="V160" s="33"/>
      <c r="W160" s="33"/>
    </row>
    <row r="161" customFormat="false" ht="15" hidden="false" customHeight="false" outlineLevel="0" collapsed="false">
      <c r="A161" s="33"/>
      <c r="B161" s="33"/>
      <c r="C161" s="33"/>
      <c r="D161" s="33"/>
      <c r="E161" s="33"/>
      <c r="F161" s="33"/>
      <c r="G161" s="33"/>
      <c r="H161" s="33"/>
      <c r="I161" s="33"/>
      <c r="J161" s="33"/>
      <c r="K161" s="33"/>
      <c r="L161" s="34"/>
      <c r="M161" s="34"/>
      <c r="N161" s="34"/>
      <c r="O161" s="34"/>
      <c r="P161" s="33"/>
      <c r="Q161" s="35"/>
      <c r="R161" s="33"/>
      <c r="S161" s="33"/>
      <c r="T161" s="33"/>
      <c r="U161" s="33"/>
      <c r="V161" s="33"/>
      <c r="W161" s="33"/>
    </row>
    <row r="162" customFormat="false" ht="15" hidden="false" customHeight="false" outlineLevel="0" collapsed="false">
      <c r="A162" s="33"/>
      <c r="B162" s="33"/>
      <c r="C162" s="33"/>
      <c r="D162" s="33"/>
      <c r="E162" s="33"/>
      <c r="F162" s="33"/>
      <c r="G162" s="33"/>
      <c r="H162" s="33"/>
      <c r="I162" s="33"/>
      <c r="J162" s="33"/>
      <c r="K162" s="33"/>
      <c r="L162" s="34"/>
      <c r="M162" s="34"/>
      <c r="N162" s="34"/>
      <c r="O162" s="34"/>
      <c r="P162" s="33"/>
      <c r="Q162" s="35"/>
      <c r="R162" s="33"/>
      <c r="S162" s="33"/>
      <c r="T162" s="33"/>
      <c r="U162" s="33"/>
      <c r="V162" s="33"/>
      <c r="W162" s="33"/>
    </row>
    <row r="163" customFormat="false" ht="15" hidden="false" customHeight="false" outlineLevel="0" collapsed="false">
      <c r="A163" s="33"/>
      <c r="B163" s="33"/>
      <c r="C163" s="33"/>
      <c r="D163" s="33"/>
      <c r="E163" s="33"/>
      <c r="F163" s="33"/>
      <c r="G163" s="33"/>
      <c r="H163" s="33"/>
      <c r="I163" s="33"/>
      <c r="J163" s="33"/>
      <c r="K163" s="33"/>
      <c r="L163" s="34"/>
      <c r="M163" s="34"/>
      <c r="N163" s="34"/>
      <c r="O163" s="34"/>
      <c r="P163" s="33"/>
      <c r="Q163" s="35"/>
      <c r="R163" s="33"/>
      <c r="S163" s="33"/>
      <c r="T163" s="33"/>
      <c r="U163" s="33"/>
      <c r="V163" s="33"/>
      <c r="W163" s="33"/>
    </row>
    <row r="164" customFormat="false" ht="15" hidden="false" customHeight="false" outlineLevel="0" collapsed="false">
      <c r="A164" s="33"/>
      <c r="B164" s="33"/>
      <c r="C164" s="33"/>
      <c r="D164" s="33"/>
      <c r="E164" s="33"/>
      <c r="F164" s="33"/>
      <c r="G164" s="33"/>
      <c r="H164" s="33"/>
      <c r="I164" s="33"/>
      <c r="J164" s="33"/>
      <c r="K164" s="33"/>
      <c r="L164" s="34"/>
      <c r="M164" s="34"/>
      <c r="N164" s="34"/>
      <c r="O164" s="34"/>
      <c r="P164" s="33"/>
      <c r="Q164" s="35"/>
      <c r="R164" s="33"/>
      <c r="S164" s="33"/>
      <c r="T164" s="33"/>
      <c r="U164" s="33"/>
      <c r="V164" s="33"/>
      <c r="W164" s="33"/>
    </row>
    <row r="165" customFormat="false" ht="15" hidden="false" customHeight="false" outlineLevel="0" collapsed="false">
      <c r="A165" s="33"/>
      <c r="B165" s="33"/>
      <c r="C165" s="33"/>
      <c r="D165" s="33"/>
      <c r="E165" s="33"/>
      <c r="F165" s="33"/>
      <c r="G165" s="33"/>
      <c r="H165" s="33"/>
      <c r="I165" s="33"/>
      <c r="J165" s="33"/>
      <c r="K165" s="33"/>
      <c r="L165" s="34"/>
      <c r="M165" s="34"/>
      <c r="N165" s="34"/>
      <c r="O165" s="34"/>
      <c r="P165" s="33"/>
      <c r="Q165" s="35"/>
      <c r="R165" s="33"/>
      <c r="S165" s="33"/>
      <c r="T165" s="33"/>
      <c r="U165" s="33"/>
      <c r="V165" s="33"/>
      <c r="W165" s="33"/>
    </row>
    <row r="166" customFormat="false" ht="15" hidden="false" customHeight="false" outlineLevel="0" collapsed="false">
      <c r="A166" s="33"/>
      <c r="B166" s="33"/>
      <c r="C166" s="33"/>
      <c r="D166" s="33"/>
      <c r="E166" s="33"/>
      <c r="F166" s="33"/>
      <c r="G166" s="33"/>
      <c r="H166" s="33"/>
      <c r="I166" s="33"/>
      <c r="J166" s="33"/>
      <c r="K166" s="33"/>
      <c r="L166" s="34"/>
      <c r="M166" s="34"/>
      <c r="N166" s="34"/>
      <c r="O166" s="34"/>
      <c r="P166" s="33"/>
      <c r="Q166" s="35"/>
      <c r="R166" s="33"/>
      <c r="S166" s="33"/>
      <c r="T166" s="33"/>
      <c r="U166" s="33"/>
      <c r="V166" s="33"/>
      <c r="W166" s="33"/>
    </row>
    <row r="167" customFormat="false" ht="15" hidden="false" customHeight="false" outlineLevel="0" collapsed="false">
      <c r="A167" s="33"/>
      <c r="B167" s="33"/>
      <c r="C167" s="33"/>
      <c r="D167" s="33"/>
      <c r="E167" s="33"/>
      <c r="F167" s="33"/>
      <c r="G167" s="33"/>
      <c r="H167" s="33"/>
      <c r="I167" s="33"/>
      <c r="J167" s="33"/>
      <c r="K167" s="33"/>
      <c r="L167" s="34"/>
      <c r="M167" s="34"/>
      <c r="N167" s="34"/>
      <c r="O167" s="34"/>
      <c r="P167" s="33"/>
      <c r="Q167" s="35"/>
      <c r="R167" s="33"/>
      <c r="S167" s="33"/>
      <c r="T167" s="33"/>
      <c r="U167" s="33"/>
      <c r="V167" s="33"/>
      <c r="W167" s="33"/>
    </row>
    <row r="168" customFormat="false" ht="15" hidden="false" customHeight="false" outlineLevel="0" collapsed="false">
      <c r="A168" s="33"/>
      <c r="B168" s="33"/>
      <c r="C168" s="33"/>
      <c r="D168" s="33"/>
      <c r="E168" s="33"/>
      <c r="F168" s="33"/>
      <c r="G168" s="33"/>
      <c r="H168" s="33"/>
      <c r="I168" s="33"/>
      <c r="J168" s="33"/>
      <c r="K168" s="33"/>
      <c r="L168" s="34"/>
      <c r="M168" s="34"/>
      <c r="N168" s="34"/>
      <c r="O168" s="34"/>
      <c r="P168" s="33"/>
      <c r="Q168" s="35"/>
      <c r="R168" s="33"/>
      <c r="S168" s="33"/>
      <c r="T168" s="33"/>
      <c r="U168" s="33"/>
      <c r="V168" s="33"/>
      <c r="W168" s="33"/>
    </row>
    <row r="169" customFormat="false" ht="15" hidden="false" customHeight="false" outlineLevel="0" collapsed="false">
      <c r="A169" s="33"/>
      <c r="B169" s="33"/>
      <c r="C169" s="33"/>
      <c r="D169" s="33"/>
      <c r="E169" s="33"/>
      <c r="F169" s="33"/>
      <c r="G169" s="33"/>
      <c r="H169" s="33"/>
      <c r="I169" s="33"/>
      <c r="J169" s="33"/>
      <c r="K169" s="33"/>
      <c r="L169" s="34"/>
      <c r="M169" s="34"/>
      <c r="N169" s="34"/>
      <c r="O169" s="34"/>
      <c r="P169" s="33"/>
      <c r="Q169" s="35"/>
      <c r="R169" s="33"/>
      <c r="S169" s="33"/>
      <c r="T169" s="33"/>
      <c r="U169" s="33"/>
      <c r="V169" s="33"/>
      <c r="W169" s="33"/>
    </row>
    <row r="170" customFormat="false" ht="15" hidden="false" customHeight="false" outlineLevel="0" collapsed="false">
      <c r="A170" s="33"/>
      <c r="B170" s="33"/>
      <c r="C170" s="33"/>
      <c r="D170" s="33"/>
      <c r="E170" s="33"/>
      <c r="F170" s="33"/>
      <c r="G170" s="33"/>
      <c r="H170" s="33"/>
      <c r="I170" s="33"/>
      <c r="J170" s="33"/>
      <c r="K170" s="33"/>
      <c r="L170" s="34"/>
      <c r="M170" s="34"/>
      <c r="N170" s="34"/>
      <c r="O170" s="34"/>
      <c r="P170" s="33"/>
      <c r="Q170" s="35"/>
      <c r="R170" s="33"/>
      <c r="S170" s="33"/>
      <c r="T170" s="33"/>
      <c r="U170" s="33"/>
      <c r="V170" s="33"/>
      <c r="W170" s="33"/>
    </row>
    <row r="171" customFormat="false" ht="15" hidden="false" customHeight="false" outlineLevel="0" collapsed="false">
      <c r="A171" s="33"/>
      <c r="B171" s="33"/>
      <c r="C171" s="33"/>
      <c r="D171" s="33"/>
      <c r="E171" s="33"/>
      <c r="F171" s="33"/>
      <c r="G171" s="33"/>
      <c r="H171" s="33"/>
      <c r="I171" s="33"/>
      <c r="J171" s="33"/>
      <c r="K171" s="33"/>
      <c r="L171" s="34"/>
      <c r="M171" s="34"/>
      <c r="N171" s="34"/>
      <c r="O171" s="34"/>
      <c r="P171" s="33"/>
      <c r="Q171" s="35"/>
      <c r="R171" s="33"/>
      <c r="S171" s="33"/>
      <c r="T171" s="33"/>
      <c r="U171" s="33"/>
      <c r="V171" s="33"/>
      <c r="W171" s="33"/>
    </row>
    <row r="172" customFormat="false" ht="15" hidden="false" customHeight="false" outlineLevel="0" collapsed="false">
      <c r="A172" s="33"/>
      <c r="B172" s="33"/>
      <c r="C172" s="33"/>
      <c r="D172" s="33"/>
      <c r="E172" s="33"/>
      <c r="F172" s="33"/>
      <c r="G172" s="33"/>
      <c r="H172" s="33"/>
      <c r="I172" s="33"/>
      <c r="J172" s="33"/>
      <c r="K172" s="33"/>
      <c r="L172" s="34"/>
      <c r="M172" s="34"/>
      <c r="N172" s="34"/>
      <c r="O172" s="34"/>
      <c r="P172" s="33"/>
      <c r="Q172" s="35"/>
      <c r="R172" s="33"/>
      <c r="S172" s="33"/>
      <c r="T172" s="33"/>
      <c r="U172" s="33"/>
      <c r="V172" s="33"/>
      <c r="W172" s="33"/>
    </row>
    <row r="173" customFormat="false" ht="15" hidden="false" customHeight="false" outlineLevel="0" collapsed="false">
      <c r="A173" s="33"/>
      <c r="B173" s="33"/>
      <c r="C173" s="33"/>
      <c r="D173" s="33"/>
      <c r="E173" s="33"/>
      <c r="F173" s="33"/>
      <c r="G173" s="33"/>
      <c r="H173" s="33"/>
      <c r="I173" s="33"/>
      <c r="J173" s="33"/>
      <c r="K173" s="33"/>
      <c r="L173" s="34"/>
      <c r="M173" s="34"/>
      <c r="N173" s="34"/>
      <c r="O173" s="34"/>
      <c r="P173" s="33"/>
      <c r="Q173" s="35"/>
      <c r="R173" s="33"/>
      <c r="S173" s="33"/>
      <c r="T173" s="33"/>
      <c r="U173" s="33"/>
      <c r="V173" s="33"/>
      <c r="W173" s="33"/>
    </row>
    <row r="174" customFormat="false" ht="15" hidden="false" customHeight="false" outlineLevel="0" collapsed="false">
      <c r="A174" s="33"/>
      <c r="B174" s="33"/>
      <c r="C174" s="33"/>
      <c r="D174" s="33"/>
      <c r="E174" s="33"/>
      <c r="F174" s="33"/>
      <c r="G174" s="33"/>
      <c r="H174" s="33"/>
      <c r="I174" s="33"/>
      <c r="J174" s="33"/>
      <c r="K174" s="33"/>
      <c r="L174" s="34"/>
      <c r="M174" s="34"/>
      <c r="N174" s="34"/>
      <c r="O174" s="34"/>
      <c r="P174" s="33"/>
      <c r="Q174" s="35"/>
      <c r="R174" s="33"/>
      <c r="S174" s="33"/>
      <c r="T174" s="33"/>
      <c r="U174" s="33"/>
      <c r="V174" s="33"/>
      <c r="W174" s="33"/>
    </row>
    <row r="175" customFormat="false" ht="15" hidden="false" customHeight="false" outlineLevel="0" collapsed="false">
      <c r="A175" s="33"/>
      <c r="B175" s="33"/>
      <c r="C175" s="33"/>
      <c r="D175" s="33"/>
      <c r="E175" s="33"/>
      <c r="F175" s="33"/>
      <c r="G175" s="33"/>
      <c r="H175" s="33"/>
      <c r="I175" s="33"/>
      <c r="J175" s="33"/>
      <c r="K175" s="33"/>
      <c r="L175" s="34"/>
      <c r="M175" s="34"/>
      <c r="N175" s="34"/>
      <c r="O175" s="34"/>
      <c r="P175" s="33"/>
      <c r="Q175" s="35"/>
      <c r="R175" s="33"/>
      <c r="S175" s="33"/>
      <c r="T175" s="33"/>
      <c r="U175" s="33"/>
      <c r="V175" s="33"/>
      <c r="W175" s="33"/>
    </row>
    <row r="176" customFormat="false" ht="15" hidden="false" customHeight="false" outlineLevel="0" collapsed="false">
      <c r="A176" s="33"/>
      <c r="B176" s="33"/>
      <c r="C176" s="33"/>
      <c r="D176" s="33"/>
      <c r="E176" s="33"/>
      <c r="F176" s="33"/>
      <c r="G176" s="33"/>
      <c r="H176" s="33"/>
      <c r="I176" s="33"/>
      <c r="J176" s="33"/>
      <c r="K176" s="33"/>
      <c r="L176" s="34"/>
      <c r="M176" s="34"/>
      <c r="N176" s="34"/>
      <c r="O176" s="34"/>
      <c r="P176" s="33"/>
      <c r="Q176" s="35"/>
      <c r="R176" s="33"/>
      <c r="S176" s="33"/>
      <c r="T176" s="33"/>
      <c r="U176" s="33"/>
      <c r="V176" s="33"/>
      <c r="W176" s="33"/>
    </row>
    <row r="177" customFormat="false" ht="15" hidden="false" customHeight="false" outlineLevel="0" collapsed="false">
      <c r="A177" s="33"/>
      <c r="B177" s="33"/>
      <c r="C177" s="33"/>
      <c r="D177" s="33"/>
      <c r="E177" s="33"/>
      <c r="F177" s="33"/>
      <c r="G177" s="33"/>
      <c r="H177" s="33"/>
      <c r="I177" s="33"/>
      <c r="J177" s="33"/>
      <c r="K177" s="33"/>
      <c r="L177" s="34"/>
      <c r="M177" s="34"/>
      <c r="N177" s="34"/>
      <c r="O177" s="34"/>
      <c r="P177" s="33"/>
      <c r="Q177" s="35"/>
      <c r="R177" s="33"/>
      <c r="S177" s="33"/>
      <c r="T177" s="33"/>
      <c r="U177" s="33"/>
      <c r="V177" s="33"/>
      <c r="W177" s="33"/>
    </row>
    <row r="178" customFormat="false" ht="15" hidden="false" customHeight="false" outlineLevel="0" collapsed="false">
      <c r="A178" s="33"/>
      <c r="B178" s="33"/>
      <c r="C178" s="33"/>
      <c r="D178" s="33"/>
      <c r="E178" s="33"/>
      <c r="F178" s="33"/>
      <c r="G178" s="33"/>
      <c r="H178" s="33"/>
      <c r="I178" s="33"/>
      <c r="J178" s="33"/>
      <c r="K178" s="33"/>
      <c r="L178" s="34"/>
      <c r="M178" s="34"/>
      <c r="N178" s="34"/>
      <c r="O178" s="34"/>
      <c r="P178" s="33"/>
      <c r="Q178" s="35"/>
      <c r="R178" s="33"/>
      <c r="S178" s="33"/>
      <c r="T178" s="33"/>
      <c r="U178" s="33"/>
      <c r="V178" s="33"/>
      <c r="W178" s="33"/>
    </row>
    <row r="179" customFormat="false" ht="15" hidden="false" customHeight="false" outlineLevel="0" collapsed="false">
      <c r="A179" s="33"/>
      <c r="B179" s="33"/>
      <c r="C179" s="33"/>
      <c r="D179" s="33"/>
      <c r="E179" s="33"/>
      <c r="F179" s="33"/>
      <c r="G179" s="33"/>
      <c r="H179" s="33"/>
      <c r="I179" s="33"/>
      <c r="J179" s="33"/>
      <c r="K179" s="33"/>
      <c r="L179" s="34"/>
      <c r="M179" s="34"/>
      <c r="N179" s="34"/>
      <c r="O179" s="34"/>
      <c r="P179" s="33"/>
      <c r="Q179" s="35"/>
      <c r="R179" s="33"/>
      <c r="S179" s="33"/>
      <c r="T179" s="33"/>
      <c r="U179" s="33"/>
      <c r="V179" s="33"/>
      <c r="W179" s="33"/>
    </row>
    <row r="180" customFormat="false" ht="15" hidden="false" customHeight="false" outlineLevel="0" collapsed="false">
      <c r="A180" s="33"/>
      <c r="B180" s="33"/>
      <c r="C180" s="33"/>
      <c r="D180" s="33"/>
      <c r="E180" s="33"/>
      <c r="F180" s="33"/>
      <c r="G180" s="33"/>
      <c r="H180" s="33"/>
      <c r="I180" s="33"/>
      <c r="J180" s="33"/>
      <c r="K180" s="33"/>
      <c r="L180" s="34"/>
      <c r="M180" s="34"/>
      <c r="N180" s="34"/>
      <c r="O180" s="34"/>
      <c r="P180" s="33"/>
      <c r="Q180" s="35"/>
      <c r="R180" s="33"/>
      <c r="S180" s="33"/>
      <c r="T180" s="33"/>
      <c r="U180" s="33"/>
      <c r="V180" s="33"/>
      <c r="W180" s="33"/>
    </row>
    <row r="181" customFormat="false" ht="15" hidden="false" customHeight="false" outlineLevel="0" collapsed="false">
      <c r="A181" s="33"/>
      <c r="B181" s="33"/>
      <c r="C181" s="33"/>
      <c r="D181" s="33"/>
      <c r="E181" s="33"/>
      <c r="F181" s="33"/>
      <c r="G181" s="33"/>
      <c r="H181" s="33"/>
      <c r="I181" s="33"/>
      <c r="J181" s="33"/>
      <c r="K181" s="33"/>
      <c r="L181" s="34"/>
      <c r="M181" s="34"/>
      <c r="N181" s="34"/>
      <c r="O181" s="34"/>
      <c r="P181" s="33"/>
      <c r="Q181" s="35"/>
      <c r="R181" s="33"/>
      <c r="S181" s="33"/>
      <c r="T181" s="33"/>
      <c r="U181" s="33"/>
      <c r="V181" s="33"/>
      <c r="W181" s="33"/>
    </row>
    <row r="182" customFormat="false" ht="15" hidden="false" customHeight="false" outlineLevel="0" collapsed="false">
      <c r="A182" s="33"/>
      <c r="B182" s="33"/>
      <c r="C182" s="33"/>
      <c r="D182" s="33"/>
      <c r="E182" s="33"/>
      <c r="F182" s="33"/>
      <c r="G182" s="33"/>
      <c r="H182" s="33"/>
      <c r="I182" s="33"/>
      <c r="J182" s="33"/>
      <c r="K182" s="33"/>
      <c r="L182" s="34"/>
      <c r="M182" s="34"/>
      <c r="N182" s="34"/>
      <c r="O182" s="34"/>
      <c r="P182" s="33"/>
      <c r="Q182" s="35"/>
      <c r="R182" s="33"/>
      <c r="S182" s="33"/>
      <c r="T182" s="33"/>
      <c r="U182" s="33"/>
      <c r="V182" s="33"/>
      <c r="W182" s="33"/>
    </row>
    <row r="183" customFormat="false" ht="15" hidden="false" customHeight="false" outlineLevel="0" collapsed="false">
      <c r="A183" s="33"/>
      <c r="B183" s="33"/>
      <c r="C183" s="33"/>
      <c r="D183" s="33"/>
      <c r="E183" s="33"/>
      <c r="F183" s="33"/>
      <c r="G183" s="33"/>
      <c r="H183" s="33"/>
      <c r="I183" s="33"/>
      <c r="J183" s="33"/>
      <c r="K183" s="33"/>
      <c r="L183" s="34"/>
      <c r="M183" s="34"/>
      <c r="N183" s="34"/>
      <c r="O183" s="34"/>
      <c r="P183" s="33"/>
      <c r="Q183" s="35"/>
      <c r="R183" s="33"/>
      <c r="S183" s="33"/>
      <c r="T183" s="33"/>
      <c r="U183" s="33"/>
      <c r="V183" s="33"/>
      <c r="W183" s="33"/>
    </row>
    <row r="184" customFormat="false" ht="15" hidden="false" customHeight="false" outlineLevel="0" collapsed="false">
      <c r="A184" s="33"/>
      <c r="B184" s="33"/>
      <c r="C184" s="33"/>
      <c r="D184" s="33"/>
      <c r="E184" s="33"/>
      <c r="F184" s="33"/>
      <c r="G184" s="33"/>
      <c r="H184" s="33"/>
      <c r="I184" s="33"/>
      <c r="J184" s="33"/>
      <c r="K184" s="33"/>
      <c r="L184" s="34"/>
      <c r="M184" s="34"/>
      <c r="N184" s="34"/>
      <c r="O184" s="34"/>
      <c r="P184" s="33"/>
      <c r="Q184" s="35"/>
      <c r="R184" s="33"/>
      <c r="S184" s="33"/>
      <c r="T184" s="33"/>
      <c r="U184" s="33"/>
      <c r="V184" s="33"/>
      <c r="W184" s="33"/>
    </row>
    <row r="185" customFormat="false" ht="15" hidden="false" customHeight="false" outlineLevel="0" collapsed="false">
      <c r="A185" s="33"/>
      <c r="B185" s="33"/>
      <c r="C185" s="33"/>
      <c r="D185" s="33"/>
      <c r="E185" s="33"/>
      <c r="F185" s="33"/>
      <c r="G185" s="33"/>
      <c r="H185" s="33"/>
      <c r="I185" s="33"/>
      <c r="J185" s="33"/>
      <c r="K185" s="33"/>
      <c r="L185" s="34"/>
      <c r="M185" s="34"/>
      <c r="N185" s="34"/>
      <c r="O185" s="34"/>
      <c r="P185" s="33"/>
      <c r="Q185" s="35"/>
      <c r="R185" s="33"/>
      <c r="S185" s="33"/>
      <c r="T185" s="33"/>
      <c r="U185" s="33"/>
      <c r="V185" s="33"/>
      <c r="W185" s="33"/>
    </row>
    <row r="186" customFormat="false" ht="15" hidden="false" customHeight="false" outlineLevel="0" collapsed="false">
      <c r="A186" s="33"/>
      <c r="B186" s="33"/>
      <c r="C186" s="33"/>
      <c r="D186" s="33"/>
      <c r="E186" s="33"/>
      <c r="F186" s="33"/>
      <c r="G186" s="33"/>
      <c r="H186" s="33"/>
      <c r="I186" s="33"/>
      <c r="J186" s="33"/>
      <c r="K186" s="33"/>
      <c r="L186" s="34"/>
      <c r="M186" s="34"/>
      <c r="N186" s="34"/>
      <c r="O186" s="34"/>
      <c r="P186" s="33"/>
      <c r="Q186" s="35"/>
      <c r="R186" s="33"/>
      <c r="S186" s="33"/>
      <c r="T186" s="33"/>
      <c r="U186" s="33"/>
      <c r="V186" s="33"/>
      <c r="W186" s="33"/>
    </row>
    <row r="187" customFormat="false" ht="15" hidden="false" customHeight="false" outlineLevel="0" collapsed="false">
      <c r="A187" s="33"/>
      <c r="B187" s="33"/>
      <c r="C187" s="33"/>
      <c r="D187" s="33"/>
      <c r="E187" s="33"/>
      <c r="F187" s="33"/>
      <c r="G187" s="33"/>
      <c r="H187" s="33"/>
      <c r="I187" s="33"/>
      <c r="J187" s="33"/>
      <c r="K187" s="33"/>
      <c r="L187" s="34"/>
      <c r="M187" s="34"/>
      <c r="N187" s="34"/>
      <c r="O187" s="34"/>
      <c r="P187" s="33"/>
      <c r="Q187" s="35"/>
      <c r="R187" s="33"/>
      <c r="S187" s="33"/>
      <c r="T187" s="33"/>
      <c r="U187" s="33"/>
      <c r="V187" s="33"/>
      <c r="W187" s="33"/>
    </row>
    <row r="188" customFormat="false" ht="15" hidden="false" customHeight="false" outlineLevel="0" collapsed="false">
      <c r="A188" s="33"/>
      <c r="B188" s="33"/>
      <c r="C188" s="33"/>
      <c r="D188" s="33"/>
      <c r="E188" s="33"/>
      <c r="F188" s="33"/>
      <c r="G188" s="33"/>
      <c r="H188" s="33"/>
      <c r="I188" s="33"/>
      <c r="J188" s="33"/>
      <c r="K188" s="33"/>
      <c r="L188" s="34"/>
      <c r="M188" s="34"/>
      <c r="N188" s="34"/>
      <c r="O188" s="34"/>
      <c r="P188" s="33"/>
      <c r="Q188" s="35"/>
      <c r="R188" s="33"/>
      <c r="S188" s="33"/>
      <c r="T188" s="33"/>
      <c r="U188" s="33"/>
      <c r="V188" s="33"/>
      <c r="W188" s="33"/>
    </row>
    <row r="189" customFormat="false" ht="15" hidden="false" customHeight="false" outlineLevel="0" collapsed="false">
      <c r="A189" s="33"/>
      <c r="B189" s="33"/>
      <c r="C189" s="33"/>
      <c r="D189" s="33"/>
      <c r="E189" s="33"/>
      <c r="F189" s="33"/>
      <c r="G189" s="33"/>
      <c r="H189" s="33"/>
      <c r="I189" s="33"/>
      <c r="J189" s="33"/>
      <c r="K189" s="33"/>
      <c r="L189" s="34"/>
      <c r="M189" s="34"/>
      <c r="N189" s="34"/>
      <c r="O189" s="34"/>
      <c r="P189" s="33"/>
      <c r="Q189" s="35"/>
      <c r="R189" s="33"/>
      <c r="S189" s="33"/>
      <c r="T189" s="33"/>
      <c r="U189" s="33"/>
      <c r="V189" s="33"/>
      <c r="W189" s="33"/>
    </row>
    <row r="190" customFormat="false" ht="15" hidden="false" customHeight="false" outlineLevel="0" collapsed="false">
      <c r="A190" s="33"/>
      <c r="B190" s="33"/>
      <c r="C190" s="33"/>
      <c r="D190" s="33"/>
      <c r="E190" s="33"/>
      <c r="F190" s="33"/>
      <c r="G190" s="33"/>
      <c r="H190" s="33"/>
      <c r="I190" s="33"/>
      <c r="J190" s="33"/>
      <c r="K190" s="33"/>
      <c r="L190" s="34"/>
      <c r="M190" s="34"/>
      <c r="N190" s="34"/>
      <c r="O190" s="34"/>
      <c r="P190" s="33"/>
      <c r="Q190" s="35"/>
      <c r="R190" s="33"/>
      <c r="S190" s="33"/>
      <c r="T190" s="33"/>
      <c r="U190" s="33"/>
      <c r="V190" s="33"/>
      <c r="W190" s="33"/>
    </row>
    <row r="191" customFormat="false" ht="15" hidden="false" customHeight="false" outlineLevel="0" collapsed="false">
      <c r="A191" s="33"/>
      <c r="B191" s="33"/>
      <c r="C191" s="33"/>
      <c r="D191" s="33"/>
      <c r="E191" s="33"/>
      <c r="F191" s="33"/>
      <c r="G191" s="33"/>
      <c r="H191" s="33"/>
      <c r="I191" s="33"/>
      <c r="J191" s="33"/>
      <c r="K191" s="33"/>
      <c r="L191" s="34"/>
      <c r="M191" s="34"/>
      <c r="N191" s="34"/>
      <c r="O191" s="34"/>
      <c r="P191" s="33"/>
      <c r="Q191" s="35"/>
      <c r="R191" s="33"/>
      <c r="S191" s="33"/>
      <c r="T191" s="33"/>
      <c r="U191" s="33"/>
      <c r="V191" s="33"/>
      <c r="W191" s="33"/>
    </row>
    <row r="192" customFormat="false" ht="15" hidden="false" customHeight="false" outlineLevel="0" collapsed="false">
      <c r="A192" s="33"/>
      <c r="B192" s="33"/>
      <c r="C192" s="33"/>
      <c r="D192" s="33"/>
      <c r="E192" s="33"/>
      <c r="F192" s="33"/>
      <c r="G192" s="33"/>
      <c r="H192" s="33"/>
      <c r="I192" s="33"/>
      <c r="J192" s="33"/>
      <c r="K192" s="33"/>
      <c r="L192" s="34"/>
      <c r="M192" s="34"/>
      <c r="N192" s="34"/>
      <c r="O192" s="34"/>
      <c r="P192" s="33"/>
      <c r="Q192" s="35"/>
      <c r="R192" s="33"/>
      <c r="S192" s="33"/>
      <c r="T192" s="33"/>
      <c r="U192" s="33"/>
      <c r="V192" s="33"/>
      <c r="W192" s="33"/>
    </row>
    <row r="193" customFormat="false" ht="15" hidden="false" customHeight="false" outlineLevel="0" collapsed="false">
      <c r="A193" s="33"/>
      <c r="B193" s="33"/>
      <c r="C193" s="33"/>
      <c r="D193" s="33"/>
      <c r="E193" s="33"/>
      <c r="F193" s="33"/>
      <c r="G193" s="33"/>
      <c r="H193" s="33"/>
      <c r="I193" s="33"/>
      <c r="J193" s="33"/>
      <c r="K193" s="33"/>
      <c r="L193" s="34"/>
      <c r="M193" s="34"/>
      <c r="N193" s="34"/>
      <c r="O193" s="34"/>
      <c r="P193" s="33"/>
      <c r="Q193" s="35"/>
      <c r="R193" s="33"/>
      <c r="S193" s="33"/>
      <c r="T193" s="33"/>
      <c r="U193" s="33"/>
      <c r="V193" s="33"/>
      <c r="W193" s="33"/>
    </row>
    <row r="194" customFormat="false" ht="15" hidden="false" customHeight="false" outlineLevel="0" collapsed="false">
      <c r="A194" s="33"/>
      <c r="B194" s="33"/>
      <c r="C194" s="33"/>
      <c r="D194" s="33"/>
      <c r="E194" s="33"/>
      <c r="F194" s="33"/>
      <c r="G194" s="33"/>
      <c r="H194" s="33"/>
      <c r="I194" s="33"/>
      <c r="J194" s="33"/>
      <c r="K194" s="33"/>
      <c r="L194" s="34"/>
      <c r="M194" s="34"/>
      <c r="N194" s="34"/>
      <c r="O194" s="34"/>
      <c r="P194" s="33"/>
      <c r="Q194" s="35"/>
      <c r="R194" s="33"/>
      <c r="S194" s="33"/>
      <c r="T194" s="33"/>
      <c r="U194" s="33"/>
      <c r="V194" s="33"/>
      <c r="W194" s="33"/>
    </row>
    <row r="195" customFormat="false" ht="15" hidden="false" customHeight="false" outlineLevel="0" collapsed="false">
      <c r="A195" s="33"/>
      <c r="B195" s="33"/>
      <c r="C195" s="33"/>
      <c r="D195" s="33"/>
      <c r="E195" s="33"/>
      <c r="F195" s="33"/>
      <c r="G195" s="33"/>
      <c r="H195" s="33"/>
      <c r="I195" s="33"/>
      <c r="J195" s="33"/>
      <c r="K195" s="33"/>
      <c r="L195" s="34"/>
      <c r="M195" s="34"/>
      <c r="N195" s="34"/>
      <c r="O195" s="34"/>
      <c r="P195" s="33"/>
      <c r="Q195" s="35"/>
      <c r="R195" s="33"/>
      <c r="S195" s="33"/>
      <c r="T195" s="33"/>
      <c r="U195" s="33"/>
      <c r="V195" s="33"/>
      <c r="W195" s="33"/>
    </row>
    <row r="196" customFormat="false" ht="15" hidden="false" customHeight="false" outlineLevel="0" collapsed="false">
      <c r="A196" s="33"/>
      <c r="B196" s="33"/>
      <c r="C196" s="33"/>
      <c r="D196" s="33"/>
      <c r="E196" s="33"/>
      <c r="F196" s="33"/>
      <c r="G196" s="33"/>
      <c r="H196" s="33"/>
      <c r="I196" s="33"/>
      <c r="J196" s="33"/>
      <c r="K196" s="33"/>
      <c r="L196" s="34"/>
      <c r="M196" s="34"/>
      <c r="N196" s="34"/>
      <c r="O196" s="34"/>
      <c r="P196" s="33"/>
      <c r="Q196" s="35"/>
      <c r="R196" s="33"/>
      <c r="S196" s="33"/>
      <c r="T196" s="33"/>
      <c r="U196" s="33"/>
      <c r="V196" s="33"/>
      <c r="W196" s="33"/>
    </row>
    <row r="197" customFormat="false" ht="15" hidden="false" customHeight="false" outlineLevel="0" collapsed="false">
      <c r="A197" s="33"/>
      <c r="B197" s="33"/>
      <c r="C197" s="33"/>
      <c r="D197" s="33"/>
      <c r="E197" s="33"/>
      <c r="F197" s="33"/>
      <c r="G197" s="33"/>
      <c r="H197" s="33"/>
      <c r="I197" s="33"/>
      <c r="J197" s="33"/>
      <c r="K197" s="33"/>
      <c r="L197" s="34"/>
      <c r="M197" s="34"/>
      <c r="N197" s="34"/>
      <c r="O197" s="34"/>
      <c r="P197" s="33"/>
      <c r="Q197" s="35"/>
      <c r="R197" s="33"/>
      <c r="S197" s="33"/>
      <c r="T197" s="33"/>
      <c r="U197" s="33"/>
      <c r="V197" s="33"/>
      <c r="W197" s="33"/>
    </row>
    <row r="198" customFormat="false" ht="15" hidden="false" customHeight="false" outlineLevel="0" collapsed="false">
      <c r="A198" s="33"/>
      <c r="B198" s="33"/>
      <c r="C198" s="33"/>
      <c r="D198" s="33"/>
      <c r="E198" s="33"/>
      <c r="F198" s="33"/>
      <c r="G198" s="33"/>
      <c r="H198" s="33"/>
      <c r="I198" s="33"/>
      <c r="J198" s="33"/>
      <c r="K198" s="33"/>
      <c r="L198" s="34"/>
      <c r="M198" s="34"/>
      <c r="N198" s="34"/>
      <c r="O198" s="34"/>
      <c r="P198" s="33"/>
      <c r="Q198" s="35"/>
      <c r="R198" s="33"/>
      <c r="S198" s="33"/>
      <c r="T198" s="33"/>
      <c r="U198" s="33"/>
      <c r="V198" s="33"/>
      <c r="W198" s="33"/>
    </row>
    <row r="199" customFormat="false" ht="15" hidden="false" customHeight="false" outlineLevel="0" collapsed="false">
      <c r="A199" s="33"/>
      <c r="B199" s="33"/>
      <c r="C199" s="33"/>
      <c r="D199" s="33"/>
      <c r="E199" s="33"/>
      <c r="F199" s="33"/>
      <c r="G199" s="33"/>
      <c r="H199" s="33"/>
      <c r="I199" s="33"/>
      <c r="J199" s="33"/>
      <c r="K199" s="33"/>
      <c r="L199" s="34"/>
      <c r="M199" s="34"/>
      <c r="N199" s="34"/>
      <c r="O199" s="34"/>
      <c r="P199" s="33"/>
      <c r="Q199" s="35"/>
      <c r="R199" s="33"/>
      <c r="S199" s="33"/>
      <c r="T199" s="33"/>
      <c r="U199" s="33"/>
      <c r="V199" s="33"/>
      <c r="W199" s="33"/>
    </row>
    <row r="200" customFormat="false" ht="15" hidden="false" customHeight="false" outlineLevel="0" collapsed="false">
      <c r="A200" s="33"/>
      <c r="B200" s="33"/>
      <c r="C200" s="33"/>
      <c r="D200" s="33"/>
      <c r="E200" s="33"/>
      <c r="F200" s="33"/>
      <c r="G200" s="33"/>
      <c r="H200" s="33"/>
      <c r="I200" s="33"/>
      <c r="J200" s="33"/>
      <c r="K200" s="33"/>
      <c r="L200" s="34"/>
      <c r="M200" s="34"/>
      <c r="N200" s="34"/>
      <c r="O200" s="34"/>
      <c r="P200" s="33"/>
      <c r="Q200" s="35"/>
      <c r="R200" s="33"/>
      <c r="S200" s="33"/>
      <c r="T200" s="33"/>
      <c r="U200" s="33"/>
      <c r="V200" s="33"/>
      <c r="W200" s="33"/>
    </row>
    <row r="201" customFormat="false" ht="15" hidden="false" customHeight="false" outlineLevel="0" collapsed="false">
      <c r="A201" s="33"/>
      <c r="B201" s="33"/>
      <c r="C201" s="33"/>
      <c r="D201" s="33"/>
      <c r="E201" s="33"/>
      <c r="F201" s="33"/>
      <c r="G201" s="33"/>
      <c r="H201" s="33"/>
      <c r="I201" s="33"/>
      <c r="J201" s="33"/>
      <c r="K201" s="33"/>
      <c r="L201" s="34"/>
      <c r="M201" s="34"/>
      <c r="N201" s="34"/>
      <c r="O201" s="34"/>
      <c r="P201" s="33"/>
      <c r="Q201" s="35"/>
      <c r="R201" s="33"/>
      <c r="S201" s="33"/>
      <c r="T201" s="33"/>
      <c r="U201" s="33"/>
      <c r="V201" s="33"/>
      <c r="W201" s="33"/>
    </row>
    <row r="202" customFormat="false" ht="15" hidden="false" customHeight="false" outlineLevel="0" collapsed="false">
      <c r="A202" s="33"/>
      <c r="B202" s="33"/>
      <c r="C202" s="33"/>
      <c r="D202" s="33"/>
      <c r="E202" s="33"/>
      <c r="F202" s="33"/>
      <c r="G202" s="33"/>
      <c r="H202" s="33"/>
      <c r="I202" s="33"/>
      <c r="J202" s="33"/>
      <c r="K202" s="33"/>
      <c r="L202" s="34"/>
      <c r="M202" s="34"/>
      <c r="N202" s="34"/>
      <c r="O202" s="34"/>
      <c r="P202" s="33"/>
      <c r="Q202" s="35"/>
      <c r="R202" s="33"/>
      <c r="S202" s="33"/>
      <c r="T202" s="33"/>
      <c r="U202" s="33"/>
      <c r="V202" s="33"/>
      <c r="W202" s="33"/>
    </row>
    <row r="203" customFormat="false" ht="15" hidden="false" customHeight="false" outlineLevel="0" collapsed="false">
      <c r="A203" s="33"/>
      <c r="B203" s="33"/>
      <c r="C203" s="33"/>
      <c r="D203" s="33"/>
      <c r="E203" s="33"/>
      <c r="F203" s="33"/>
      <c r="G203" s="33"/>
      <c r="H203" s="33"/>
      <c r="I203" s="33"/>
      <c r="J203" s="33"/>
      <c r="K203" s="33"/>
      <c r="L203" s="34"/>
      <c r="M203" s="34"/>
      <c r="N203" s="34"/>
      <c r="O203" s="34"/>
      <c r="P203" s="33"/>
      <c r="Q203" s="35"/>
      <c r="R203" s="33"/>
      <c r="S203" s="33"/>
      <c r="T203" s="33"/>
      <c r="U203" s="33"/>
      <c r="V203" s="33"/>
      <c r="W203" s="33"/>
    </row>
    <row r="204" customFormat="false" ht="15" hidden="false" customHeight="false" outlineLevel="0" collapsed="false">
      <c r="A204" s="33"/>
      <c r="B204" s="33"/>
      <c r="C204" s="33"/>
      <c r="D204" s="33"/>
      <c r="E204" s="33"/>
      <c r="F204" s="33"/>
      <c r="G204" s="33"/>
      <c r="H204" s="33"/>
      <c r="I204" s="33"/>
      <c r="J204" s="33"/>
      <c r="K204" s="33"/>
      <c r="L204" s="34"/>
      <c r="M204" s="34"/>
      <c r="N204" s="34"/>
      <c r="O204" s="34"/>
      <c r="P204" s="33"/>
      <c r="Q204" s="35"/>
      <c r="R204" s="33"/>
      <c r="S204" s="33"/>
      <c r="T204" s="33"/>
      <c r="U204" s="33"/>
      <c r="V204" s="33"/>
      <c r="W204" s="33"/>
    </row>
    <row r="205" customFormat="false" ht="15" hidden="false" customHeight="false" outlineLevel="0" collapsed="false">
      <c r="A205" s="33"/>
      <c r="B205" s="33"/>
      <c r="C205" s="33"/>
      <c r="D205" s="33"/>
      <c r="E205" s="33"/>
      <c r="F205" s="33"/>
      <c r="G205" s="33"/>
      <c r="H205" s="33"/>
      <c r="I205" s="33"/>
      <c r="J205" s="33"/>
      <c r="K205" s="33"/>
      <c r="L205" s="34"/>
      <c r="M205" s="34"/>
      <c r="N205" s="34"/>
      <c r="O205" s="34"/>
      <c r="P205" s="33"/>
      <c r="Q205" s="35"/>
      <c r="R205" s="33"/>
      <c r="S205" s="33"/>
      <c r="T205" s="33"/>
      <c r="U205" s="33"/>
      <c r="V205" s="33"/>
      <c r="W205" s="33"/>
    </row>
    <row r="206" customFormat="false" ht="15" hidden="false" customHeight="false" outlineLevel="0" collapsed="false">
      <c r="A206" s="33"/>
      <c r="B206" s="33"/>
      <c r="C206" s="33"/>
      <c r="D206" s="33"/>
      <c r="E206" s="33"/>
      <c r="F206" s="33"/>
      <c r="G206" s="33"/>
      <c r="H206" s="33"/>
      <c r="I206" s="33"/>
      <c r="J206" s="33"/>
      <c r="K206" s="33"/>
      <c r="L206" s="34"/>
      <c r="M206" s="34"/>
      <c r="N206" s="34"/>
      <c r="O206" s="34"/>
      <c r="P206" s="33"/>
      <c r="Q206" s="35"/>
      <c r="R206" s="33"/>
      <c r="S206" s="33"/>
      <c r="T206" s="33"/>
      <c r="U206" s="33"/>
      <c r="V206" s="33"/>
      <c r="W206" s="33"/>
    </row>
    <row r="207" customFormat="false" ht="15" hidden="false" customHeight="false" outlineLevel="0" collapsed="false">
      <c r="A207" s="33"/>
      <c r="B207" s="33"/>
      <c r="C207" s="33"/>
      <c r="D207" s="33"/>
      <c r="E207" s="33"/>
      <c r="F207" s="33"/>
      <c r="G207" s="33"/>
      <c r="H207" s="33"/>
      <c r="I207" s="33"/>
      <c r="J207" s="33"/>
      <c r="K207" s="33"/>
      <c r="L207" s="34"/>
      <c r="M207" s="34"/>
      <c r="N207" s="34"/>
      <c r="O207" s="34"/>
      <c r="P207" s="33"/>
      <c r="Q207" s="35"/>
      <c r="R207" s="33"/>
      <c r="S207" s="33"/>
      <c r="T207" s="33"/>
      <c r="U207" s="33"/>
      <c r="V207" s="33"/>
      <c r="W207" s="33"/>
    </row>
    <row r="208" customFormat="false" ht="15" hidden="false" customHeight="false" outlineLevel="0" collapsed="false">
      <c r="A208" s="33"/>
      <c r="B208" s="33"/>
      <c r="C208" s="33"/>
      <c r="D208" s="33"/>
      <c r="E208" s="33"/>
      <c r="F208" s="33"/>
      <c r="G208" s="33"/>
      <c r="H208" s="33"/>
      <c r="I208" s="33"/>
      <c r="J208" s="33"/>
      <c r="K208" s="33"/>
      <c r="L208" s="34"/>
      <c r="M208" s="34"/>
      <c r="N208" s="34"/>
      <c r="O208" s="34"/>
      <c r="P208" s="33"/>
      <c r="Q208" s="35"/>
      <c r="R208" s="33"/>
      <c r="S208" s="33"/>
      <c r="T208" s="33"/>
      <c r="U208" s="33"/>
      <c r="V208" s="33"/>
      <c r="W208" s="33"/>
    </row>
    <row r="209" customFormat="false" ht="15" hidden="false" customHeight="false" outlineLevel="0" collapsed="false">
      <c r="A209" s="33"/>
      <c r="B209" s="33"/>
      <c r="C209" s="33"/>
      <c r="D209" s="33"/>
      <c r="E209" s="33"/>
      <c r="F209" s="33"/>
      <c r="G209" s="33"/>
      <c r="H209" s="33"/>
      <c r="I209" s="33"/>
      <c r="J209" s="33"/>
      <c r="K209" s="33"/>
      <c r="L209" s="34"/>
      <c r="M209" s="34"/>
      <c r="N209" s="34"/>
      <c r="O209" s="34"/>
      <c r="P209" s="33"/>
      <c r="Q209" s="35"/>
      <c r="R209" s="33"/>
      <c r="S209" s="33"/>
      <c r="T209" s="33"/>
      <c r="U209" s="33"/>
      <c r="V209" s="33"/>
      <c r="W209" s="33"/>
    </row>
    <row r="210" customFormat="false" ht="15" hidden="false" customHeight="false" outlineLevel="0" collapsed="false">
      <c r="A210" s="33"/>
      <c r="B210" s="33"/>
      <c r="C210" s="33"/>
      <c r="D210" s="33"/>
      <c r="E210" s="33"/>
      <c r="F210" s="33"/>
      <c r="G210" s="33"/>
      <c r="H210" s="33"/>
      <c r="I210" s="33"/>
      <c r="J210" s="33"/>
      <c r="K210" s="33"/>
      <c r="L210" s="34"/>
      <c r="M210" s="34"/>
      <c r="N210" s="34"/>
      <c r="O210" s="34"/>
      <c r="P210" s="33"/>
      <c r="Q210" s="35"/>
      <c r="R210" s="33"/>
      <c r="S210" s="33"/>
      <c r="T210" s="33"/>
      <c r="U210" s="33"/>
      <c r="V210" s="33"/>
      <c r="W210" s="33"/>
    </row>
    <row r="211" customFormat="false" ht="15" hidden="false" customHeight="false" outlineLevel="0" collapsed="false">
      <c r="A211" s="33"/>
      <c r="B211" s="33"/>
      <c r="C211" s="33"/>
      <c r="D211" s="33"/>
      <c r="E211" s="33"/>
      <c r="F211" s="33"/>
      <c r="G211" s="33"/>
      <c r="H211" s="33"/>
      <c r="I211" s="33"/>
      <c r="J211" s="33"/>
      <c r="K211" s="33"/>
      <c r="L211" s="34"/>
      <c r="M211" s="34"/>
      <c r="N211" s="34"/>
      <c r="O211" s="34"/>
      <c r="P211" s="33"/>
      <c r="Q211" s="35"/>
      <c r="R211" s="33"/>
      <c r="S211" s="33"/>
      <c r="T211" s="33"/>
      <c r="U211" s="33"/>
      <c r="V211" s="33"/>
      <c r="W211" s="33"/>
    </row>
    <row r="212" customFormat="false" ht="15" hidden="false" customHeight="false" outlineLevel="0" collapsed="false">
      <c r="A212" s="33"/>
      <c r="B212" s="33"/>
      <c r="C212" s="33"/>
      <c r="D212" s="33"/>
      <c r="E212" s="33"/>
      <c r="F212" s="33"/>
      <c r="G212" s="33"/>
      <c r="H212" s="33"/>
      <c r="I212" s="33"/>
      <c r="J212" s="33"/>
      <c r="K212" s="33"/>
      <c r="L212" s="34"/>
      <c r="M212" s="34"/>
      <c r="N212" s="34"/>
      <c r="O212" s="34"/>
      <c r="P212" s="33"/>
      <c r="Q212" s="35"/>
      <c r="R212" s="33"/>
      <c r="S212" s="33"/>
      <c r="T212" s="33"/>
      <c r="U212" s="33"/>
      <c r="V212" s="33"/>
      <c r="W212" s="33"/>
    </row>
    <row r="213" customFormat="false" ht="15" hidden="false" customHeight="false" outlineLevel="0" collapsed="false">
      <c r="A213" s="33"/>
      <c r="B213" s="33"/>
      <c r="C213" s="33"/>
      <c r="D213" s="33"/>
      <c r="E213" s="33"/>
      <c r="F213" s="33"/>
      <c r="G213" s="33"/>
      <c r="H213" s="33"/>
      <c r="I213" s="33"/>
      <c r="J213" s="33"/>
      <c r="K213" s="33"/>
      <c r="L213" s="34"/>
      <c r="M213" s="34"/>
      <c r="N213" s="34"/>
      <c r="O213" s="34"/>
      <c r="P213" s="33"/>
      <c r="Q213" s="35"/>
      <c r="R213" s="33"/>
      <c r="S213" s="33"/>
      <c r="T213" s="33"/>
      <c r="U213" s="33"/>
      <c r="V213" s="33"/>
      <c r="W213" s="33"/>
    </row>
    <row r="214" customFormat="false" ht="15" hidden="false" customHeight="false" outlineLevel="0" collapsed="false">
      <c r="A214" s="33"/>
      <c r="B214" s="33"/>
      <c r="C214" s="33"/>
      <c r="D214" s="33"/>
      <c r="E214" s="33"/>
      <c r="F214" s="33"/>
      <c r="G214" s="33"/>
      <c r="H214" s="33"/>
      <c r="I214" s="33"/>
      <c r="J214" s="33"/>
      <c r="K214" s="33"/>
      <c r="L214" s="34"/>
      <c r="M214" s="34"/>
      <c r="N214" s="34"/>
      <c r="O214" s="34"/>
      <c r="P214" s="33"/>
      <c r="Q214" s="35"/>
      <c r="R214" s="33"/>
      <c r="S214" s="33"/>
      <c r="T214" s="33"/>
      <c r="U214" s="33"/>
      <c r="V214" s="33"/>
      <c r="W214" s="33"/>
    </row>
    <row r="215" customFormat="false" ht="15" hidden="false" customHeight="false" outlineLevel="0" collapsed="false">
      <c r="A215" s="33"/>
      <c r="B215" s="33"/>
      <c r="C215" s="33"/>
      <c r="D215" s="33"/>
      <c r="E215" s="33"/>
      <c r="F215" s="33"/>
      <c r="G215" s="33"/>
      <c r="H215" s="33"/>
      <c r="I215" s="33"/>
      <c r="J215" s="33"/>
      <c r="K215" s="33"/>
      <c r="L215" s="34"/>
      <c r="M215" s="34"/>
      <c r="N215" s="34"/>
      <c r="O215" s="34"/>
      <c r="P215" s="33"/>
      <c r="Q215" s="35"/>
      <c r="R215" s="33"/>
      <c r="S215" s="33"/>
      <c r="T215" s="33"/>
      <c r="U215" s="33"/>
      <c r="V215" s="33"/>
      <c r="W215" s="33"/>
    </row>
    <row r="216" customFormat="false" ht="15" hidden="false" customHeight="false" outlineLevel="0" collapsed="false">
      <c r="A216" s="33"/>
      <c r="B216" s="33"/>
      <c r="C216" s="33"/>
      <c r="D216" s="33"/>
      <c r="E216" s="33"/>
      <c r="F216" s="33"/>
      <c r="G216" s="33"/>
      <c r="H216" s="33"/>
      <c r="I216" s="33"/>
      <c r="J216" s="33"/>
      <c r="K216" s="33"/>
      <c r="L216" s="34"/>
      <c r="M216" s="34"/>
      <c r="N216" s="34"/>
      <c r="O216" s="34"/>
      <c r="P216" s="33"/>
      <c r="Q216" s="35"/>
      <c r="R216" s="33"/>
      <c r="S216" s="33"/>
      <c r="T216" s="33"/>
      <c r="U216" s="33"/>
      <c r="V216" s="33"/>
      <c r="W216" s="33"/>
    </row>
    <row r="217" customFormat="false" ht="15" hidden="false" customHeight="false" outlineLevel="0" collapsed="false">
      <c r="A217" s="33"/>
      <c r="B217" s="33"/>
      <c r="C217" s="33"/>
      <c r="D217" s="33"/>
      <c r="E217" s="33"/>
      <c r="F217" s="33"/>
      <c r="G217" s="33"/>
      <c r="H217" s="33"/>
      <c r="I217" s="33"/>
      <c r="J217" s="33"/>
      <c r="K217" s="33"/>
      <c r="L217" s="34"/>
      <c r="M217" s="34"/>
      <c r="N217" s="34"/>
      <c r="O217" s="34"/>
      <c r="P217" s="33"/>
      <c r="Q217" s="35"/>
      <c r="R217" s="33"/>
      <c r="S217" s="33"/>
      <c r="T217" s="33"/>
      <c r="U217" s="33"/>
      <c r="V217" s="33"/>
      <c r="W217" s="33"/>
    </row>
    <row r="218" customFormat="false" ht="15" hidden="false" customHeight="false" outlineLevel="0" collapsed="false">
      <c r="A218" s="33"/>
      <c r="B218" s="33"/>
      <c r="C218" s="33"/>
      <c r="D218" s="33"/>
      <c r="E218" s="33"/>
      <c r="F218" s="33"/>
      <c r="G218" s="33"/>
      <c r="H218" s="33"/>
      <c r="I218" s="33"/>
      <c r="J218" s="33"/>
      <c r="K218" s="33"/>
      <c r="L218" s="34"/>
      <c r="M218" s="34"/>
      <c r="N218" s="34"/>
      <c r="O218" s="34"/>
      <c r="P218" s="33"/>
      <c r="Q218" s="35"/>
      <c r="R218" s="33"/>
      <c r="S218" s="33"/>
      <c r="T218" s="33"/>
      <c r="U218" s="33"/>
      <c r="V218" s="33"/>
      <c r="W218" s="33"/>
    </row>
    <row r="219" customFormat="false" ht="15" hidden="false" customHeight="false" outlineLevel="0" collapsed="false">
      <c r="A219" s="33"/>
      <c r="B219" s="33"/>
      <c r="C219" s="33"/>
      <c r="D219" s="33"/>
      <c r="E219" s="33"/>
      <c r="F219" s="33"/>
      <c r="G219" s="33"/>
      <c r="H219" s="33"/>
      <c r="I219" s="33"/>
      <c r="J219" s="33"/>
      <c r="K219" s="33"/>
      <c r="L219" s="34"/>
      <c r="M219" s="34"/>
      <c r="N219" s="34"/>
      <c r="O219" s="34"/>
      <c r="P219" s="33"/>
      <c r="Q219" s="35"/>
      <c r="R219" s="33"/>
      <c r="S219" s="33"/>
      <c r="T219" s="33"/>
      <c r="U219" s="33"/>
      <c r="V219" s="33"/>
      <c r="W219" s="33"/>
    </row>
    <row r="220" customFormat="false" ht="15" hidden="false" customHeight="false" outlineLevel="0" collapsed="false">
      <c r="A220" s="33"/>
      <c r="B220" s="33"/>
      <c r="C220" s="33"/>
      <c r="D220" s="33"/>
      <c r="E220" s="33"/>
      <c r="F220" s="33"/>
      <c r="G220" s="33"/>
      <c r="H220" s="33"/>
      <c r="I220" s="33"/>
      <c r="J220" s="33"/>
      <c r="K220" s="33"/>
      <c r="L220" s="34"/>
      <c r="M220" s="34"/>
      <c r="N220" s="34"/>
      <c r="O220" s="34"/>
      <c r="P220" s="33"/>
      <c r="Q220" s="35"/>
      <c r="R220" s="33"/>
      <c r="S220" s="33"/>
      <c r="T220" s="33"/>
      <c r="U220" s="33"/>
      <c r="V220" s="33"/>
      <c r="W220" s="33"/>
    </row>
    <row r="221" customFormat="false" ht="15" hidden="false" customHeight="false" outlineLevel="0" collapsed="false">
      <c r="A221" s="33"/>
      <c r="B221" s="33"/>
      <c r="C221" s="33"/>
      <c r="D221" s="33"/>
      <c r="E221" s="33"/>
      <c r="F221" s="33"/>
      <c r="G221" s="33"/>
      <c r="H221" s="33"/>
      <c r="I221" s="33"/>
      <c r="J221" s="33"/>
      <c r="K221" s="33"/>
      <c r="L221" s="34"/>
      <c r="M221" s="34"/>
      <c r="N221" s="34"/>
      <c r="O221" s="34"/>
      <c r="P221" s="33"/>
      <c r="Q221" s="35"/>
      <c r="R221" s="33"/>
      <c r="S221" s="33"/>
      <c r="T221" s="33"/>
      <c r="U221" s="33"/>
      <c r="V221" s="33"/>
      <c r="W221" s="33"/>
    </row>
    <row r="222" customFormat="false" ht="15" hidden="false" customHeight="false" outlineLevel="0" collapsed="false">
      <c r="A222" s="33"/>
      <c r="B222" s="33"/>
      <c r="C222" s="33"/>
      <c r="D222" s="33"/>
      <c r="E222" s="33"/>
      <c r="F222" s="33"/>
      <c r="G222" s="33"/>
      <c r="H222" s="33"/>
      <c r="I222" s="33"/>
      <c r="J222" s="33"/>
      <c r="K222" s="33"/>
      <c r="L222" s="34"/>
      <c r="M222" s="34"/>
      <c r="N222" s="34"/>
      <c r="O222" s="34"/>
      <c r="P222" s="33"/>
      <c r="Q222" s="35"/>
      <c r="R222" s="33"/>
      <c r="S222" s="33"/>
      <c r="T222" s="33"/>
      <c r="U222" s="33"/>
      <c r="V222" s="33"/>
      <c r="W222" s="33"/>
    </row>
    <row r="223" customFormat="false" ht="15" hidden="false" customHeight="false" outlineLevel="0" collapsed="false">
      <c r="A223" s="33"/>
      <c r="B223" s="33"/>
      <c r="C223" s="33"/>
      <c r="D223" s="33"/>
      <c r="E223" s="33"/>
      <c r="F223" s="33"/>
      <c r="G223" s="33"/>
      <c r="H223" s="33"/>
      <c r="I223" s="33"/>
      <c r="J223" s="33"/>
      <c r="K223" s="33"/>
      <c r="L223" s="34"/>
      <c r="M223" s="34"/>
      <c r="N223" s="34"/>
      <c r="O223" s="34"/>
      <c r="P223" s="33"/>
      <c r="Q223" s="35"/>
      <c r="R223" s="33"/>
      <c r="S223" s="33"/>
      <c r="T223" s="33"/>
      <c r="U223" s="33"/>
      <c r="V223" s="33"/>
      <c r="W223" s="33"/>
    </row>
    <row r="224" customFormat="false" ht="15" hidden="false" customHeight="false" outlineLevel="0" collapsed="false">
      <c r="A224" s="33"/>
      <c r="B224" s="33"/>
      <c r="C224" s="33"/>
      <c r="D224" s="33"/>
      <c r="E224" s="33"/>
      <c r="F224" s="33"/>
      <c r="G224" s="33"/>
      <c r="H224" s="33"/>
      <c r="I224" s="33"/>
      <c r="J224" s="33"/>
      <c r="K224" s="33"/>
      <c r="L224" s="34"/>
      <c r="M224" s="34"/>
      <c r="N224" s="34"/>
      <c r="O224" s="34"/>
      <c r="P224" s="33"/>
      <c r="Q224" s="35"/>
      <c r="R224" s="33"/>
      <c r="S224" s="33"/>
      <c r="T224" s="33"/>
      <c r="U224" s="33"/>
      <c r="V224" s="33"/>
      <c r="W224" s="33"/>
    </row>
    <row r="225" customFormat="false" ht="15" hidden="false" customHeight="false" outlineLevel="0" collapsed="false">
      <c r="A225" s="33"/>
      <c r="B225" s="33"/>
      <c r="C225" s="33"/>
      <c r="D225" s="33"/>
      <c r="E225" s="33"/>
      <c r="F225" s="33"/>
      <c r="G225" s="33"/>
      <c r="H225" s="33"/>
      <c r="I225" s="33"/>
      <c r="J225" s="33"/>
      <c r="K225" s="33"/>
      <c r="L225" s="34"/>
      <c r="M225" s="34"/>
      <c r="N225" s="34"/>
      <c r="O225" s="34"/>
      <c r="P225" s="33"/>
      <c r="Q225" s="35"/>
      <c r="R225" s="33"/>
      <c r="S225" s="33"/>
      <c r="T225" s="33"/>
      <c r="U225" s="33"/>
      <c r="V225" s="33"/>
      <c r="W225" s="33"/>
    </row>
    <row r="226" customFormat="false" ht="15" hidden="false" customHeight="false" outlineLevel="0" collapsed="false">
      <c r="A226" s="33"/>
      <c r="B226" s="33"/>
      <c r="C226" s="33"/>
      <c r="D226" s="33"/>
      <c r="E226" s="33"/>
      <c r="F226" s="33"/>
      <c r="G226" s="33"/>
      <c r="H226" s="33"/>
      <c r="I226" s="33"/>
      <c r="J226" s="33"/>
      <c r="K226" s="33"/>
      <c r="L226" s="34"/>
      <c r="M226" s="34"/>
      <c r="N226" s="34"/>
      <c r="O226" s="34"/>
      <c r="P226" s="33"/>
      <c r="Q226" s="35"/>
      <c r="R226" s="33"/>
      <c r="S226" s="33"/>
      <c r="T226" s="33"/>
      <c r="U226" s="33"/>
      <c r="V226" s="33"/>
      <c r="W226" s="33"/>
    </row>
    <row r="227" customFormat="false" ht="15" hidden="false" customHeight="false" outlineLevel="0" collapsed="false">
      <c r="A227" s="33"/>
      <c r="B227" s="33"/>
      <c r="C227" s="33"/>
      <c r="D227" s="33"/>
      <c r="E227" s="33"/>
      <c r="F227" s="33"/>
      <c r="G227" s="33"/>
      <c r="H227" s="33"/>
      <c r="I227" s="33"/>
      <c r="J227" s="33"/>
      <c r="K227" s="33"/>
      <c r="L227" s="34"/>
      <c r="M227" s="34"/>
      <c r="N227" s="34"/>
      <c r="O227" s="34"/>
      <c r="P227" s="33"/>
      <c r="Q227" s="35"/>
      <c r="R227" s="33"/>
      <c r="S227" s="33"/>
      <c r="T227" s="33"/>
      <c r="U227" s="33"/>
      <c r="V227" s="33"/>
      <c r="W227" s="33"/>
    </row>
    <row r="228" customFormat="false" ht="15" hidden="false" customHeight="false" outlineLevel="0" collapsed="false">
      <c r="A228" s="33"/>
      <c r="B228" s="33"/>
      <c r="C228" s="33"/>
      <c r="D228" s="33"/>
      <c r="E228" s="33"/>
      <c r="F228" s="33"/>
      <c r="G228" s="33"/>
      <c r="H228" s="33"/>
      <c r="I228" s="33"/>
      <c r="J228" s="33"/>
      <c r="K228" s="33"/>
      <c r="L228" s="34"/>
      <c r="M228" s="34"/>
      <c r="N228" s="34"/>
      <c r="O228" s="34"/>
      <c r="P228" s="33"/>
      <c r="Q228" s="35"/>
      <c r="R228" s="33"/>
      <c r="S228" s="33"/>
      <c r="T228" s="33"/>
      <c r="U228" s="33"/>
      <c r="V228" s="33"/>
      <c r="W228" s="33"/>
    </row>
    <row r="229" customFormat="false" ht="15" hidden="false" customHeight="false" outlineLevel="0" collapsed="false">
      <c r="A229" s="33"/>
      <c r="B229" s="33"/>
      <c r="C229" s="33"/>
      <c r="D229" s="33"/>
      <c r="E229" s="33"/>
      <c r="F229" s="33"/>
      <c r="G229" s="33"/>
      <c r="H229" s="33"/>
      <c r="I229" s="33"/>
      <c r="J229" s="33"/>
      <c r="K229" s="33"/>
      <c r="L229" s="34"/>
      <c r="M229" s="34"/>
      <c r="N229" s="34"/>
      <c r="O229" s="34"/>
      <c r="P229" s="33"/>
      <c r="Q229" s="35"/>
      <c r="R229" s="33"/>
      <c r="S229" s="33"/>
      <c r="T229" s="33"/>
      <c r="U229" s="33"/>
      <c r="V229" s="33"/>
      <c r="W229" s="33"/>
    </row>
    <row r="230" customFormat="false" ht="15" hidden="false" customHeight="false" outlineLevel="0" collapsed="false">
      <c r="A230" s="33"/>
      <c r="B230" s="33"/>
      <c r="C230" s="33"/>
      <c r="D230" s="33"/>
      <c r="E230" s="33"/>
      <c r="F230" s="33"/>
      <c r="G230" s="33"/>
      <c r="H230" s="33"/>
      <c r="I230" s="33"/>
      <c r="J230" s="33"/>
      <c r="K230" s="33"/>
      <c r="L230" s="34"/>
      <c r="M230" s="34"/>
      <c r="N230" s="34"/>
      <c r="O230" s="34"/>
      <c r="P230" s="33"/>
      <c r="Q230" s="35"/>
      <c r="R230" s="33"/>
      <c r="S230" s="33"/>
      <c r="T230" s="33"/>
      <c r="U230" s="33"/>
      <c r="V230" s="33"/>
      <c r="W230" s="33"/>
    </row>
    <row r="231" customFormat="false" ht="15" hidden="false" customHeight="false" outlineLevel="0" collapsed="false">
      <c r="A231" s="33"/>
      <c r="B231" s="33"/>
      <c r="C231" s="33"/>
      <c r="D231" s="33"/>
      <c r="E231" s="33"/>
      <c r="F231" s="33"/>
      <c r="G231" s="33"/>
      <c r="H231" s="33"/>
      <c r="I231" s="33"/>
      <c r="J231" s="33"/>
      <c r="K231" s="33"/>
      <c r="L231" s="34"/>
      <c r="M231" s="34"/>
      <c r="N231" s="34"/>
      <c r="O231" s="34"/>
      <c r="P231" s="33"/>
      <c r="Q231" s="35"/>
      <c r="R231" s="33"/>
      <c r="S231" s="33"/>
      <c r="T231" s="33"/>
      <c r="U231" s="33"/>
      <c r="V231" s="33"/>
      <c r="W231" s="33"/>
    </row>
    <row r="232" customFormat="false" ht="15" hidden="false" customHeight="false" outlineLevel="0" collapsed="false">
      <c r="A232" s="33"/>
      <c r="B232" s="33"/>
      <c r="C232" s="33"/>
      <c r="D232" s="33"/>
      <c r="E232" s="33"/>
      <c r="F232" s="33"/>
      <c r="G232" s="33"/>
      <c r="H232" s="33"/>
      <c r="I232" s="33"/>
      <c r="J232" s="33"/>
      <c r="K232" s="33"/>
      <c r="L232" s="34"/>
      <c r="M232" s="34"/>
      <c r="N232" s="34"/>
      <c r="O232" s="34"/>
      <c r="P232" s="33"/>
      <c r="Q232" s="35"/>
      <c r="R232" s="33"/>
      <c r="S232" s="33"/>
      <c r="T232" s="33"/>
      <c r="U232" s="33"/>
      <c r="V232" s="33"/>
      <c r="W232" s="33"/>
    </row>
    <row r="233" customFormat="false" ht="15" hidden="false" customHeight="false" outlineLevel="0" collapsed="false">
      <c r="A233" s="33"/>
      <c r="B233" s="33"/>
      <c r="C233" s="33"/>
      <c r="D233" s="33"/>
      <c r="E233" s="33"/>
      <c r="F233" s="33"/>
      <c r="G233" s="33"/>
      <c r="H233" s="33"/>
      <c r="I233" s="33"/>
      <c r="J233" s="33"/>
      <c r="K233" s="33"/>
      <c r="L233" s="34"/>
      <c r="M233" s="34"/>
      <c r="N233" s="34"/>
      <c r="O233" s="34"/>
      <c r="P233" s="33"/>
      <c r="Q233" s="35"/>
      <c r="R233" s="33"/>
      <c r="S233" s="33"/>
      <c r="T233" s="33"/>
      <c r="U233" s="33"/>
      <c r="V233" s="33"/>
      <c r="W233" s="33"/>
    </row>
    <row r="234" customFormat="false" ht="15" hidden="false" customHeight="false" outlineLevel="0" collapsed="false">
      <c r="A234" s="33"/>
      <c r="B234" s="33"/>
      <c r="C234" s="33"/>
      <c r="D234" s="33"/>
      <c r="E234" s="33"/>
      <c r="F234" s="33"/>
      <c r="G234" s="33"/>
      <c r="H234" s="33"/>
      <c r="I234" s="33"/>
      <c r="J234" s="33"/>
      <c r="K234" s="33"/>
      <c r="L234" s="34"/>
      <c r="M234" s="34"/>
      <c r="N234" s="34"/>
      <c r="O234" s="34"/>
      <c r="P234" s="33"/>
      <c r="Q234" s="35"/>
      <c r="R234" s="33"/>
      <c r="S234" s="33"/>
      <c r="T234" s="33"/>
      <c r="U234" s="33"/>
      <c r="V234" s="33"/>
      <c r="W234" s="33"/>
    </row>
    <row r="235" customFormat="false" ht="15" hidden="false" customHeight="false" outlineLevel="0" collapsed="false">
      <c r="A235" s="33"/>
      <c r="B235" s="33"/>
      <c r="C235" s="33"/>
      <c r="D235" s="33"/>
      <c r="E235" s="33"/>
      <c r="F235" s="33"/>
      <c r="G235" s="33"/>
      <c r="H235" s="33"/>
      <c r="I235" s="33"/>
      <c r="J235" s="33"/>
      <c r="K235" s="33"/>
      <c r="L235" s="34"/>
      <c r="M235" s="34"/>
      <c r="N235" s="34"/>
      <c r="O235" s="34"/>
      <c r="P235" s="33"/>
      <c r="Q235" s="35"/>
      <c r="R235" s="33"/>
      <c r="S235" s="33"/>
      <c r="T235" s="33"/>
      <c r="U235" s="33"/>
      <c r="V235" s="33"/>
      <c r="W235" s="33"/>
    </row>
    <row r="236" customFormat="false" ht="15" hidden="false" customHeight="false" outlineLevel="0" collapsed="false">
      <c r="A236" s="33"/>
      <c r="B236" s="33"/>
      <c r="C236" s="33"/>
      <c r="D236" s="33"/>
      <c r="E236" s="33"/>
      <c r="F236" s="33"/>
      <c r="G236" s="33"/>
      <c r="H236" s="33"/>
      <c r="I236" s="33"/>
      <c r="J236" s="33"/>
      <c r="K236" s="33"/>
      <c r="L236" s="34"/>
      <c r="M236" s="34"/>
      <c r="N236" s="34"/>
      <c r="O236" s="34"/>
      <c r="P236" s="33"/>
      <c r="Q236" s="35"/>
      <c r="R236" s="33"/>
      <c r="S236" s="33"/>
      <c r="T236" s="33"/>
      <c r="U236" s="33"/>
      <c r="V236" s="33"/>
      <c r="W236" s="33"/>
    </row>
    <row r="237" customFormat="false" ht="15" hidden="false" customHeight="false" outlineLevel="0" collapsed="false">
      <c r="A237" s="33"/>
      <c r="B237" s="33"/>
      <c r="C237" s="33"/>
      <c r="D237" s="33"/>
      <c r="E237" s="33"/>
      <c r="F237" s="33"/>
      <c r="G237" s="33"/>
      <c r="H237" s="33"/>
      <c r="I237" s="33"/>
      <c r="J237" s="33"/>
      <c r="K237" s="33"/>
      <c r="L237" s="34"/>
      <c r="M237" s="34"/>
      <c r="N237" s="34"/>
      <c r="O237" s="34"/>
      <c r="P237" s="33"/>
      <c r="Q237" s="35"/>
      <c r="R237" s="33"/>
      <c r="S237" s="33"/>
      <c r="T237" s="33"/>
      <c r="U237" s="33"/>
      <c r="V237" s="33"/>
      <c r="W237" s="33"/>
    </row>
    <row r="238" customFormat="false" ht="15" hidden="false" customHeight="false" outlineLevel="0" collapsed="false">
      <c r="A238" s="33"/>
      <c r="B238" s="33"/>
      <c r="C238" s="33"/>
      <c r="D238" s="33"/>
      <c r="E238" s="33"/>
      <c r="F238" s="33"/>
      <c r="G238" s="33"/>
      <c r="H238" s="33"/>
      <c r="I238" s="33"/>
      <c r="J238" s="33"/>
      <c r="K238" s="33"/>
      <c r="L238" s="34"/>
      <c r="M238" s="34"/>
      <c r="N238" s="34"/>
      <c r="O238" s="34"/>
      <c r="P238" s="33"/>
      <c r="Q238" s="35"/>
      <c r="R238" s="33"/>
      <c r="S238" s="33"/>
      <c r="T238" s="33"/>
      <c r="U238" s="33"/>
      <c r="V238" s="33"/>
      <c r="W238" s="33"/>
    </row>
    <row r="239" customFormat="false" ht="15" hidden="false" customHeight="false" outlineLevel="0" collapsed="false">
      <c r="A239" s="33"/>
      <c r="B239" s="33"/>
      <c r="C239" s="33"/>
      <c r="D239" s="33"/>
      <c r="E239" s="33"/>
      <c r="F239" s="33"/>
      <c r="G239" s="33"/>
      <c r="H239" s="33"/>
      <c r="I239" s="33"/>
      <c r="J239" s="33"/>
      <c r="K239" s="33"/>
      <c r="L239" s="34"/>
      <c r="M239" s="34"/>
      <c r="N239" s="34"/>
      <c r="O239" s="34"/>
      <c r="P239" s="33"/>
      <c r="Q239" s="35"/>
      <c r="R239" s="33"/>
      <c r="S239" s="33"/>
      <c r="T239" s="33"/>
      <c r="U239" s="33"/>
      <c r="V239" s="33"/>
      <c r="W239" s="33"/>
    </row>
    <row r="240" customFormat="false" ht="15" hidden="false" customHeight="false" outlineLevel="0" collapsed="false">
      <c r="A240" s="33"/>
      <c r="B240" s="33"/>
      <c r="C240" s="33"/>
      <c r="D240" s="33"/>
      <c r="E240" s="33"/>
      <c r="F240" s="33"/>
      <c r="G240" s="33"/>
      <c r="H240" s="33"/>
      <c r="I240" s="33"/>
      <c r="J240" s="33"/>
      <c r="K240" s="33"/>
      <c r="L240" s="34"/>
      <c r="M240" s="34"/>
      <c r="N240" s="34"/>
      <c r="O240" s="34"/>
      <c r="P240" s="33"/>
      <c r="Q240" s="35"/>
      <c r="R240" s="33"/>
      <c r="S240" s="33"/>
      <c r="T240" s="33"/>
      <c r="U240" s="33"/>
      <c r="V240" s="33"/>
      <c r="W240" s="33"/>
    </row>
    <row r="241" customFormat="false" ht="15" hidden="false" customHeight="false" outlineLevel="0" collapsed="false">
      <c r="A241" s="33"/>
      <c r="B241" s="33"/>
      <c r="C241" s="33"/>
      <c r="D241" s="33"/>
      <c r="E241" s="33"/>
      <c r="F241" s="33"/>
      <c r="G241" s="33"/>
      <c r="H241" s="33"/>
      <c r="I241" s="33"/>
      <c r="J241" s="33"/>
      <c r="K241" s="33"/>
      <c r="L241" s="34"/>
      <c r="M241" s="34"/>
      <c r="N241" s="34"/>
      <c r="O241" s="34"/>
      <c r="P241" s="33"/>
      <c r="Q241" s="35"/>
      <c r="R241" s="33"/>
      <c r="S241" s="33"/>
      <c r="T241" s="33"/>
      <c r="U241" s="33"/>
      <c r="V241" s="33"/>
      <c r="W241" s="33"/>
    </row>
    <row r="242" customFormat="false" ht="15" hidden="false" customHeight="false" outlineLevel="0" collapsed="false">
      <c r="A242" s="33"/>
      <c r="B242" s="33"/>
      <c r="C242" s="33"/>
      <c r="D242" s="33"/>
      <c r="E242" s="33"/>
      <c r="F242" s="33"/>
      <c r="G242" s="33"/>
      <c r="H242" s="33"/>
      <c r="I242" s="33"/>
      <c r="J242" s="33"/>
      <c r="K242" s="33"/>
      <c r="L242" s="34"/>
      <c r="M242" s="34"/>
      <c r="N242" s="34"/>
      <c r="O242" s="34"/>
      <c r="P242" s="33"/>
      <c r="Q242" s="35"/>
      <c r="R242" s="33"/>
      <c r="S242" s="33"/>
      <c r="T242" s="33"/>
      <c r="U242" s="33"/>
      <c r="V242" s="33"/>
      <c r="W242" s="33"/>
    </row>
    <row r="243" customFormat="false" ht="15" hidden="false" customHeight="false" outlineLevel="0" collapsed="false">
      <c r="A243" s="33"/>
      <c r="B243" s="33"/>
      <c r="C243" s="33"/>
      <c r="D243" s="33"/>
      <c r="E243" s="33"/>
      <c r="F243" s="33"/>
      <c r="G243" s="33"/>
      <c r="H243" s="33"/>
      <c r="I243" s="33"/>
      <c r="J243" s="33"/>
      <c r="K243" s="33"/>
      <c r="L243" s="34"/>
      <c r="M243" s="34"/>
      <c r="N243" s="34"/>
      <c r="O243" s="34"/>
      <c r="P243" s="33"/>
      <c r="Q243" s="35"/>
      <c r="R243" s="33"/>
      <c r="S243" s="33"/>
      <c r="T243" s="33"/>
      <c r="U243" s="33"/>
      <c r="V243" s="33"/>
      <c r="W243" s="33"/>
    </row>
    <row r="244" customFormat="false" ht="15" hidden="false" customHeight="false" outlineLevel="0" collapsed="false">
      <c r="A244" s="33"/>
      <c r="B244" s="33"/>
      <c r="C244" s="33"/>
      <c r="D244" s="33"/>
      <c r="E244" s="33"/>
      <c r="F244" s="33"/>
      <c r="G244" s="33"/>
      <c r="H244" s="33"/>
      <c r="I244" s="33"/>
      <c r="J244" s="33"/>
      <c r="K244" s="33"/>
      <c r="L244" s="34"/>
      <c r="M244" s="34"/>
      <c r="N244" s="34"/>
      <c r="O244" s="34"/>
      <c r="P244" s="33"/>
      <c r="Q244" s="35"/>
      <c r="R244" s="33"/>
      <c r="S244" s="33"/>
      <c r="T244" s="33"/>
      <c r="U244" s="33"/>
      <c r="V244" s="33"/>
      <c r="W244" s="33"/>
    </row>
    <row r="245" customFormat="false" ht="15" hidden="false" customHeight="false" outlineLevel="0" collapsed="false">
      <c r="A245" s="33"/>
      <c r="B245" s="33"/>
      <c r="C245" s="33"/>
      <c r="D245" s="33"/>
      <c r="E245" s="33"/>
      <c r="F245" s="33"/>
      <c r="G245" s="33"/>
      <c r="H245" s="33"/>
      <c r="I245" s="33"/>
      <c r="J245" s="33"/>
      <c r="K245" s="33"/>
      <c r="L245" s="34"/>
      <c r="M245" s="34"/>
      <c r="N245" s="34"/>
      <c r="O245" s="34"/>
      <c r="P245" s="33"/>
      <c r="Q245" s="35"/>
      <c r="R245" s="33"/>
      <c r="S245" s="33"/>
      <c r="T245" s="33"/>
      <c r="U245" s="33"/>
      <c r="V245" s="33"/>
      <c r="W245" s="33"/>
    </row>
    <row r="246" customFormat="false" ht="15" hidden="false" customHeight="false" outlineLevel="0" collapsed="false">
      <c r="A246" s="33"/>
      <c r="B246" s="33"/>
      <c r="C246" s="33"/>
      <c r="D246" s="33"/>
      <c r="E246" s="33"/>
      <c r="F246" s="33"/>
      <c r="G246" s="33"/>
      <c r="H246" s="33"/>
      <c r="I246" s="33"/>
      <c r="J246" s="33"/>
      <c r="K246" s="33"/>
      <c r="L246" s="34"/>
      <c r="M246" s="34"/>
      <c r="N246" s="34"/>
      <c r="O246" s="34"/>
      <c r="P246" s="33"/>
      <c r="Q246" s="35"/>
      <c r="R246" s="33"/>
      <c r="S246" s="33"/>
      <c r="T246" s="33"/>
      <c r="U246" s="33"/>
      <c r="V246" s="33"/>
      <c r="W246" s="33"/>
    </row>
    <row r="247" customFormat="false" ht="15" hidden="false" customHeight="false" outlineLevel="0" collapsed="false">
      <c r="A247" s="33"/>
      <c r="B247" s="33"/>
      <c r="C247" s="33"/>
      <c r="D247" s="33"/>
      <c r="E247" s="33"/>
      <c r="F247" s="33"/>
      <c r="G247" s="33"/>
      <c r="H247" s="33"/>
      <c r="I247" s="33"/>
      <c r="J247" s="33"/>
      <c r="K247" s="33"/>
      <c r="L247" s="34"/>
      <c r="M247" s="34"/>
      <c r="N247" s="34"/>
      <c r="O247" s="34"/>
      <c r="P247" s="33"/>
      <c r="Q247" s="35"/>
      <c r="R247" s="33"/>
      <c r="S247" s="33"/>
      <c r="T247" s="33"/>
      <c r="U247" s="33"/>
      <c r="V247" s="33"/>
      <c r="W247" s="33"/>
    </row>
    <row r="248" customFormat="false" ht="15" hidden="false" customHeight="false" outlineLevel="0" collapsed="false">
      <c r="A248" s="33"/>
      <c r="B248" s="33"/>
      <c r="C248" s="33"/>
      <c r="D248" s="33"/>
      <c r="E248" s="33"/>
      <c r="F248" s="33"/>
      <c r="G248" s="33"/>
      <c r="H248" s="33"/>
      <c r="I248" s="33"/>
      <c r="J248" s="33"/>
      <c r="K248" s="33"/>
      <c r="L248" s="34"/>
      <c r="M248" s="34"/>
      <c r="N248" s="34"/>
      <c r="O248" s="34"/>
      <c r="P248" s="33"/>
      <c r="Q248" s="35"/>
      <c r="R248" s="33"/>
      <c r="S248" s="33"/>
      <c r="T248" s="33"/>
      <c r="U248" s="33"/>
      <c r="V248" s="33"/>
      <c r="W248" s="33"/>
    </row>
    <row r="249" customFormat="false" ht="15" hidden="false" customHeight="false" outlineLevel="0" collapsed="false">
      <c r="A249" s="33"/>
      <c r="B249" s="33"/>
      <c r="C249" s="33"/>
      <c r="D249" s="33"/>
      <c r="E249" s="33"/>
      <c r="F249" s="33"/>
      <c r="G249" s="33"/>
      <c r="H249" s="33"/>
      <c r="I249" s="33"/>
      <c r="J249" s="33"/>
      <c r="K249" s="33"/>
      <c r="L249" s="34"/>
      <c r="M249" s="34"/>
      <c r="N249" s="34"/>
      <c r="O249" s="34"/>
      <c r="P249" s="33"/>
      <c r="Q249" s="35"/>
      <c r="R249" s="33"/>
      <c r="S249" s="33"/>
      <c r="T249" s="33"/>
      <c r="U249" s="33"/>
      <c r="V249" s="33"/>
      <c r="W249" s="33"/>
    </row>
    <row r="250" customFormat="false" ht="15" hidden="false" customHeight="false" outlineLevel="0" collapsed="false">
      <c r="A250" s="33"/>
      <c r="B250" s="33"/>
      <c r="C250" s="33"/>
      <c r="D250" s="33"/>
      <c r="E250" s="33"/>
      <c r="F250" s="33"/>
      <c r="G250" s="33"/>
      <c r="H250" s="33"/>
      <c r="I250" s="33"/>
      <c r="J250" s="33"/>
      <c r="K250" s="33"/>
      <c r="L250" s="34"/>
      <c r="M250" s="34"/>
      <c r="N250" s="34"/>
      <c r="O250" s="34"/>
      <c r="P250" s="33"/>
      <c r="Q250" s="35"/>
      <c r="R250" s="33"/>
      <c r="S250" s="33"/>
      <c r="T250" s="33"/>
      <c r="U250" s="33"/>
      <c r="V250" s="33"/>
      <c r="W250" s="33"/>
    </row>
    <row r="251" customFormat="false" ht="15" hidden="false" customHeight="false" outlineLevel="0" collapsed="false">
      <c r="A251" s="33"/>
      <c r="B251" s="33"/>
      <c r="C251" s="33"/>
      <c r="D251" s="33"/>
      <c r="E251" s="33"/>
      <c r="F251" s="33"/>
      <c r="G251" s="33"/>
      <c r="H251" s="33"/>
      <c r="I251" s="33"/>
      <c r="J251" s="33"/>
      <c r="K251" s="33"/>
      <c r="L251" s="34"/>
      <c r="M251" s="34"/>
      <c r="N251" s="34"/>
      <c r="O251" s="34"/>
      <c r="P251" s="33"/>
      <c r="Q251" s="35"/>
      <c r="R251" s="33"/>
      <c r="S251" s="33"/>
      <c r="T251" s="33"/>
      <c r="U251" s="33"/>
      <c r="V251" s="33"/>
      <c r="W251" s="33"/>
    </row>
    <row r="252" customFormat="false" ht="15" hidden="false" customHeight="false" outlineLevel="0" collapsed="false">
      <c r="A252" s="33"/>
      <c r="B252" s="33"/>
      <c r="C252" s="33"/>
      <c r="D252" s="33"/>
      <c r="E252" s="33"/>
      <c r="F252" s="33"/>
      <c r="G252" s="33"/>
      <c r="H252" s="33"/>
      <c r="I252" s="33"/>
      <c r="J252" s="33"/>
      <c r="K252" s="33"/>
      <c r="L252" s="34"/>
      <c r="M252" s="34"/>
      <c r="N252" s="34"/>
      <c r="O252" s="34"/>
      <c r="P252" s="33"/>
      <c r="Q252" s="35"/>
      <c r="R252" s="33"/>
      <c r="S252" s="33"/>
      <c r="T252" s="33"/>
      <c r="U252" s="33"/>
      <c r="V252" s="33"/>
      <c r="W252" s="33"/>
    </row>
    <row r="253" customFormat="false" ht="15" hidden="false" customHeight="false" outlineLevel="0" collapsed="false">
      <c r="A253" s="33"/>
      <c r="B253" s="33"/>
      <c r="C253" s="33"/>
      <c r="D253" s="33"/>
      <c r="E253" s="33"/>
      <c r="F253" s="33"/>
      <c r="G253" s="33"/>
      <c r="H253" s="33"/>
      <c r="I253" s="33"/>
      <c r="J253" s="33"/>
      <c r="K253" s="33"/>
      <c r="L253" s="34"/>
      <c r="M253" s="34"/>
      <c r="N253" s="34"/>
      <c r="O253" s="34"/>
      <c r="P253" s="33"/>
      <c r="Q253" s="35"/>
      <c r="R253" s="33"/>
      <c r="S253" s="33"/>
      <c r="T253" s="33"/>
      <c r="U253" s="33"/>
      <c r="V253" s="33"/>
      <c r="W253" s="33"/>
    </row>
    <row r="254" customFormat="false" ht="15" hidden="false" customHeight="false" outlineLevel="0" collapsed="false">
      <c r="A254" s="33"/>
      <c r="B254" s="33"/>
      <c r="C254" s="33"/>
      <c r="D254" s="33"/>
      <c r="E254" s="33"/>
      <c r="F254" s="33"/>
      <c r="G254" s="33"/>
      <c r="H254" s="33"/>
      <c r="I254" s="33"/>
      <c r="J254" s="33"/>
      <c r="K254" s="33"/>
      <c r="L254" s="34"/>
      <c r="M254" s="34"/>
      <c r="N254" s="34"/>
      <c r="O254" s="34"/>
      <c r="P254" s="33"/>
      <c r="Q254" s="35"/>
      <c r="R254" s="33"/>
      <c r="S254" s="33"/>
      <c r="T254" s="33"/>
      <c r="U254" s="33"/>
      <c r="V254" s="33"/>
      <c r="W254" s="33"/>
    </row>
    <row r="255" customFormat="false" ht="15" hidden="false" customHeight="false" outlineLevel="0" collapsed="false">
      <c r="A255" s="33"/>
      <c r="B255" s="33"/>
      <c r="C255" s="33"/>
      <c r="D255" s="33"/>
      <c r="E255" s="33"/>
      <c r="F255" s="33"/>
      <c r="G255" s="33"/>
      <c r="H255" s="33"/>
      <c r="I255" s="33"/>
      <c r="J255" s="33"/>
      <c r="K255" s="33"/>
      <c r="L255" s="34"/>
      <c r="M255" s="34"/>
      <c r="N255" s="34"/>
      <c r="O255" s="34"/>
      <c r="P255" s="33"/>
      <c r="Q255" s="35"/>
      <c r="R255" s="33"/>
      <c r="S255" s="33"/>
      <c r="T255" s="33"/>
      <c r="U255" s="33"/>
      <c r="V255" s="33"/>
      <c r="W255" s="33"/>
    </row>
    <row r="256" customFormat="false" ht="15" hidden="false" customHeight="false" outlineLevel="0" collapsed="false">
      <c r="A256" s="33"/>
      <c r="B256" s="33"/>
      <c r="C256" s="33"/>
      <c r="D256" s="33"/>
      <c r="E256" s="33"/>
      <c r="F256" s="33"/>
      <c r="G256" s="33"/>
      <c r="H256" s="33"/>
      <c r="I256" s="33"/>
      <c r="J256" s="33"/>
      <c r="K256" s="33"/>
      <c r="L256" s="34"/>
      <c r="M256" s="34"/>
      <c r="N256" s="34"/>
      <c r="O256" s="34"/>
      <c r="P256" s="33"/>
      <c r="Q256" s="35"/>
      <c r="R256" s="33"/>
      <c r="S256" s="33"/>
      <c r="T256" s="33"/>
      <c r="U256" s="33"/>
      <c r="V256" s="33"/>
      <c r="W256" s="33"/>
    </row>
    <row r="257" customFormat="false" ht="15" hidden="false" customHeight="false" outlineLevel="0" collapsed="false">
      <c r="A257" s="33"/>
      <c r="B257" s="33"/>
      <c r="C257" s="33"/>
      <c r="D257" s="33"/>
      <c r="E257" s="33"/>
      <c r="F257" s="33"/>
      <c r="G257" s="33"/>
      <c r="H257" s="33"/>
      <c r="I257" s="33"/>
      <c r="J257" s="33"/>
      <c r="K257" s="33"/>
      <c r="L257" s="34"/>
      <c r="M257" s="34"/>
      <c r="N257" s="34"/>
      <c r="O257" s="34"/>
      <c r="P257" s="33"/>
      <c r="Q257" s="35"/>
      <c r="R257" s="33"/>
      <c r="S257" s="33"/>
      <c r="T257" s="33"/>
      <c r="U257" s="33"/>
      <c r="V257" s="33"/>
      <c r="W257" s="33"/>
    </row>
    <row r="258" customFormat="false" ht="15" hidden="false" customHeight="false" outlineLevel="0" collapsed="false">
      <c r="A258" s="33"/>
      <c r="B258" s="33"/>
      <c r="C258" s="33"/>
      <c r="D258" s="33"/>
      <c r="E258" s="33"/>
      <c r="F258" s="33"/>
      <c r="G258" s="33"/>
      <c r="H258" s="33"/>
      <c r="I258" s="33"/>
      <c r="J258" s="33"/>
      <c r="K258" s="33"/>
      <c r="L258" s="34"/>
      <c r="M258" s="34"/>
      <c r="N258" s="34"/>
      <c r="O258" s="34"/>
      <c r="P258" s="33"/>
      <c r="Q258" s="35"/>
      <c r="R258" s="33"/>
      <c r="S258" s="33"/>
      <c r="T258" s="33"/>
      <c r="U258" s="33"/>
      <c r="V258" s="33"/>
      <c r="W258" s="33"/>
    </row>
    <row r="259" customFormat="false" ht="15" hidden="false" customHeight="false" outlineLevel="0" collapsed="false">
      <c r="A259" s="33"/>
      <c r="B259" s="33"/>
      <c r="C259" s="33"/>
      <c r="D259" s="33"/>
      <c r="E259" s="33"/>
      <c r="F259" s="33"/>
      <c r="G259" s="33"/>
      <c r="H259" s="33"/>
      <c r="I259" s="33"/>
      <c r="J259" s="33"/>
      <c r="K259" s="33"/>
      <c r="L259" s="34"/>
      <c r="M259" s="34"/>
      <c r="N259" s="34"/>
      <c r="O259" s="34"/>
      <c r="P259" s="33"/>
      <c r="Q259" s="35"/>
      <c r="R259" s="33"/>
      <c r="S259" s="33"/>
      <c r="T259" s="33"/>
      <c r="U259" s="33"/>
      <c r="V259" s="33"/>
      <c r="W259" s="33"/>
    </row>
    <row r="260" customFormat="false" ht="15" hidden="false" customHeight="false" outlineLevel="0" collapsed="false">
      <c r="A260" s="33"/>
      <c r="B260" s="33"/>
      <c r="C260" s="33"/>
      <c r="D260" s="33"/>
      <c r="E260" s="33"/>
      <c r="F260" s="33"/>
      <c r="G260" s="33"/>
      <c r="H260" s="33"/>
      <c r="I260" s="33"/>
      <c r="J260" s="33"/>
      <c r="K260" s="33"/>
      <c r="L260" s="34"/>
      <c r="M260" s="34"/>
      <c r="N260" s="34"/>
      <c r="O260" s="34"/>
      <c r="P260" s="33"/>
      <c r="Q260" s="35"/>
      <c r="R260" s="33"/>
      <c r="S260" s="33"/>
      <c r="T260" s="33"/>
      <c r="U260" s="33"/>
      <c r="V260" s="33"/>
      <c r="W260" s="33"/>
    </row>
    <row r="261" customFormat="false" ht="15" hidden="false" customHeight="false" outlineLevel="0" collapsed="false">
      <c r="A261" s="33"/>
      <c r="B261" s="33"/>
      <c r="C261" s="33"/>
      <c r="D261" s="33"/>
      <c r="E261" s="33"/>
      <c r="F261" s="33"/>
      <c r="G261" s="33"/>
      <c r="H261" s="33"/>
      <c r="I261" s="33"/>
      <c r="J261" s="33"/>
      <c r="K261" s="33"/>
      <c r="L261" s="34"/>
      <c r="M261" s="34"/>
      <c r="N261" s="34"/>
      <c r="O261" s="34"/>
      <c r="P261" s="33"/>
      <c r="Q261" s="35"/>
      <c r="R261" s="33"/>
      <c r="S261" s="33"/>
      <c r="T261" s="33"/>
      <c r="U261" s="33"/>
      <c r="V261" s="33"/>
      <c r="W261" s="33"/>
    </row>
    <row r="262" customFormat="false" ht="15" hidden="false" customHeight="false" outlineLevel="0" collapsed="false">
      <c r="A262" s="33"/>
      <c r="B262" s="33"/>
      <c r="C262" s="33"/>
      <c r="D262" s="33"/>
      <c r="E262" s="33"/>
      <c r="F262" s="33"/>
      <c r="G262" s="33"/>
      <c r="H262" s="33"/>
      <c r="I262" s="33"/>
      <c r="J262" s="33"/>
      <c r="K262" s="33"/>
      <c r="L262" s="34"/>
      <c r="M262" s="34"/>
      <c r="N262" s="34"/>
      <c r="O262" s="34"/>
      <c r="P262" s="33"/>
      <c r="Q262" s="35"/>
      <c r="R262" s="33"/>
      <c r="S262" s="33"/>
      <c r="T262" s="33"/>
      <c r="U262" s="33"/>
      <c r="V262" s="33"/>
      <c r="W262" s="33"/>
    </row>
    <row r="263" customFormat="false" ht="15" hidden="false" customHeight="false" outlineLevel="0" collapsed="false">
      <c r="A263" s="33"/>
      <c r="B263" s="33"/>
      <c r="C263" s="33"/>
      <c r="D263" s="33"/>
      <c r="E263" s="33"/>
      <c r="F263" s="33"/>
      <c r="G263" s="33"/>
      <c r="H263" s="33"/>
      <c r="I263" s="33"/>
      <c r="J263" s="33"/>
      <c r="K263" s="33"/>
      <c r="L263" s="34"/>
      <c r="M263" s="34"/>
      <c r="N263" s="34"/>
      <c r="O263" s="34"/>
      <c r="P263" s="33"/>
      <c r="Q263" s="35"/>
      <c r="R263" s="33"/>
      <c r="S263" s="33"/>
      <c r="T263" s="33"/>
      <c r="U263" s="33"/>
      <c r="V263" s="33"/>
      <c r="W263" s="33"/>
    </row>
    <row r="264" customFormat="false" ht="15" hidden="false" customHeight="false" outlineLevel="0" collapsed="false">
      <c r="A264" s="33"/>
      <c r="B264" s="33"/>
      <c r="C264" s="33"/>
      <c r="D264" s="33"/>
      <c r="E264" s="33"/>
      <c r="F264" s="33"/>
      <c r="G264" s="33"/>
      <c r="H264" s="33"/>
      <c r="I264" s="33"/>
      <c r="J264" s="33"/>
      <c r="K264" s="33"/>
      <c r="L264" s="34"/>
      <c r="M264" s="34"/>
      <c r="N264" s="34"/>
      <c r="O264" s="34"/>
      <c r="P264" s="33"/>
      <c r="Q264" s="35"/>
      <c r="R264" s="33"/>
      <c r="S264" s="33"/>
      <c r="T264" s="33"/>
      <c r="U264" s="33"/>
      <c r="V264" s="33"/>
      <c r="W264" s="33"/>
    </row>
    <row r="265" customFormat="false" ht="15" hidden="false" customHeight="false" outlineLevel="0" collapsed="false">
      <c r="A265" s="33"/>
      <c r="B265" s="33"/>
      <c r="C265" s="33"/>
      <c r="D265" s="33"/>
      <c r="E265" s="33"/>
      <c r="F265" s="33"/>
      <c r="G265" s="33"/>
      <c r="H265" s="33"/>
      <c r="I265" s="33"/>
      <c r="J265" s="33"/>
      <c r="K265" s="33"/>
      <c r="L265" s="34"/>
      <c r="M265" s="34"/>
      <c r="N265" s="34"/>
      <c r="O265" s="34"/>
      <c r="P265" s="33"/>
      <c r="Q265" s="35"/>
      <c r="R265" s="33"/>
      <c r="S265" s="33"/>
      <c r="T265" s="33"/>
      <c r="U265" s="33"/>
      <c r="V265" s="33"/>
      <c r="W265" s="33"/>
    </row>
    <row r="266" customFormat="false" ht="15" hidden="false" customHeight="false" outlineLevel="0" collapsed="false">
      <c r="A266" s="33"/>
      <c r="B266" s="33"/>
      <c r="C266" s="33"/>
      <c r="D266" s="33"/>
      <c r="E266" s="33"/>
      <c r="F266" s="33"/>
      <c r="G266" s="33"/>
      <c r="H266" s="33"/>
      <c r="I266" s="33"/>
      <c r="J266" s="33"/>
      <c r="K266" s="33"/>
      <c r="L266" s="34"/>
      <c r="M266" s="34"/>
      <c r="N266" s="34"/>
      <c r="O266" s="34"/>
      <c r="P266" s="33"/>
      <c r="Q266" s="35"/>
      <c r="R266" s="33"/>
      <c r="S266" s="33"/>
      <c r="T266" s="33"/>
      <c r="U266" s="33"/>
      <c r="V266" s="33"/>
      <c r="W266" s="33"/>
    </row>
    <row r="267" customFormat="false" ht="15" hidden="false" customHeight="false" outlineLevel="0" collapsed="false">
      <c r="A267" s="33"/>
      <c r="B267" s="33"/>
      <c r="C267" s="33"/>
      <c r="D267" s="33"/>
      <c r="E267" s="33"/>
      <c r="F267" s="33"/>
      <c r="G267" s="33"/>
      <c r="H267" s="33"/>
      <c r="I267" s="33"/>
      <c r="J267" s="33"/>
      <c r="K267" s="33"/>
      <c r="L267" s="34"/>
      <c r="M267" s="34"/>
      <c r="N267" s="34"/>
      <c r="O267" s="34"/>
      <c r="P267" s="33"/>
      <c r="Q267" s="35"/>
      <c r="R267" s="33"/>
      <c r="S267" s="33"/>
      <c r="T267" s="33"/>
      <c r="U267" s="33"/>
      <c r="V267" s="33"/>
      <c r="W267" s="33"/>
    </row>
    <row r="268" customFormat="false" ht="15" hidden="false" customHeight="false" outlineLevel="0" collapsed="false">
      <c r="A268" s="33"/>
      <c r="B268" s="33"/>
      <c r="C268" s="33"/>
      <c r="D268" s="33"/>
      <c r="E268" s="33"/>
      <c r="F268" s="33"/>
      <c r="G268" s="33"/>
      <c r="H268" s="33"/>
      <c r="I268" s="33"/>
      <c r="J268" s="33"/>
      <c r="K268" s="33"/>
      <c r="L268" s="34"/>
      <c r="M268" s="34"/>
      <c r="N268" s="34"/>
      <c r="O268" s="34"/>
      <c r="P268" s="33"/>
      <c r="Q268" s="35"/>
      <c r="R268" s="33"/>
      <c r="S268" s="33"/>
      <c r="T268" s="33"/>
      <c r="U268" s="33"/>
      <c r="V268" s="33"/>
      <c r="W268" s="33"/>
    </row>
    <row r="269" customFormat="false" ht="15" hidden="false" customHeight="false" outlineLevel="0" collapsed="false">
      <c r="A269" s="33"/>
      <c r="B269" s="33"/>
      <c r="C269" s="33"/>
      <c r="D269" s="33"/>
      <c r="E269" s="33"/>
      <c r="F269" s="33"/>
      <c r="G269" s="33"/>
      <c r="H269" s="33"/>
      <c r="I269" s="33"/>
      <c r="J269" s="33"/>
      <c r="K269" s="33"/>
      <c r="L269" s="34"/>
      <c r="M269" s="34"/>
      <c r="N269" s="34"/>
      <c r="O269" s="34"/>
      <c r="P269" s="33"/>
      <c r="Q269" s="35"/>
      <c r="R269" s="33"/>
      <c r="S269" s="33"/>
      <c r="T269" s="33"/>
      <c r="U269" s="33"/>
      <c r="V269" s="33"/>
      <c r="W269" s="33"/>
    </row>
    <row r="270" customFormat="false" ht="15" hidden="false" customHeight="false" outlineLevel="0" collapsed="false">
      <c r="A270" s="33"/>
      <c r="B270" s="33"/>
      <c r="C270" s="33"/>
      <c r="D270" s="33"/>
      <c r="E270" s="33"/>
      <c r="F270" s="33"/>
      <c r="G270" s="33"/>
      <c r="H270" s="33"/>
      <c r="I270" s="33"/>
      <c r="J270" s="33"/>
      <c r="K270" s="33"/>
      <c r="L270" s="34"/>
      <c r="M270" s="34"/>
      <c r="N270" s="34"/>
      <c r="O270" s="34"/>
      <c r="P270" s="33"/>
      <c r="Q270" s="35"/>
      <c r="R270" s="33"/>
      <c r="S270" s="33"/>
      <c r="T270" s="33"/>
      <c r="U270" s="33"/>
      <c r="V270" s="33"/>
      <c r="W270" s="33"/>
    </row>
    <row r="271" customFormat="false" ht="15" hidden="false" customHeight="false" outlineLevel="0" collapsed="false">
      <c r="A271" s="33"/>
      <c r="B271" s="33"/>
      <c r="C271" s="33"/>
      <c r="D271" s="33"/>
      <c r="E271" s="33"/>
      <c r="F271" s="33"/>
      <c r="G271" s="33"/>
      <c r="H271" s="33"/>
      <c r="I271" s="33"/>
      <c r="J271" s="33"/>
      <c r="K271" s="33"/>
      <c r="L271" s="34"/>
      <c r="M271" s="34"/>
      <c r="N271" s="34"/>
      <c r="O271" s="34"/>
      <c r="P271" s="33"/>
      <c r="Q271" s="35"/>
      <c r="R271" s="33"/>
      <c r="S271" s="33"/>
      <c r="T271" s="33"/>
      <c r="U271" s="33"/>
      <c r="V271" s="33"/>
      <c r="W271" s="33"/>
    </row>
    <row r="272" customFormat="false" ht="15" hidden="false" customHeight="false" outlineLevel="0" collapsed="false">
      <c r="A272" s="33"/>
      <c r="B272" s="33"/>
      <c r="C272" s="33"/>
      <c r="D272" s="33"/>
      <c r="E272" s="33"/>
      <c r="F272" s="33"/>
      <c r="G272" s="33"/>
      <c r="H272" s="33"/>
      <c r="I272" s="33"/>
      <c r="J272" s="33"/>
      <c r="K272" s="33"/>
      <c r="L272" s="34"/>
      <c r="M272" s="34"/>
      <c r="N272" s="34"/>
      <c r="O272" s="34"/>
      <c r="P272" s="33"/>
      <c r="Q272" s="35"/>
      <c r="R272" s="33"/>
      <c r="S272" s="33"/>
      <c r="T272" s="33"/>
      <c r="U272" s="33"/>
      <c r="V272" s="33"/>
      <c r="W272" s="33"/>
    </row>
    <row r="273" customFormat="false" ht="15" hidden="false" customHeight="false" outlineLevel="0" collapsed="false">
      <c r="A273" s="33"/>
      <c r="B273" s="33"/>
      <c r="C273" s="33"/>
      <c r="D273" s="33"/>
      <c r="E273" s="33"/>
      <c r="F273" s="33"/>
      <c r="G273" s="33"/>
      <c r="H273" s="33"/>
      <c r="I273" s="33"/>
      <c r="J273" s="33"/>
      <c r="K273" s="33"/>
      <c r="L273" s="34"/>
      <c r="M273" s="34"/>
      <c r="N273" s="34"/>
      <c r="O273" s="34"/>
      <c r="P273" s="33"/>
      <c r="Q273" s="35"/>
      <c r="R273" s="33"/>
      <c r="S273" s="33"/>
      <c r="T273" s="33"/>
      <c r="U273" s="33"/>
      <c r="V273" s="33"/>
      <c r="W273" s="33"/>
    </row>
    <row r="274" customFormat="false" ht="15" hidden="false" customHeight="false" outlineLevel="0" collapsed="false">
      <c r="A274" s="33"/>
      <c r="B274" s="33"/>
      <c r="C274" s="33"/>
      <c r="D274" s="33"/>
      <c r="E274" s="33"/>
      <c r="F274" s="33"/>
      <c r="G274" s="33"/>
      <c r="H274" s="33"/>
      <c r="I274" s="33"/>
      <c r="J274" s="33"/>
      <c r="K274" s="33"/>
      <c r="L274" s="34"/>
      <c r="M274" s="34"/>
      <c r="N274" s="34"/>
      <c r="O274" s="34"/>
      <c r="P274" s="33"/>
      <c r="Q274" s="35"/>
      <c r="R274" s="33"/>
      <c r="S274" s="33"/>
      <c r="T274" s="33"/>
      <c r="U274" s="33"/>
      <c r="V274" s="33"/>
      <c r="W274" s="33"/>
    </row>
    <row r="275" customFormat="false" ht="15" hidden="false" customHeight="false" outlineLevel="0" collapsed="false">
      <c r="A275" s="33"/>
      <c r="B275" s="33"/>
      <c r="C275" s="33"/>
      <c r="D275" s="33"/>
      <c r="E275" s="33"/>
      <c r="F275" s="33"/>
      <c r="G275" s="33"/>
      <c r="H275" s="33"/>
      <c r="I275" s="33"/>
      <c r="J275" s="33"/>
      <c r="K275" s="33"/>
      <c r="L275" s="34"/>
      <c r="M275" s="34"/>
      <c r="N275" s="34"/>
      <c r="O275" s="34"/>
      <c r="P275" s="33"/>
      <c r="Q275" s="35"/>
      <c r="R275" s="33"/>
      <c r="S275" s="33"/>
      <c r="T275" s="33"/>
      <c r="U275" s="33"/>
      <c r="V275" s="33"/>
      <c r="W275" s="33"/>
    </row>
    <row r="276" customFormat="false" ht="15" hidden="false" customHeight="false" outlineLevel="0" collapsed="false">
      <c r="A276" s="33"/>
      <c r="B276" s="33"/>
      <c r="C276" s="33"/>
      <c r="D276" s="33"/>
      <c r="E276" s="33"/>
      <c r="F276" s="33"/>
      <c r="G276" s="33"/>
      <c r="H276" s="33"/>
      <c r="I276" s="33"/>
      <c r="J276" s="33"/>
      <c r="K276" s="33"/>
      <c r="L276" s="34"/>
      <c r="M276" s="34"/>
      <c r="N276" s="34"/>
      <c r="O276" s="34"/>
      <c r="P276" s="33"/>
      <c r="Q276" s="35"/>
      <c r="R276" s="33"/>
      <c r="S276" s="33"/>
      <c r="T276" s="33"/>
      <c r="U276" s="33"/>
      <c r="V276" s="33"/>
      <c r="W276" s="33"/>
    </row>
    <row r="277" customFormat="false" ht="15" hidden="false" customHeight="false" outlineLevel="0" collapsed="false">
      <c r="A277" s="33"/>
      <c r="B277" s="33"/>
      <c r="C277" s="33"/>
      <c r="D277" s="33"/>
      <c r="E277" s="33"/>
      <c r="F277" s="33"/>
      <c r="G277" s="33"/>
      <c r="H277" s="33"/>
      <c r="I277" s="33"/>
      <c r="J277" s="33"/>
      <c r="K277" s="33"/>
      <c r="L277" s="34"/>
      <c r="M277" s="34"/>
      <c r="N277" s="34"/>
      <c r="O277" s="34"/>
      <c r="P277" s="33"/>
      <c r="Q277" s="35"/>
      <c r="R277" s="33"/>
      <c r="S277" s="33"/>
      <c r="T277" s="33"/>
      <c r="U277" s="33"/>
      <c r="V277" s="33"/>
      <c r="W277" s="33"/>
    </row>
    <row r="278" customFormat="false" ht="15" hidden="false" customHeight="false" outlineLevel="0" collapsed="false">
      <c r="A278" s="33"/>
      <c r="B278" s="33"/>
      <c r="C278" s="33"/>
      <c r="D278" s="33"/>
      <c r="E278" s="33"/>
      <c r="F278" s="33"/>
      <c r="G278" s="33"/>
      <c r="H278" s="33"/>
      <c r="I278" s="33"/>
      <c r="J278" s="33"/>
      <c r="K278" s="33"/>
      <c r="L278" s="34"/>
      <c r="M278" s="34"/>
      <c r="N278" s="34"/>
      <c r="O278" s="34"/>
      <c r="P278" s="33"/>
      <c r="Q278" s="35"/>
      <c r="R278" s="33"/>
      <c r="S278" s="33"/>
      <c r="T278" s="33"/>
      <c r="U278" s="33"/>
      <c r="V278" s="33"/>
      <c r="W278" s="33"/>
    </row>
    <row r="279" customFormat="false" ht="15" hidden="false" customHeight="false" outlineLevel="0" collapsed="false">
      <c r="A279" s="33"/>
      <c r="B279" s="33"/>
      <c r="C279" s="33"/>
      <c r="D279" s="33"/>
      <c r="E279" s="33"/>
      <c r="F279" s="33"/>
      <c r="G279" s="33"/>
      <c r="H279" s="33"/>
      <c r="I279" s="33"/>
      <c r="J279" s="33"/>
      <c r="K279" s="33"/>
      <c r="L279" s="34"/>
      <c r="M279" s="34"/>
      <c r="N279" s="34"/>
      <c r="O279" s="34"/>
      <c r="P279" s="33"/>
      <c r="Q279" s="35"/>
      <c r="R279" s="33"/>
      <c r="S279" s="33"/>
      <c r="T279" s="33"/>
      <c r="U279" s="33"/>
      <c r="V279" s="33"/>
      <c r="W279" s="33"/>
    </row>
    <row r="280" customFormat="false" ht="15" hidden="false" customHeight="false" outlineLevel="0" collapsed="false">
      <c r="A280" s="33"/>
      <c r="B280" s="33"/>
      <c r="C280" s="33"/>
      <c r="D280" s="33"/>
      <c r="E280" s="33"/>
      <c r="F280" s="33"/>
      <c r="G280" s="33"/>
      <c r="H280" s="33"/>
      <c r="I280" s="33"/>
      <c r="J280" s="33"/>
      <c r="K280" s="33"/>
      <c r="L280" s="34"/>
      <c r="M280" s="34"/>
      <c r="N280" s="34"/>
      <c r="O280" s="34"/>
      <c r="P280" s="33"/>
      <c r="Q280" s="35"/>
      <c r="R280" s="33"/>
      <c r="S280" s="33"/>
      <c r="T280" s="33"/>
      <c r="U280" s="33"/>
      <c r="V280" s="33"/>
      <c r="W280" s="33"/>
    </row>
    <row r="281" customFormat="false" ht="15" hidden="false" customHeight="false" outlineLevel="0" collapsed="false">
      <c r="A281" s="33"/>
      <c r="B281" s="33"/>
      <c r="C281" s="33"/>
      <c r="D281" s="33"/>
      <c r="E281" s="33"/>
      <c r="F281" s="33"/>
      <c r="G281" s="33"/>
      <c r="H281" s="33"/>
      <c r="I281" s="33"/>
      <c r="J281" s="33"/>
      <c r="K281" s="33"/>
      <c r="L281" s="34"/>
      <c r="M281" s="34"/>
      <c r="N281" s="34"/>
      <c r="O281" s="34"/>
      <c r="P281" s="33"/>
      <c r="Q281" s="35"/>
      <c r="R281" s="33"/>
      <c r="S281" s="33"/>
      <c r="T281" s="33"/>
      <c r="U281" s="33"/>
      <c r="V281" s="33"/>
      <c r="W281" s="33"/>
    </row>
    <row r="282" customFormat="false" ht="15" hidden="false" customHeight="false" outlineLevel="0" collapsed="false">
      <c r="A282" s="33"/>
      <c r="B282" s="33"/>
      <c r="C282" s="33"/>
      <c r="D282" s="33"/>
      <c r="E282" s="33"/>
      <c r="F282" s="33"/>
      <c r="G282" s="33"/>
      <c r="H282" s="33"/>
      <c r="I282" s="33"/>
      <c r="J282" s="33"/>
      <c r="K282" s="33"/>
      <c r="L282" s="34"/>
      <c r="M282" s="34"/>
      <c r="N282" s="34"/>
      <c r="O282" s="34"/>
      <c r="P282" s="33"/>
      <c r="Q282" s="35"/>
      <c r="R282" s="33"/>
      <c r="S282" s="33"/>
      <c r="T282" s="33"/>
      <c r="U282" s="33"/>
      <c r="V282" s="33"/>
      <c r="W282" s="33"/>
    </row>
    <row r="283" customFormat="false" ht="15" hidden="false" customHeight="false" outlineLevel="0" collapsed="false">
      <c r="A283" s="33"/>
      <c r="B283" s="33"/>
      <c r="C283" s="33"/>
      <c r="D283" s="33"/>
      <c r="E283" s="33"/>
      <c r="F283" s="33"/>
      <c r="G283" s="33"/>
      <c r="H283" s="33"/>
      <c r="I283" s="33"/>
      <c r="J283" s="33"/>
      <c r="K283" s="33"/>
      <c r="L283" s="34"/>
      <c r="M283" s="34"/>
      <c r="N283" s="34"/>
      <c r="O283" s="34"/>
      <c r="P283" s="33"/>
      <c r="Q283" s="35"/>
      <c r="R283" s="33"/>
      <c r="S283" s="33"/>
      <c r="T283" s="33"/>
      <c r="U283" s="33"/>
      <c r="V283" s="33"/>
      <c r="W283" s="33"/>
    </row>
    <row r="284" customFormat="false" ht="15" hidden="false" customHeight="false" outlineLevel="0" collapsed="false">
      <c r="A284" s="33"/>
      <c r="B284" s="33"/>
      <c r="C284" s="33"/>
      <c r="D284" s="33"/>
      <c r="E284" s="33"/>
      <c r="F284" s="33"/>
      <c r="G284" s="33"/>
      <c r="H284" s="33"/>
      <c r="I284" s="33"/>
      <c r="J284" s="33"/>
      <c r="K284" s="33"/>
      <c r="L284" s="34"/>
      <c r="M284" s="34"/>
      <c r="N284" s="34"/>
      <c r="O284" s="34"/>
      <c r="P284" s="33"/>
      <c r="Q284" s="35"/>
      <c r="R284" s="33"/>
      <c r="S284" s="33"/>
      <c r="T284" s="33"/>
      <c r="U284" s="33"/>
      <c r="V284" s="33"/>
      <c r="W284" s="33"/>
    </row>
    <row r="285" customFormat="false" ht="15" hidden="false" customHeight="false" outlineLevel="0" collapsed="false">
      <c r="A285" s="33"/>
      <c r="B285" s="33"/>
      <c r="C285" s="33"/>
      <c r="D285" s="33"/>
      <c r="E285" s="33"/>
      <c r="F285" s="33"/>
      <c r="G285" s="33"/>
      <c r="H285" s="33"/>
      <c r="I285" s="33"/>
      <c r="J285" s="33"/>
      <c r="K285" s="33"/>
      <c r="L285" s="34"/>
      <c r="M285" s="34"/>
      <c r="N285" s="34"/>
      <c r="O285" s="34"/>
      <c r="P285" s="33"/>
      <c r="Q285" s="35"/>
      <c r="R285" s="33"/>
      <c r="S285" s="33"/>
      <c r="T285" s="33"/>
      <c r="U285" s="33"/>
      <c r="V285" s="33"/>
      <c r="W285" s="33"/>
    </row>
    <row r="286" customFormat="false" ht="15" hidden="false" customHeight="false" outlineLevel="0" collapsed="false">
      <c r="A286" s="33"/>
      <c r="B286" s="33"/>
      <c r="C286" s="33"/>
      <c r="D286" s="33"/>
      <c r="E286" s="33"/>
      <c r="F286" s="33"/>
      <c r="G286" s="33"/>
      <c r="H286" s="33"/>
      <c r="I286" s="33"/>
      <c r="J286" s="33"/>
      <c r="K286" s="33"/>
      <c r="L286" s="34"/>
      <c r="M286" s="34"/>
      <c r="N286" s="34"/>
      <c r="O286" s="34"/>
      <c r="P286" s="33"/>
      <c r="Q286" s="35"/>
      <c r="R286" s="33"/>
      <c r="S286" s="33"/>
      <c r="T286" s="33"/>
      <c r="U286" s="33"/>
      <c r="V286" s="33"/>
      <c r="W286" s="33"/>
    </row>
    <row r="287" customFormat="false" ht="15" hidden="false" customHeight="false" outlineLevel="0" collapsed="false">
      <c r="A287" s="33"/>
      <c r="B287" s="33"/>
      <c r="C287" s="33"/>
      <c r="D287" s="33"/>
      <c r="E287" s="33"/>
      <c r="F287" s="33"/>
      <c r="G287" s="33"/>
      <c r="H287" s="33"/>
      <c r="I287" s="33"/>
      <c r="J287" s="33"/>
      <c r="K287" s="33"/>
      <c r="L287" s="34"/>
      <c r="M287" s="34"/>
      <c r="N287" s="34"/>
      <c r="O287" s="34"/>
      <c r="P287" s="33"/>
      <c r="Q287" s="35"/>
      <c r="R287" s="33"/>
      <c r="S287" s="33"/>
      <c r="T287" s="33"/>
      <c r="U287" s="33"/>
      <c r="V287" s="33"/>
      <c r="W287" s="33"/>
    </row>
    <row r="288" customFormat="false" ht="15" hidden="false" customHeight="false" outlineLevel="0" collapsed="false">
      <c r="A288" s="33"/>
      <c r="B288" s="33"/>
      <c r="C288" s="33"/>
      <c r="D288" s="33"/>
      <c r="E288" s="33"/>
      <c r="F288" s="33"/>
      <c r="G288" s="33"/>
      <c r="H288" s="33"/>
      <c r="I288" s="33"/>
      <c r="J288" s="33"/>
      <c r="K288" s="33"/>
      <c r="L288" s="34"/>
      <c r="M288" s="34"/>
      <c r="N288" s="34"/>
      <c r="O288" s="34"/>
      <c r="P288" s="33"/>
      <c r="Q288" s="35"/>
      <c r="R288" s="33"/>
      <c r="S288" s="33"/>
      <c r="T288" s="33"/>
      <c r="U288" s="33"/>
      <c r="V288" s="33"/>
      <c r="W288" s="33"/>
    </row>
    <row r="289" customFormat="false" ht="15" hidden="false" customHeight="false" outlineLevel="0" collapsed="false">
      <c r="A289" s="33"/>
      <c r="B289" s="33"/>
      <c r="C289" s="33"/>
      <c r="D289" s="33"/>
      <c r="E289" s="33"/>
      <c r="F289" s="33"/>
      <c r="G289" s="33"/>
      <c r="H289" s="33"/>
      <c r="I289" s="33"/>
      <c r="J289" s="33"/>
      <c r="K289" s="33"/>
      <c r="L289" s="34"/>
      <c r="M289" s="34"/>
      <c r="N289" s="34"/>
      <c r="O289" s="34"/>
      <c r="P289" s="33"/>
      <c r="Q289" s="35"/>
      <c r="R289" s="33"/>
      <c r="S289" s="33"/>
      <c r="T289" s="33"/>
      <c r="U289" s="33"/>
      <c r="V289" s="33"/>
      <c r="W289" s="33"/>
    </row>
    <row r="290" customFormat="false" ht="15" hidden="false" customHeight="false" outlineLevel="0" collapsed="false">
      <c r="A290" s="33"/>
      <c r="B290" s="33"/>
      <c r="C290" s="33"/>
      <c r="D290" s="33"/>
      <c r="E290" s="33"/>
      <c r="F290" s="33"/>
      <c r="G290" s="33"/>
      <c r="H290" s="33"/>
      <c r="I290" s="33"/>
      <c r="J290" s="33"/>
      <c r="K290" s="33"/>
      <c r="L290" s="34"/>
      <c r="M290" s="34"/>
      <c r="N290" s="34"/>
      <c r="O290" s="34"/>
      <c r="P290" s="33"/>
      <c r="Q290" s="35"/>
      <c r="R290" s="33"/>
      <c r="S290" s="33"/>
      <c r="T290" s="33"/>
      <c r="U290" s="33"/>
      <c r="V290" s="33"/>
      <c r="W290" s="33"/>
    </row>
    <row r="291" customFormat="false" ht="15" hidden="false" customHeight="false" outlineLevel="0" collapsed="false">
      <c r="A291" s="33"/>
      <c r="B291" s="33"/>
      <c r="C291" s="33"/>
      <c r="D291" s="33"/>
      <c r="E291" s="33"/>
      <c r="F291" s="33"/>
      <c r="G291" s="33"/>
      <c r="H291" s="33"/>
      <c r="I291" s="33"/>
      <c r="J291" s="33"/>
      <c r="K291" s="33"/>
      <c r="L291" s="34"/>
      <c r="M291" s="34"/>
      <c r="N291" s="34"/>
      <c r="O291" s="34"/>
      <c r="P291" s="33"/>
      <c r="Q291" s="35"/>
      <c r="R291" s="33"/>
      <c r="S291" s="33"/>
      <c r="T291" s="33"/>
      <c r="U291" s="33"/>
      <c r="V291" s="33"/>
      <c r="W291" s="33"/>
    </row>
    <row r="292" customFormat="false" ht="15" hidden="false" customHeight="false" outlineLevel="0" collapsed="false">
      <c r="A292" s="33"/>
      <c r="B292" s="33"/>
      <c r="C292" s="33"/>
      <c r="D292" s="33"/>
      <c r="E292" s="33"/>
      <c r="F292" s="33"/>
      <c r="G292" s="33"/>
      <c r="H292" s="33"/>
      <c r="I292" s="33"/>
      <c r="J292" s="33"/>
      <c r="K292" s="33"/>
      <c r="L292" s="34"/>
      <c r="M292" s="34"/>
      <c r="N292" s="34"/>
      <c r="O292" s="34"/>
      <c r="P292" s="33"/>
      <c r="Q292" s="35"/>
      <c r="R292" s="33"/>
      <c r="S292" s="33"/>
      <c r="T292" s="33"/>
      <c r="U292" s="33"/>
      <c r="V292" s="33"/>
      <c r="W292" s="33"/>
    </row>
    <row r="293" customFormat="false" ht="15" hidden="false" customHeight="false" outlineLevel="0" collapsed="false">
      <c r="A293" s="33"/>
      <c r="B293" s="33"/>
      <c r="C293" s="33"/>
      <c r="D293" s="33"/>
      <c r="E293" s="33"/>
      <c r="F293" s="33"/>
      <c r="G293" s="33"/>
      <c r="H293" s="33"/>
      <c r="I293" s="33"/>
      <c r="J293" s="33"/>
      <c r="K293" s="33"/>
      <c r="L293" s="34"/>
      <c r="M293" s="34"/>
      <c r="N293" s="34"/>
      <c r="O293" s="34"/>
      <c r="P293" s="33"/>
      <c r="Q293" s="35"/>
      <c r="R293" s="33"/>
      <c r="S293" s="33"/>
      <c r="T293" s="33"/>
      <c r="U293" s="33"/>
      <c r="V293" s="33"/>
      <c r="W293" s="33"/>
    </row>
    <row r="294" customFormat="false" ht="15" hidden="false" customHeight="false" outlineLevel="0" collapsed="false">
      <c r="A294" s="33"/>
      <c r="B294" s="33"/>
      <c r="C294" s="33"/>
      <c r="D294" s="33"/>
      <c r="E294" s="33"/>
      <c r="F294" s="33"/>
      <c r="G294" s="33"/>
      <c r="H294" s="33"/>
      <c r="I294" s="33"/>
      <c r="J294" s="33"/>
      <c r="K294" s="33"/>
      <c r="L294" s="34"/>
      <c r="M294" s="34"/>
      <c r="N294" s="34"/>
      <c r="O294" s="34"/>
      <c r="P294" s="33"/>
      <c r="Q294" s="35"/>
      <c r="R294" s="33"/>
      <c r="S294" s="33"/>
      <c r="T294" s="33"/>
      <c r="U294" s="33"/>
      <c r="V294" s="33"/>
      <c r="W294" s="33"/>
    </row>
    <row r="295" customFormat="false" ht="15" hidden="false" customHeight="false" outlineLevel="0" collapsed="false">
      <c r="A295" s="33"/>
      <c r="B295" s="33"/>
      <c r="C295" s="33"/>
      <c r="D295" s="33"/>
      <c r="E295" s="33"/>
      <c r="F295" s="33"/>
      <c r="G295" s="33"/>
      <c r="H295" s="33"/>
      <c r="I295" s="33"/>
      <c r="J295" s="33"/>
      <c r="K295" s="33"/>
      <c r="L295" s="34"/>
      <c r="M295" s="34"/>
      <c r="N295" s="34"/>
      <c r="O295" s="34"/>
      <c r="P295" s="33"/>
      <c r="Q295" s="35"/>
      <c r="R295" s="33"/>
      <c r="S295" s="33"/>
      <c r="T295" s="33"/>
      <c r="U295" s="33"/>
      <c r="V295" s="33"/>
      <c r="W295" s="33"/>
    </row>
    <row r="296" customFormat="false" ht="15" hidden="false" customHeight="false" outlineLevel="0" collapsed="false">
      <c r="A296" s="33"/>
      <c r="B296" s="33"/>
      <c r="C296" s="33"/>
      <c r="D296" s="33"/>
      <c r="E296" s="33"/>
      <c r="F296" s="33"/>
      <c r="G296" s="33"/>
      <c r="H296" s="33"/>
      <c r="I296" s="33"/>
      <c r="J296" s="33"/>
      <c r="K296" s="33"/>
      <c r="L296" s="34"/>
      <c r="M296" s="34"/>
      <c r="N296" s="34"/>
      <c r="O296" s="34"/>
      <c r="P296" s="33"/>
      <c r="Q296" s="35"/>
      <c r="R296" s="33"/>
      <c r="S296" s="33"/>
      <c r="T296" s="33"/>
      <c r="U296" s="33"/>
      <c r="V296" s="33"/>
      <c r="W296" s="33"/>
    </row>
    <row r="297" customFormat="false" ht="15" hidden="false" customHeight="false" outlineLevel="0" collapsed="false">
      <c r="A297" s="33"/>
      <c r="B297" s="33"/>
      <c r="C297" s="33"/>
      <c r="D297" s="33"/>
      <c r="E297" s="33"/>
      <c r="F297" s="33"/>
      <c r="G297" s="33"/>
      <c r="H297" s="33"/>
      <c r="I297" s="33"/>
      <c r="J297" s="33"/>
      <c r="K297" s="33"/>
      <c r="L297" s="34"/>
      <c r="M297" s="34"/>
      <c r="N297" s="34"/>
      <c r="O297" s="34"/>
      <c r="P297" s="33"/>
      <c r="Q297" s="35"/>
      <c r="R297" s="33"/>
      <c r="S297" s="33"/>
      <c r="T297" s="33"/>
      <c r="U297" s="33"/>
      <c r="V297" s="33"/>
      <c r="W297" s="33"/>
    </row>
    <row r="298" customFormat="false" ht="15" hidden="false" customHeight="false" outlineLevel="0" collapsed="false">
      <c r="A298" s="33"/>
      <c r="B298" s="33"/>
      <c r="C298" s="33"/>
      <c r="D298" s="33"/>
      <c r="E298" s="33"/>
      <c r="F298" s="33"/>
      <c r="G298" s="33"/>
      <c r="H298" s="33"/>
      <c r="I298" s="33"/>
      <c r="J298" s="33"/>
      <c r="K298" s="33"/>
      <c r="L298" s="34"/>
      <c r="M298" s="34"/>
      <c r="N298" s="34"/>
      <c r="O298" s="34"/>
      <c r="P298" s="33"/>
      <c r="Q298" s="35"/>
      <c r="R298" s="33"/>
      <c r="S298" s="33"/>
      <c r="T298" s="33"/>
      <c r="U298" s="33"/>
      <c r="V298" s="33"/>
      <c r="W298" s="33"/>
    </row>
    <row r="299" customFormat="false" ht="15" hidden="false" customHeight="false" outlineLevel="0" collapsed="false">
      <c r="A299" s="33"/>
      <c r="B299" s="33"/>
      <c r="C299" s="33"/>
      <c r="D299" s="33"/>
      <c r="E299" s="33"/>
      <c r="F299" s="33"/>
      <c r="G299" s="33"/>
      <c r="H299" s="33"/>
      <c r="I299" s="33"/>
      <c r="J299" s="33"/>
      <c r="K299" s="33"/>
      <c r="L299" s="34"/>
      <c r="M299" s="34"/>
      <c r="N299" s="34"/>
      <c r="O299" s="34"/>
      <c r="P299" s="33"/>
      <c r="Q299" s="35"/>
      <c r="R299" s="33"/>
      <c r="S299" s="33"/>
      <c r="T299" s="33"/>
      <c r="U299" s="33"/>
      <c r="V299" s="33"/>
      <c r="W299" s="33"/>
    </row>
    <row r="300" customFormat="false" ht="15" hidden="false" customHeight="false" outlineLevel="0" collapsed="false">
      <c r="A300" s="33"/>
      <c r="B300" s="33"/>
      <c r="C300" s="33"/>
      <c r="D300" s="33"/>
      <c r="E300" s="33"/>
      <c r="F300" s="33"/>
      <c r="G300" s="33"/>
      <c r="H300" s="33"/>
      <c r="I300" s="33"/>
      <c r="J300" s="33"/>
      <c r="K300" s="33"/>
      <c r="L300" s="34"/>
      <c r="M300" s="34"/>
      <c r="N300" s="34"/>
      <c r="O300" s="34"/>
      <c r="P300" s="33"/>
      <c r="Q300" s="35"/>
      <c r="R300" s="33"/>
      <c r="S300" s="33"/>
      <c r="T300" s="33"/>
      <c r="U300" s="33"/>
      <c r="V300" s="33"/>
      <c r="W300" s="33"/>
    </row>
  </sheetData>
  <autoFilter ref="A4:W11"/>
  <mergeCells count="6">
    <mergeCell ref="A3:C3"/>
    <mergeCell ref="D3:H3"/>
    <mergeCell ref="I3:O3"/>
    <mergeCell ref="P3:R3"/>
    <mergeCell ref="S3:U3"/>
    <mergeCell ref="V3:W3"/>
  </mergeCells>
  <conditionalFormatting sqref="P5:P300">
    <cfRule type="expression" priority="2" aboveAverage="0" equalAverage="0" bottom="0" percent="0" rank="0" text="" dxfId="5">
      <formula>$P5="AVL"</formula>
    </cfRule>
    <cfRule type="expression" priority="3" aboveAverage="0" equalAverage="0" bottom="0" percent="0" rank="0" text="" dxfId="6">
      <formula>$P5="Qualified"</formula>
    </cfRule>
    <cfRule type="expression" priority="4" aboveAverage="0" equalAverage="0" bottom="0" percent="0" rank="0" text="" dxfId="7">
      <formula>$P5="Prequalified"</formula>
    </cfRule>
    <cfRule type="expression" priority="5" aboveAverage="0" equalAverage="0" bottom="0" percent="0" rank="0" text="" dxfId="8">
      <formula>$P5="On Hold"</formula>
    </cfRule>
    <cfRule type="expression" priority="6" aboveAverage="0" equalAverage="0" bottom="0" percent="0" rank="0" text="" dxfId="9">
      <formula>$P5="Disqualified"</formula>
    </cfRule>
  </conditionalFormatting>
  <conditionalFormatting sqref="W5:W300">
    <cfRule type="expression" priority="7" aboveAverage="0" equalAverage="0" bottom="0" percent="0" rank="0" text="" dxfId="9">
      <formula>$W5="High"</formula>
    </cfRule>
    <cfRule type="expression" priority="8" aboveAverage="0" equalAverage="0" bottom="0" percent="0" rank="0" text="" dxfId="10">
      <formula>$W5="FEOC Review"</formula>
    </cfRule>
    <cfRule type="expression" priority="9" aboveAverage="0" equalAverage="0" bottom="0" percent="0" rank="0" text="" dxfId="8">
      <formula>$W5="Medium"</formula>
    </cfRule>
    <cfRule type="expression" priority="10" aboveAverage="0" equalAverage="0" bottom="0" percent="0" rank="0" text="" dxfId="5">
      <formula>$W5="Low"</formula>
    </cfRule>
  </conditionalFormatting>
  <dataValidations count="5">
    <dataValidation allowBlank="true" error="Pick a value from the list (edit the Lists tab to change options)." errorStyle="stop" errorTitle="Invalid entry" operator="between" showDropDown="false" showErrorMessage="true" showInputMessage="false" sqref="P5:P300" type="list">
      <formula1>lst_status</formula1>
      <formula2>0</formula2>
    </dataValidation>
    <dataValidation allowBlank="true" error="Pick a value from the list (edit the Lists tab to change options)." errorStyle="stop" errorTitle="Invalid entry" operator="between" showDropDown="false" showErrorMessage="true" showInputMessage="false" sqref="R5:R300" type="list">
      <formula1>lst_rfx</formula1>
      <formula2>0</formula2>
    </dataValidation>
    <dataValidation allowBlank="true" error="Pick a value from the list (edit the Lists tab to change options)." errorStyle="stop" errorTitle="Invalid entry" operator="between" showDropDown="false" showErrorMessage="true" showInputMessage="false" sqref="T5:T300" type="list">
      <formula1>lst_fin</formula1>
      <formula2>0</formula2>
    </dataValidation>
    <dataValidation allowBlank="true" error="Pick a value from the list (edit the Lists tab to change options)." errorStyle="stop" errorTitle="Invalid entry" operator="between" showDropDown="false" showErrorMessage="true" showInputMessage="false" sqref="W5:W300" type="list">
      <formula1>lst_scr</formula1>
      <formula2>0</formula2>
    </dataValidation>
    <dataValidation allowBlank="true" error="Enter a date (yyyy-mm-dd)." errorStyle="stop" operator="greaterThan" showDropDown="false" showErrorMessage="true" showInputMessage="false" sqref="Q5:Q300" type="date">
      <formula1>DATE(2020,1,1)</formula1>
      <formula2>0</formula2>
    </dataValidation>
  </dataValidations>
  <hyperlinks>
    <hyperlink ref="I5" r:id="rId2" display="https://www.dnv.com"/>
    <hyperlink ref="K5" r:id="rId3" display="https://www.dnv.us/contact/"/>
    <hyperlink ref="I6" r:id="rId4" display="https://enertisapplus.com"/>
    <hyperlink ref="K6" r:id="rId5" display="https://enertisapplus.com/contact/"/>
    <hyperlink ref="I7" r:id="rId6" display="https://www.bv.com"/>
    <hyperlink ref="K7" r:id="rId7" display="https://www.bv.com/contact-us"/>
    <hyperlink ref="I8" r:id="rId8" display="https://www.sargentlundy.com"/>
    <hyperlink ref="K8" r:id="rId9" display="https://www.sargentlundy.com/contact-us"/>
    <hyperlink ref="I9" r:id="rId10" display="https://www.cea3.com"/>
    <hyperlink ref="I10" r:id="rId11" display="https://www.kimley-horn.com"/>
    <hyperlink ref="K10" r:id="rId12" display="https://www.kimley-horn.com/contact/submit-a-service-inquiry/"/>
    <hyperlink ref="I11" r:id="rId13" display="https://www.naturalpower.com"/>
    <hyperlink ref="K11" r:id="rId14" display="https://www.naturalpower.com/us/contac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5"/>
  <legacyDrawing r:id="rId16"/>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C8A"/>
    <pageSetUpPr fitToPage="false"/>
  </sheetPr>
  <dimension ref="A1:W30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40"/>
    <col collapsed="false" customWidth="true" hidden="false" outlineLevel="0" max="4" min="4" style="0" width="15"/>
    <col collapsed="false" customWidth="true" hidden="false" outlineLevel="0" max="5" min="5" style="0" width="11"/>
    <col collapsed="false" customWidth="true" hidden="false" outlineLevel="0" max="6" min="6" style="0" width="13"/>
    <col collapsed="false" customWidth="true" hidden="false" outlineLevel="0" max="7" min="7" style="0" width="18"/>
    <col collapsed="false" customWidth="true" hidden="false" outlineLevel="0" max="9" min="8" style="0" width="28"/>
    <col collapsed="false" customWidth="true" hidden="false" outlineLevel="0" max="10" min="10" style="0" width="18"/>
    <col collapsed="false" customWidth="true" hidden="false" outlineLevel="0" max="11" min="11" style="0" width="28"/>
    <col collapsed="false" customWidth="true" hidden="false" outlineLevel="0" max="12" min="12" style="0" width="20"/>
    <col collapsed="false" customWidth="true" hidden="false" outlineLevel="0" max="13" min="13" style="0" width="18"/>
    <col collapsed="false" customWidth="true" hidden="false" outlineLevel="0" max="14" min="14" style="0" width="24"/>
    <col collapsed="false" customWidth="true" hidden="false" outlineLevel="0" max="16" min="15" style="0" width="15"/>
    <col collapsed="false" customWidth="true" hidden="false" outlineLevel="0" max="17" min="17" style="0" width="12"/>
    <col collapsed="false" customWidth="true" hidden="false" outlineLevel="0" max="18" min="18" style="0" width="14"/>
    <col collapsed="false" customWidth="true" hidden="false" outlineLevel="0" max="19" min="19" style="0" width="24"/>
    <col collapsed="false" customWidth="true" hidden="false" outlineLevel="0" max="20" min="20" style="0" width="13"/>
    <col collapsed="false" customWidth="true" hidden="false" outlineLevel="0" max="22" min="21" style="0" width="45"/>
    <col collapsed="false" customWidth="true" hidden="false" outlineLevel="0" max="23" min="23" style="0" width="13"/>
  </cols>
  <sheetData>
    <row r="1" customFormat="false" ht="17.35" hidden="false" customHeight="false" outlineLevel="0" collapsed="false">
      <c r="A1" s="16" t="s">
        <v>498</v>
      </c>
    </row>
    <row r="2" customFormat="false" ht="15" hidden="false" customHeight="false" outlineLevel="0" collapsed="false">
      <c r="A2" s="2" t="s">
        <v>87</v>
      </c>
    </row>
    <row r="3" customFormat="false" ht="15" hidden="false" customHeight="false" outlineLevel="0" collapsed="false">
      <c r="A3" s="22" t="s">
        <v>58</v>
      </c>
      <c r="B3" s="22"/>
      <c r="C3" s="22"/>
      <c r="D3" s="23" t="s">
        <v>60</v>
      </c>
      <c r="E3" s="23"/>
      <c r="F3" s="23"/>
      <c r="G3" s="23"/>
      <c r="H3" s="23"/>
      <c r="I3" s="24" t="s">
        <v>61</v>
      </c>
      <c r="J3" s="24"/>
      <c r="K3" s="24"/>
      <c r="L3" s="24"/>
      <c r="M3" s="24"/>
      <c r="N3" s="24"/>
      <c r="O3" s="24"/>
      <c r="P3" s="25" t="s">
        <v>62</v>
      </c>
      <c r="Q3" s="25"/>
      <c r="R3" s="25"/>
      <c r="S3" s="26" t="s">
        <v>32</v>
      </c>
      <c r="T3" s="26"/>
      <c r="U3" s="26"/>
      <c r="V3" s="27" t="s">
        <v>34</v>
      </c>
      <c r="W3" s="27"/>
    </row>
    <row r="4" customFormat="false" ht="31.5" hidden="false" customHeight="true" outlineLevel="0" collapsed="false">
      <c r="A4" s="28" t="s">
        <v>88</v>
      </c>
      <c r="B4" s="28" t="s">
        <v>89</v>
      </c>
      <c r="C4" s="28" t="s">
        <v>499</v>
      </c>
      <c r="D4" s="28" t="s">
        <v>91</v>
      </c>
      <c r="E4" s="28" t="s">
        <v>92</v>
      </c>
      <c r="F4" s="28" t="s">
        <v>93</v>
      </c>
      <c r="G4" s="28" t="s">
        <v>94</v>
      </c>
      <c r="H4" s="28" t="s">
        <v>95</v>
      </c>
      <c r="I4" s="28" t="s">
        <v>96</v>
      </c>
      <c r="J4" s="28" t="s">
        <v>97</v>
      </c>
      <c r="K4" s="28" t="s">
        <v>98</v>
      </c>
      <c r="L4" s="28" t="s">
        <v>99</v>
      </c>
      <c r="M4" s="28" t="s">
        <v>100</v>
      </c>
      <c r="N4" s="28" t="s">
        <v>101</v>
      </c>
      <c r="O4" s="28" t="s">
        <v>102</v>
      </c>
      <c r="P4" s="28" t="s">
        <v>103</v>
      </c>
      <c r="Q4" s="28" t="s">
        <v>104</v>
      </c>
      <c r="R4" s="28" t="s">
        <v>105</v>
      </c>
      <c r="S4" s="28" t="s">
        <v>106</v>
      </c>
      <c r="T4" s="28" t="s">
        <v>41</v>
      </c>
      <c r="U4" s="28" t="s">
        <v>107</v>
      </c>
      <c r="V4" s="28" t="s">
        <v>108</v>
      </c>
      <c r="W4" s="28" t="s">
        <v>109</v>
      </c>
    </row>
    <row r="5" customFormat="false" ht="43.25" hidden="false" customHeight="false" outlineLevel="0" collapsed="false">
      <c r="A5" s="29" t="s">
        <v>500</v>
      </c>
      <c r="B5" s="29" t="s">
        <v>256</v>
      </c>
      <c r="C5" s="29" t="s">
        <v>501</v>
      </c>
      <c r="D5" s="29" t="s">
        <v>258</v>
      </c>
      <c r="E5" s="29" t="s">
        <v>259</v>
      </c>
      <c r="F5" s="29" t="s">
        <v>127</v>
      </c>
      <c r="G5" s="29"/>
      <c r="H5" s="29" t="s">
        <v>260</v>
      </c>
      <c r="I5" s="30" t="s">
        <v>502</v>
      </c>
      <c r="J5" s="29" t="s">
        <v>503</v>
      </c>
      <c r="K5" s="30" t="s">
        <v>262</v>
      </c>
      <c r="L5" s="31"/>
      <c r="M5" s="31"/>
      <c r="N5" s="31"/>
      <c r="O5" s="31"/>
      <c r="P5" s="29" t="s">
        <v>19</v>
      </c>
      <c r="Q5" s="32" t="n">
        <v>46300</v>
      </c>
      <c r="R5" s="29" t="s">
        <v>117</v>
      </c>
      <c r="S5" s="29" t="s">
        <v>461</v>
      </c>
      <c r="T5" s="29" t="s">
        <v>119</v>
      </c>
      <c r="U5" s="29" t="s">
        <v>504</v>
      </c>
      <c r="V5" s="29"/>
      <c r="W5" s="29" t="s">
        <v>119</v>
      </c>
    </row>
    <row r="6" customFormat="false" ht="32.8" hidden="false" customHeight="false" outlineLevel="0" collapsed="false">
      <c r="A6" s="29" t="s">
        <v>505</v>
      </c>
      <c r="B6" s="29" t="s">
        <v>279</v>
      </c>
      <c r="C6" s="29" t="s">
        <v>506</v>
      </c>
      <c r="D6" s="29" t="s">
        <v>281</v>
      </c>
      <c r="E6" s="29" t="s">
        <v>282</v>
      </c>
      <c r="F6" s="29" t="s">
        <v>127</v>
      </c>
      <c r="G6" s="29"/>
      <c r="H6" s="29" t="s">
        <v>466</v>
      </c>
      <c r="I6" s="30" t="s">
        <v>467</v>
      </c>
      <c r="J6" s="29" t="s">
        <v>468</v>
      </c>
      <c r="K6" s="30" t="s">
        <v>285</v>
      </c>
      <c r="L6" s="31"/>
      <c r="M6" s="31"/>
      <c r="N6" s="31"/>
      <c r="O6" s="31"/>
      <c r="P6" s="29" t="s">
        <v>19</v>
      </c>
      <c r="Q6" s="32" t="n">
        <v>46300</v>
      </c>
      <c r="R6" s="29" t="s">
        <v>117</v>
      </c>
      <c r="S6" s="29" t="s">
        <v>469</v>
      </c>
      <c r="T6" s="29" t="s">
        <v>119</v>
      </c>
      <c r="U6" s="29" t="s">
        <v>507</v>
      </c>
      <c r="V6" s="29"/>
      <c r="W6" s="29" t="s">
        <v>119</v>
      </c>
    </row>
    <row r="7" customFormat="false" ht="22.35" hidden="false" customHeight="false" outlineLevel="0" collapsed="false">
      <c r="A7" s="29" t="s">
        <v>508</v>
      </c>
      <c r="B7" s="29" t="s">
        <v>509</v>
      </c>
      <c r="C7" s="29" t="s">
        <v>510</v>
      </c>
      <c r="D7" s="29" t="s">
        <v>304</v>
      </c>
      <c r="E7" s="29" t="s">
        <v>305</v>
      </c>
      <c r="F7" s="29" t="s">
        <v>127</v>
      </c>
      <c r="G7" s="29"/>
      <c r="H7" s="29"/>
      <c r="I7" s="30" t="s">
        <v>511</v>
      </c>
      <c r="J7" s="29"/>
      <c r="K7" s="29"/>
      <c r="L7" s="31"/>
      <c r="M7" s="31"/>
      <c r="N7" s="31"/>
      <c r="O7" s="31"/>
      <c r="P7" s="29" t="s">
        <v>19</v>
      </c>
      <c r="Q7" s="32" t="n">
        <v>46300</v>
      </c>
      <c r="R7" s="29" t="s">
        <v>117</v>
      </c>
      <c r="S7" s="29" t="s">
        <v>512</v>
      </c>
      <c r="T7" s="29" t="s">
        <v>119</v>
      </c>
      <c r="U7" s="29" t="s">
        <v>513</v>
      </c>
      <c r="V7" s="29" t="s">
        <v>514</v>
      </c>
      <c r="W7" s="29" t="s">
        <v>119</v>
      </c>
    </row>
    <row r="8" customFormat="false" ht="43.25" hidden="false" customHeight="false" outlineLevel="0" collapsed="false">
      <c r="A8" s="29" t="s">
        <v>515</v>
      </c>
      <c r="B8" s="29" t="s">
        <v>181</v>
      </c>
      <c r="C8" s="29" t="s">
        <v>516</v>
      </c>
      <c r="D8" s="29" t="s">
        <v>183</v>
      </c>
      <c r="E8" s="29" t="s">
        <v>184</v>
      </c>
      <c r="F8" s="29" t="s">
        <v>127</v>
      </c>
      <c r="G8" s="29"/>
      <c r="H8" s="29" t="s">
        <v>185</v>
      </c>
      <c r="I8" s="30" t="s">
        <v>517</v>
      </c>
      <c r="J8" s="29" t="s">
        <v>518</v>
      </c>
      <c r="K8" s="30" t="s">
        <v>188</v>
      </c>
      <c r="L8" s="31"/>
      <c r="M8" s="31"/>
      <c r="N8" s="31"/>
      <c r="O8" s="31"/>
      <c r="P8" s="29" t="s">
        <v>19</v>
      </c>
      <c r="Q8" s="32" t="n">
        <v>46300</v>
      </c>
      <c r="R8" s="29" t="s">
        <v>117</v>
      </c>
      <c r="S8" s="29" t="s">
        <v>519</v>
      </c>
      <c r="T8" s="29" t="s">
        <v>119</v>
      </c>
      <c r="U8" s="29" t="s">
        <v>520</v>
      </c>
      <c r="V8" s="29" t="s">
        <v>521</v>
      </c>
      <c r="W8" s="29" t="s">
        <v>119</v>
      </c>
    </row>
    <row r="9" customFormat="false" ht="22.35" hidden="false" customHeight="false" outlineLevel="0" collapsed="false">
      <c r="A9" s="29" t="s">
        <v>522</v>
      </c>
      <c r="B9" s="29" t="s">
        <v>293</v>
      </c>
      <c r="C9" s="29" t="s">
        <v>523</v>
      </c>
      <c r="D9" s="29" t="s">
        <v>295</v>
      </c>
      <c r="E9" s="29" t="s">
        <v>160</v>
      </c>
      <c r="F9" s="29" t="s">
        <v>127</v>
      </c>
      <c r="G9" s="29"/>
      <c r="H9" s="29" t="s">
        <v>524</v>
      </c>
      <c r="I9" s="30" t="s">
        <v>460</v>
      </c>
      <c r="J9" s="29" t="s">
        <v>297</v>
      </c>
      <c r="K9" s="30" t="s">
        <v>298</v>
      </c>
      <c r="L9" s="31"/>
      <c r="M9" s="31"/>
      <c r="N9" s="31"/>
      <c r="O9" s="31"/>
      <c r="P9" s="29" t="s">
        <v>19</v>
      </c>
      <c r="Q9" s="32" t="n">
        <v>46300</v>
      </c>
      <c r="R9" s="29" t="s">
        <v>117</v>
      </c>
      <c r="S9" s="29" t="s">
        <v>461</v>
      </c>
      <c r="T9" s="29" t="s">
        <v>119</v>
      </c>
      <c r="U9" s="29" t="s">
        <v>525</v>
      </c>
      <c r="V9" s="29"/>
      <c r="W9" s="29" t="s">
        <v>119</v>
      </c>
    </row>
    <row r="10" customFormat="false" ht="32.8" hidden="false" customHeight="false" outlineLevel="0" collapsed="false">
      <c r="A10" s="29" t="s">
        <v>526</v>
      </c>
      <c r="B10" s="29" t="s">
        <v>480</v>
      </c>
      <c r="C10" s="29" t="s">
        <v>527</v>
      </c>
      <c r="D10" s="29" t="s">
        <v>209</v>
      </c>
      <c r="E10" s="29" t="s">
        <v>210</v>
      </c>
      <c r="F10" s="29" t="s">
        <v>127</v>
      </c>
      <c r="G10" s="29"/>
      <c r="H10" s="29" t="s">
        <v>338</v>
      </c>
      <c r="I10" s="30" t="s">
        <v>482</v>
      </c>
      <c r="J10" s="29"/>
      <c r="K10" s="30" t="s">
        <v>483</v>
      </c>
      <c r="L10" s="31"/>
      <c r="M10" s="31"/>
      <c r="N10" s="31"/>
      <c r="O10" s="31"/>
      <c r="P10" s="29" t="s">
        <v>19</v>
      </c>
      <c r="Q10" s="32" t="n">
        <v>46300</v>
      </c>
      <c r="R10" s="29" t="s">
        <v>117</v>
      </c>
      <c r="S10" s="29" t="s">
        <v>484</v>
      </c>
      <c r="T10" s="29" t="s">
        <v>119</v>
      </c>
      <c r="U10" s="29" t="s">
        <v>485</v>
      </c>
      <c r="V10" s="29"/>
      <c r="W10" s="29" t="s">
        <v>119</v>
      </c>
    </row>
    <row r="11" customFormat="false" ht="32.8" hidden="false" customHeight="false" outlineLevel="0" collapsed="false">
      <c r="A11" s="29" t="s">
        <v>528</v>
      </c>
      <c r="B11" s="29" t="s">
        <v>529</v>
      </c>
      <c r="C11" s="29" t="s">
        <v>530</v>
      </c>
      <c r="D11" s="29" t="s">
        <v>243</v>
      </c>
      <c r="E11" s="29" t="s">
        <v>244</v>
      </c>
      <c r="F11" s="29" t="s">
        <v>127</v>
      </c>
      <c r="G11" s="29"/>
      <c r="H11" s="29" t="s">
        <v>531</v>
      </c>
      <c r="I11" s="30" t="s">
        <v>532</v>
      </c>
      <c r="J11" s="29"/>
      <c r="K11" s="30" t="s">
        <v>533</v>
      </c>
      <c r="L11" s="31"/>
      <c r="M11" s="31"/>
      <c r="N11" s="31"/>
      <c r="O11" s="31"/>
      <c r="P11" s="29" t="s">
        <v>19</v>
      </c>
      <c r="Q11" s="32" t="n">
        <v>46300</v>
      </c>
      <c r="R11" s="29" t="s">
        <v>117</v>
      </c>
      <c r="S11" s="29" t="s">
        <v>534</v>
      </c>
      <c r="T11" s="29" t="s">
        <v>119</v>
      </c>
      <c r="U11" s="29" t="s">
        <v>535</v>
      </c>
      <c r="V11" s="29"/>
      <c r="W11" s="29" t="s">
        <v>119</v>
      </c>
    </row>
    <row r="12" customFormat="false" ht="15" hidden="false" customHeight="false" outlineLevel="0" collapsed="false">
      <c r="A12" s="29"/>
      <c r="B12" s="29"/>
      <c r="C12" s="29"/>
      <c r="D12" s="29"/>
      <c r="E12" s="29"/>
      <c r="F12" s="29"/>
      <c r="G12" s="29"/>
      <c r="H12" s="29"/>
      <c r="I12" s="29"/>
      <c r="J12" s="29"/>
      <c r="K12" s="29"/>
      <c r="L12" s="31"/>
      <c r="M12" s="31"/>
      <c r="N12" s="31"/>
      <c r="O12" s="31"/>
      <c r="P12" s="29"/>
      <c r="Q12" s="32"/>
      <c r="R12" s="29"/>
      <c r="S12" s="29"/>
      <c r="T12" s="29"/>
      <c r="U12" s="29"/>
      <c r="V12" s="29"/>
      <c r="W12" s="29"/>
    </row>
    <row r="13" customFormat="false" ht="15" hidden="false" customHeight="false" outlineLevel="0" collapsed="false">
      <c r="A13" s="29"/>
      <c r="B13" s="29"/>
      <c r="C13" s="29"/>
      <c r="D13" s="29"/>
      <c r="E13" s="29"/>
      <c r="F13" s="29"/>
      <c r="G13" s="29"/>
      <c r="H13" s="29"/>
      <c r="I13" s="29"/>
      <c r="J13" s="29"/>
      <c r="K13" s="29"/>
      <c r="L13" s="31"/>
      <c r="M13" s="31"/>
      <c r="N13" s="31"/>
      <c r="O13" s="31"/>
      <c r="P13" s="29"/>
      <c r="Q13" s="32"/>
      <c r="R13" s="29"/>
      <c r="S13" s="29"/>
      <c r="T13" s="29"/>
      <c r="U13" s="29"/>
      <c r="V13" s="29"/>
      <c r="W13" s="29"/>
    </row>
    <row r="14" customFormat="false" ht="15" hidden="false" customHeight="false" outlineLevel="0" collapsed="false">
      <c r="A14" s="29"/>
      <c r="B14" s="29"/>
      <c r="C14" s="29"/>
      <c r="D14" s="29"/>
      <c r="E14" s="29"/>
      <c r="F14" s="29"/>
      <c r="G14" s="29"/>
      <c r="H14" s="29"/>
      <c r="I14" s="29"/>
      <c r="J14" s="29"/>
      <c r="K14" s="29"/>
      <c r="L14" s="31"/>
      <c r="M14" s="31"/>
      <c r="N14" s="31"/>
      <c r="O14" s="31"/>
      <c r="P14" s="29"/>
      <c r="Q14" s="32"/>
      <c r="R14" s="29"/>
      <c r="S14" s="29"/>
      <c r="T14" s="29"/>
      <c r="U14" s="29"/>
      <c r="V14" s="29"/>
      <c r="W14" s="29"/>
    </row>
    <row r="15" customFormat="false" ht="15" hidden="false" customHeight="false" outlineLevel="0" collapsed="false">
      <c r="A15" s="29"/>
      <c r="B15" s="29"/>
      <c r="C15" s="29"/>
      <c r="D15" s="29"/>
      <c r="E15" s="29"/>
      <c r="F15" s="29"/>
      <c r="G15" s="29"/>
      <c r="H15" s="29"/>
      <c r="I15" s="29"/>
      <c r="J15" s="29"/>
      <c r="K15" s="29"/>
      <c r="L15" s="31"/>
      <c r="M15" s="31"/>
      <c r="N15" s="31"/>
      <c r="O15" s="31"/>
      <c r="P15" s="29"/>
      <c r="Q15" s="32"/>
      <c r="R15" s="29"/>
      <c r="S15" s="29"/>
      <c r="T15" s="29"/>
      <c r="U15" s="29"/>
      <c r="V15" s="29"/>
      <c r="W15" s="29"/>
    </row>
    <row r="16" customFormat="false" ht="15" hidden="false" customHeight="false" outlineLevel="0" collapsed="false">
      <c r="A16" s="29"/>
      <c r="B16" s="29"/>
      <c r="C16" s="29"/>
      <c r="D16" s="29"/>
      <c r="E16" s="29"/>
      <c r="F16" s="29"/>
      <c r="G16" s="29"/>
      <c r="H16" s="29"/>
      <c r="I16" s="29"/>
      <c r="J16" s="29"/>
      <c r="K16" s="29"/>
      <c r="L16" s="31"/>
      <c r="M16" s="31"/>
      <c r="N16" s="31"/>
      <c r="O16" s="31"/>
      <c r="P16" s="29"/>
      <c r="Q16" s="32"/>
      <c r="R16" s="29"/>
      <c r="S16" s="29"/>
      <c r="T16" s="29"/>
      <c r="U16" s="29"/>
      <c r="V16" s="29"/>
      <c r="W16" s="29"/>
    </row>
    <row r="17" customFormat="false" ht="15" hidden="false" customHeight="false" outlineLevel="0" collapsed="false">
      <c r="A17" s="29"/>
      <c r="B17" s="29"/>
      <c r="C17" s="29"/>
      <c r="D17" s="29"/>
      <c r="E17" s="29"/>
      <c r="F17" s="29"/>
      <c r="G17" s="29"/>
      <c r="H17" s="29"/>
      <c r="I17" s="29"/>
      <c r="J17" s="29"/>
      <c r="K17" s="29"/>
      <c r="L17" s="31"/>
      <c r="M17" s="31"/>
      <c r="N17" s="31"/>
      <c r="O17" s="31"/>
      <c r="P17" s="29"/>
      <c r="Q17" s="32"/>
      <c r="R17" s="29"/>
      <c r="S17" s="29"/>
      <c r="T17" s="29"/>
      <c r="U17" s="29"/>
      <c r="V17" s="29"/>
      <c r="W17" s="29"/>
    </row>
    <row r="18" customFormat="false" ht="15" hidden="false" customHeight="false" outlineLevel="0" collapsed="false">
      <c r="A18" s="29"/>
      <c r="B18" s="29"/>
      <c r="C18" s="29"/>
      <c r="D18" s="29"/>
      <c r="E18" s="29"/>
      <c r="F18" s="29"/>
      <c r="G18" s="29"/>
      <c r="H18" s="29"/>
      <c r="I18" s="29"/>
      <c r="J18" s="29"/>
      <c r="K18" s="29"/>
      <c r="L18" s="31"/>
      <c r="M18" s="31"/>
      <c r="N18" s="31"/>
      <c r="O18" s="31"/>
      <c r="P18" s="29"/>
      <c r="Q18" s="32"/>
      <c r="R18" s="29"/>
      <c r="S18" s="29"/>
      <c r="T18" s="29"/>
      <c r="U18" s="29"/>
      <c r="V18" s="29"/>
      <c r="W18" s="29"/>
    </row>
    <row r="19" customFormat="false" ht="15" hidden="false" customHeight="false" outlineLevel="0" collapsed="false">
      <c r="A19" s="29"/>
      <c r="B19" s="29"/>
      <c r="C19" s="29"/>
      <c r="D19" s="29"/>
      <c r="E19" s="29"/>
      <c r="F19" s="29"/>
      <c r="G19" s="29"/>
      <c r="H19" s="29"/>
      <c r="I19" s="29"/>
      <c r="J19" s="29"/>
      <c r="K19" s="29"/>
      <c r="L19" s="31"/>
      <c r="M19" s="31"/>
      <c r="N19" s="31"/>
      <c r="O19" s="31"/>
      <c r="P19" s="29"/>
      <c r="Q19" s="32"/>
      <c r="R19" s="29"/>
      <c r="S19" s="29"/>
      <c r="T19" s="29"/>
      <c r="U19" s="29"/>
      <c r="V19" s="29"/>
      <c r="W19" s="29"/>
    </row>
    <row r="20" customFormat="false" ht="15" hidden="false" customHeight="false" outlineLevel="0" collapsed="false">
      <c r="A20" s="29"/>
      <c r="B20" s="29"/>
      <c r="C20" s="29"/>
      <c r="D20" s="29"/>
      <c r="E20" s="29"/>
      <c r="F20" s="29"/>
      <c r="G20" s="29"/>
      <c r="H20" s="29"/>
      <c r="I20" s="29"/>
      <c r="J20" s="29"/>
      <c r="K20" s="29"/>
      <c r="L20" s="31"/>
      <c r="M20" s="31"/>
      <c r="N20" s="31"/>
      <c r="O20" s="31"/>
      <c r="P20" s="29"/>
      <c r="Q20" s="32"/>
      <c r="R20" s="29"/>
      <c r="S20" s="29"/>
      <c r="T20" s="29"/>
      <c r="U20" s="29"/>
      <c r="V20" s="29"/>
      <c r="W20" s="29"/>
    </row>
    <row r="21" customFormat="false" ht="15" hidden="false" customHeight="false" outlineLevel="0" collapsed="false">
      <c r="A21" s="29"/>
      <c r="B21" s="29"/>
      <c r="C21" s="29"/>
      <c r="D21" s="29"/>
      <c r="E21" s="29"/>
      <c r="F21" s="29"/>
      <c r="G21" s="29"/>
      <c r="H21" s="29"/>
      <c r="I21" s="29"/>
      <c r="J21" s="29"/>
      <c r="K21" s="29"/>
      <c r="L21" s="31"/>
      <c r="M21" s="31"/>
      <c r="N21" s="31"/>
      <c r="O21" s="31"/>
      <c r="P21" s="29"/>
      <c r="Q21" s="32"/>
      <c r="R21" s="29"/>
      <c r="S21" s="29"/>
      <c r="T21" s="29"/>
      <c r="U21" s="29"/>
      <c r="V21" s="29"/>
      <c r="W21" s="29"/>
    </row>
    <row r="22" customFormat="false" ht="15" hidden="false" customHeight="false" outlineLevel="0" collapsed="false">
      <c r="A22" s="29"/>
      <c r="B22" s="29"/>
      <c r="C22" s="29"/>
      <c r="D22" s="29"/>
      <c r="E22" s="29"/>
      <c r="F22" s="29"/>
      <c r="G22" s="29"/>
      <c r="H22" s="29"/>
      <c r="I22" s="29"/>
      <c r="J22" s="29"/>
      <c r="K22" s="29"/>
      <c r="L22" s="31"/>
      <c r="M22" s="31"/>
      <c r="N22" s="31"/>
      <c r="O22" s="31"/>
      <c r="P22" s="29"/>
      <c r="Q22" s="32"/>
      <c r="R22" s="29"/>
      <c r="S22" s="29"/>
      <c r="T22" s="29"/>
      <c r="U22" s="29"/>
      <c r="V22" s="29"/>
      <c r="W22" s="29"/>
    </row>
    <row r="23" customFormat="false" ht="15" hidden="false" customHeight="false" outlineLevel="0" collapsed="false">
      <c r="A23" s="29"/>
      <c r="B23" s="29"/>
      <c r="C23" s="29"/>
      <c r="D23" s="29"/>
      <c r="E23" s="29"/>
      <c r="F23" s="29"/>
      <c r="G23" s="29"/>
      <c r="H23" s="29"/>
      <c r="I23" s="29"/>
      <c r="J23" s="29"/>
      <c r="K23" s="29"/>
      <c r="L23" s="31"/>
      <c r="M23" s="31"/>
      <c r="N23" s="31"/>
      <c r="O23" s="31"/>
      <c r="P23" s="29"/>
      <c r="Q23" s="32"/>
      <c r="R23" s="29"/>
      <c r="S23" s="29"/>
      <c r="T23" s="29"/>
      <c r="U23" s="29"/>
      <c r="V23" s="29"/>
      <c r="W23" s="29"/>
    </row>
    <row r="24" customFormat="false" ht="15" hidden="false" customHeight="false" outlineLevel="0" collapsed="false">
      <c r="A24" s="29"/>
      <c r="B24" s="29"/>
      <c r="C24" s="29"/>
      <c r="D24" s="29"/>
      <c r="E24" s="29"/>
      <c r="F24" s="29"/>
      <c r="G24" s="29"/>
      <c r="H24" s="29"/>
      <c r="I24" s="29"/>
      <c r="J24" s="29"/>
      <c r="K24" s="29"/>
      <c r="L24" s="31"/>
      <c r="M24" s="31"/>
      <c r="N24" s="31"/>
      <c r="O24" s="31"/>
      <c r="P24" s="29"/>
      <c r="Q24" s="32"/>
      <c r="R24" s="29"/>
      <c r="S24" s="29"/>
      <c r="T24" s="29"/>
      <c r="U24" s="29"/>
      <c r="V24" s="29"/>
      <c r="W24" s="29"/>
    </row>
    <row r="25" customFormat="false" ht="15" hidden="false" customHeight="false" outlineLevel="0" collapsed="false">
      <c r="A25" s="29"/>
      <c r="B25" s="29"/>
      <c r="C25" s="29"/>
      <c r="D25" s="29"/>
      <c r="E25" s="29"/>
      <c r="F25" s="29"/>
      <c r="G25" s="29"/>
      <c r="H25" s="29"/>
      <c r="I25" s="29"/>
      <c r="J25" s="29"/>
      <c r="K25" s="29"/>
      <c r="L25" s="31"/>
      <c r="M25" s="31"/>
      <c r="N25" s="31"/>
      <c r="O25" s="31"/>
      <c r="P25" s="29"/>
      <c r="Q25" s="32"/>
      <c r="R25" s="29"/>
      <c r="S25" s="29"/>
      <c r="T25" s="29"/>
      <c r="U25" s="29"/>
      <c r="V25" s="29"/>
      <c r="W25" s="29"/>
    </row>
    <row r="26" customFormat="false" ht="15" hidden="false" customHeight="false" outlineLevel="0" collapsed="false">
      <c r="A26" s="29"/>
      <c r="B26" s="29"/>
      <c r="C26" s="29"/>
      <c r="D26" s="29"/>
      <c r="E26" s="29"/>
      <c r="F26" s="29"/>
      <c r="G26" s="29"/>
      <c r="H26" s="29"/>
      <c r="I26" s="29"/>
      <c r="J26" s="29"/>
      <c r="K26" s="29"/>
      <c r="L26" s="31"/>
      <c r="M26" s="31"/>
      <c r="N26" s="31"/>
      <c r="O26" s="31"/>
      <c r="P26" s="29"/>
      <c r="Q26" s="32"/>
      <c r="R26" s="29"/>
      <c r="S26" s="29"/>
      <c r="T26" s="29"/>
      <c r="U26" s="29"/>
      <c r="V26" s="29"/>
      <c r="W26" s="29"/>
    </row>
    <row r="27" customFormat="false" ht="15" hidden="false" customHeight="false" outlineLevel="0" collapsed="false">
      <c r="A27" s="33"/>
      <c r="B27" s="33"/>
      <c r="C27" s="33"/>
      <c r="D27" s="33"/>
      <c r="E27" s="33"/>
      <c r="F27" s="33"/>
      <c r="G27" s="33"/>
      <c r="H27" s="33"/>
      <c r="I27" s="33"/>
      <c r="J27" s="33"/>
      <c r="K27" s="33"/>
      <c r="L27" s="34"/>
      <c r="M27" s="34"/>
      <c r="N27" s="34"/>
      <c r="O27" s="34"/>
      <c r="P27" s="33"/>
      <c r="Q27" s="35"/>
      <c r="R27" s="33"/>
      <c r="S27" s="33"/>
      <c r="T27" s="33"/>
      <c r="U27" s="33"/>
      <c r="V27" s="33"/>
      <c r="W27" s="33"/>
    </row>
    <row r="28" customFormat="false" ht="15" hidden="false" customHeight="false" outlineLevel="0" collapsed="false">
      <c r="A28" s="33"/>
      <c r="B28" s="33"/>
      <c r="C28" s="33"/>
      <c r="D28" s="33"/>
      <c r="E28" s="33"/>
      <c r="F28" s="33"/>
      <c r="G28" s="33"/>
      <c r="H28" s="33"/>
      <c r="I28" s="33"/>
      <c r="J28" s="33"/>
      <c r="K28" s="33"/>
      <c r="L28" s="34"/>
      <c r="M28" s="34"/>
      <c r="N28" s="34"/>
      <c r="O28" s="34"/>
      <c r="P28" s="33"/>
      <c r="Q28" s="35"/>
      <c r="R28" s="33"/>
      <c r="S28" s="33"/>
      <c r="T28" s="33"/>
      <c r="U28" s="33"/>
      <c r="V28" s="33"/>
      <c r="W28" s="33"/>
    </row>
    <row r="29" customFormat="false" ht="15" hidden="false" customHeight="false" outlineLevel="0" collapsed="false">
      <c r="A29" s="33"/>
      <c r="B29" s="33"/>
      <c r="C29" s="33"/>
      <c r="D29" s="33"/>
      <c r="E29" s="33"/>
      <c r="F29" s="33"/>
      <c r="G29" s="33"/>
      <c r="H29" s="33"/>
      <c r="I29" s="33"/>
      <c r="J29" s="33"/>
      <c r="K29" s="33"/>
      <c r="L29" s="34"/>
      <c r="M29" s="34"/>
      <c r="N29" s="34"/>
      <c r="O29" s="34"/>
      <c r="P29" s="33"/>
      <c r="Q29" s="35"/>
      <c r="R29" s="33"/>
      <c r="S29" s="33"/>
      <c r="T29" s="33"/>
      <c r="U29" s="33"/>
      <c r="V29" s="33"/>
      <c r="W29" s="33"/>
    </row>
    <row r="30" customFormat="false" ht="15" hidden="false" customHeight="false" outlineLevel="0" collapsed="false">
      <c r="A30" s="33"/>
      <c r="B30" s="33"/>
      <c r="C30" s="33"/>
      <c r="D30" s="33"/>
      <c r="E30" s="33"/>
      <c r="F30" s="33"/>
      <c r="G30" s="33"/>
      <c r="H30" s="33"/>
      <c r="I30" s="33"/>
      <c r="J30" s="33"/>
      <c r="K30" s="33"/>
      <c r="L30" s="34"/>
      <c r="M30" s="34"/>
      <c r="N30" s="34"/>
      <c r="O30" s="34"/>
      <c r="P30" s="33"/>
      <c r="Q30" s="35"/>
      <c r="R30" s="33"/>
      <c r="S30" s="33"/>
      <c r="T30" s="33"/>
      <c r="U30" s="33"/>
      <c r="V30" s="33"/>
      <c r="W30" s="33"/>
    </row>
    <row r="31" customFormat="false" ht="15" hidden="false" customHeight="false" outlineLevel="0" collapsed="false">
      <c r="A31" s="33"/>
      <c r="B31" s="33"/>
      <c r="C31" s="33"/>
      <c r="D31" s="33"/>
      <c r="E31" s="33"/>
      <c r="F31" s="33"/>
      <c r="G31" s="33"/>
      <c r="H31" s="33"/>
      <c r="I31" s="33"/>
      <c r="J31" s="33"/>
      <c r="K31" s="33"/>
      <c r="L31" s="34"/>
      <c r="M31" s="34"/>
      <c r="N31" s="34"/>
      <c r="O31" s="34"/>
      <c r="P31" s="33"/>
      <c r="Q31" s="35"/>
      <c r="R31" s="33"/>
      <c r="S31" s="33"/>
      <c r="T31" s="33"/>
      <c r="U31" s="33"/>
      <c r="V31" s="33"/>
      <c r="W31" s="33"/>
    </row>
    <row r="32" customFormat="false" ht="15" hidden="false" customHeight="false" outlineLevel="0" collapsed="false">
      <c r="A32" s="33"/>
      <c r="B32" s="33"/>
      <c r="C32" s="33"/>
      <c r="D32" s="33"/>
      <c r="E32" s="33"/>
      <c r="F32" s="33"/>
      <c r="G32" s="33"/>
      <c r="H32" s="33"/>
      <c r="I32" s="33"/>
      <c r="J32" s="33"/>
      <c r="K32" s="33"/>
      <c r="L32" s="34"/>
      <c r="M32" s="34"/>
      <c r="N32" s="34"/>
      <c r="O32" s="34"/>
      <c r="P32" s="33"/>
      <c r="Q32" s="35"/>
      <c r="R32" s="33"/>
      <c r="S32" s="33"/>
      <c r="T32" s="33"/>
      <c r="U32" s="33"/>
      <c r="V32" s="33"/>
      <c r="W32" s="33"/>
    </row>
    <row r="33" customFormat="false" ht="15" hidden="false" customHeight="false" outlineLevel="0" collapsed="false">
      <c r="A33" s="33"/>
      <c r="B33" s="33"/>
      <c r="C33" s="33"/>
      <c r="D33" s="33"/>
      <c r="E33" s="33"/>
      <c r="F33" s="33"/>
      <c r="G33" s="33"/>
      <c r="H33" s="33"/>
      <c r="I33" s="33"/>
      <c r="J33" s="33"/>
      <c r="K33" s="33"/>
      <c r="L33" s="34"/>
      <c r="M33" s="34"/>
      <c r="N33" s="34"/>
      <c r="O33" s="34"/>
      <c r="P33" s="33"/>
      <c r="Q33" s="35"/>
      <c r="R33" s="33"/>
      <c r="S33" s="33"/>
      <c r="T33" s="33"/>
      <c r="U33" s="33"/>
      <c r="V33" s="33"/>
      <c r="W33" s="33"/>
    </row>
    <row r="34" customFormat="false" ht="15" hidden="false" customHeight="false" outlineLevel="0" collapsed="false">
      <c r="A34" s="33"/>
      <c r="B34" s="33"/>
      <c r="C34" s="33"/>
      <c r="D34" s="33"/>
      <c r="E34" s="33"/>
      <c r="F34" s="33"/>
      <c r="G34" s="33"/>
      <c r="H34" s="33"/>
      <c r="I34" s="33"/>
      <c r="J34" s="33"/>
      <c r="K34" s="33"/>
      <c r="L34" s="34"/>
      <c r="M34" s="34"/>
      <c r="N34" s="34"/>
      <c r="O34" s="34"/>
      <c r="P34" s="33"/>
      <c r="Q34" s="35"/>
      <c r="R34" s="33"/>
      <c r="S34" s="33"/>
      <c r="T34" s="33"/>
      <c r="U34" s="33"/>
      <c r="V34" s="33"/>
      <c r="W34" s="33"/>
    </row>
    <row r="35" customFormat="false" ht="15" hidden="false" customHeight="false" outlineLevel="0" collapsed="false">
      <c r="A35" s="33"/>
      <c r="B35" s="33"/>
      <c r="C35" s="33"/>
      <c r="D35" s="33"/>
      <c r="E35" s="33"/>
      <c r="F35" s="33"/>
      <c r="G35" s="33"/>
      <c r="H35" s="33"/>
      <c r="I35" s="33"/>
      <c r="J35" s="33"/>
      <c r="K35" s="33"/>
      <c r="L35" s="34"/>
      <c r="M35" s="34"/>
      <c r="N35" s="34"/>
      <c r="O35" s="34"/>
      <c r="P35" s="33"/>
      <c r="Q35" s="35"/>
      <c r="R35" s="33"/>
      <c r="S35" s="33"/>
      <c r="T35" s="33"/>
      <c r="U35" s="33"/>
      <c r="V35" s="33"/>
      <c r="W35" s="33"/>
    </row>
    <row r="36" customFormat="false" ht="15" hidden="false" customHeight="false" outlineLevel="0" collapsed="false">
      <c r="A36" s="33"/>
      <c r="B36" s="33"/>
      <c r="C36" s="33"/>
      <c r="D36" s="33"/>
      <c r="E36" s="33"/>
      <c r="F36" s="33"/>
      <c r="G36" s="33"/>
      <c r="H36" s="33"/>
      <c r="I36" s="33"/>
      <c r="J36" s="33"/>
      <c r="K36" s="33"/>
      <c r="L36" s="34"/>
      <c r="M36" s="34"/>
      <c r="N36" s="34"/>
      <c r="O36" s="34"/>
      <c r="P36" s="33"/>
      <c r="Q36" s="35"/>
      <c r="R36" s="33"/>
      <c r="S36" s="33"/>
      <c r="T36" s="33"/>
      <c r="U36" s="33"/>
      <c r="V36" s="33"/>
      <c r="W36" s="33"/>
    </row>
    <row r="37" customFormat="false" ht="15" hidden="false" customHeight="false" outlineLevel="0" collapsed="false">
      <c r="A37" s="33"/>
      <c r="B37" s="33"/>
      <c r="C37" s="33"/>
      <c r="D37" s="33"/>
      <c r="E37" s="33"/>
      <c r="F37" s="33"/>
      <c r="G37" s="33"/>
      <c r="H37" s="33"/>
      <c r="I37" s="33"/>
      <c r="J37" s="33"/>
      <c r="K37" s="33"/>
      <c r="L37" s="34"/>
      <c r="M37" s="34"/>
      <c r="N37" s="34"/>
      <c r="O37" s="34"/>
      <c r="P37" s="33"/>
      <c r="Q37" s="35"/>
      <c r="R37" s="33"/>
      <c r="S37" s="33"/>
      <c r="T37" s="33"/>
      <c r="U37" s="33"/>
      <c r="V37" s="33"/>
      <c r="W37" s="33"/>
    </row>
    <row r="38" customFormat="false" ht="15" hidden="false" customHeight="false" outlineLevel="0" collapsed="false">
      <c r="A38" s="33"/>
      <c r="B38" s="33"/>
      <c r="C38" s="33"/>
      <c r="D38" s="33"/>
      <c r="E38" s="33"/>
      <c r="F38" s="33"/>
      <c r="G38" s="33"/>
      <c r="H38" s="33"/>
      <c r="I38" s="33"/>
      <c r="J38" s="33"/>
      <c r="K38" s="33"/>
      <c r="L38" s="34"/>
      <c r="M38" s="34"/>
      <c r="N38" s="34"/>
      <c r="O38" s="34"/>
      <c r="P38" s="33"/>
      <c r="Q38" s="35"/>
      <c r="R38" s="33"/>
      <c r="S38" s="33"/>
      <c r="T38" s="33"/>
      <c r="U38" s="33"/>
      <c r="V38" s="33"/>
      <c r="W38" s="33"/>
    </row>
    <row r="39" customFormat="false" ht="15" hidden="false" customHeight="false" outlineLevel="0" collapsed="false">
      <c r="A39" s="33"/>
      <c r="B39" s="33"/>
      <c r="C39" s="33"/>
      <c r="D39" s="33"/>
      <c r="E39" s="33"/>
      <c r="F39" s="33"/>
      <c r="G39" s="33"/>
      <c r="H39" s="33"/>
      <c r="I39" s="33"/>
      <c r="J39" s="33"/>
      <c r="K39" s="33"/>
      <c r="L39" s="34"/>
      <c r="M39" s="34"/>
      <c r="N39" s="34"/>
      <c r="O39" s="34"/>
      <c r="P39" s="33"/>
      <c r="Q39" s="35"/>
      <c r="R39" s="33"/>
      <c r="S39" s="33"/>
      <c r="T39" s="33"/>
      <c r="U39" s="33"/>
      <c r="V39" s="33"/>
      <c r="W39" s="33"/>
    </row>
    <row r="40" customFormat="false" ht="15" hidden="false" customHeight="false" outlineLevel="0" collapsed="false">
      <c r="A40" s="33"/>
      <c r="B40" s="33"/>
      <c r="C40" s="33"/>
      <c r="D40" s="33"/>
      <c r="E40" s="33"/>
      <c r="F40" s="33"/>
      <c r="G40" s="33"/>
      <c r="H40" s="33"/>
      <c r="I40" s="33"/>
      <c r="J40" s="33"/>
      <c r="K40" s="33"/>
      <c r="L40" s="34"/>
      <c r="M40" s="34"/>
      <c r="N40" s="34"/>
      <c r="O40" s="34"/>
      <c r="P40" s="33"/>
      <c r="Q40" s="35"/>
      <c r="R40" s="33"/>
      <c r="S40" s="33"/>
      <c r="T40" s="33"/>
      <c r="U40" s="33"/>
      <c r="V40" s="33"/>
      <c r="W40" s="33"/>
    </row>
    <row r="41" customFormat="false" ht="15" hidden="false" customHeight="false" outlineLevel="0" collapsed="false">
      <c r="A41" s="33"/>
      <c r="B41" s="33"/>
      <c r="C41" s="33"/>
      <c r="D41" s="33"/>
      <c r="E41" s="33"/>
      <c r="F41" s="33"/>
      <c r="G41" s="33"/>
      <c r="H41" s="33"/>
      <c r="I41" s="33"/>
      <c r="J41" s="33"/>
      <c r="K41" s="33"/>
      <c r="L41" s="34"/>
      <c r="M41" s="34"/>
      <c r="N41" s="34"/>
      <c r="O41" s="34"/>
      <c r="P41" s="33"/>
      <c r="Q41" s="35"/>
      <c r="R41" s="33"/>
      <c r="S41" s="33"/>
      <c r="T41" s="33"/>
      <c r="U41" s="33"/>
      <c r="V41" s="33"/>
      <c r="W41" s="33"/>
    </row>
    <row r="42" customFormat="false" ht="15" hidden="false" customHeight="false" outlineLevel="0" collapsed="false">
      <c r="A42" s="33"/>
      <c r="B42" s="33"/>
      <c r="C42" s="33"/>
      <c r="D42" s="33"/>
      <c r="E42" s="33"/>
      <c r="F42" s="33"/>
      <c r="G42" s="33"/>
      <c r="H42" s="33"/>
      <c r="I42" s="33"/>
      <c r="J42" s="33"/>
      <c r="K42" s="33"/>
      <c r="L42" s="34"/>
      <c r="M42" s="34"/>
      <c r="N42" s="34"/>
      <c r="O42" s="34"/>
      <c r="P42" s="33"/>
      <c r="Q42" s="35"/>
      <c r="R42" s="33"/>
      <c r="S42" s="33"/>
      <c r="T42" s="33"/>
      <c r="U42" s="33"/>
      <c r="V42" s="33"/>
      <c r="W42" s="33"/>
    </row>
    <row r="43" customFormat="false" ht="15" hidden="false" customHeight="false" outlineLevel="0" collapsed="false">
      <c r="A43" s="33"/>
      <c r="B43" s="33"/>
      <c r="C43" s="33"/>
      <c r="D43" s="33"/>
      <c r="E43" s="33"/>
      <c r="F43" s="33"/>
      <c r="G43" s="33"/>
      <c r="H43" s="33"/>
      <c r="I43" s="33"/>
      <c r="J43" s="33"/>
      <c r="K43" s="33"/>
      <c r="L43" s="34"/>
      <c r="M43" s="34"/>
      <c r="N43" s="34"/>
      <c r="O43" s="34"/>
      <c r="P43" s="33"/>
      <c r="Q43" s="35"/>
      <c r="R43" s="33"/>
      <c r="S43" s="33"/>
      <c r="T43" s="33"/>
      <c r="U43" s="33"/>
      <c r="V43" s="33"/>
      <c r="W43" s="33"/>
    </row>
    <row r="44" customFormat="false" ht="15" hidden="false" customHeight="false" outlineLevel="0" collapsed="false">
      <c r="A44" s="33"/>
      <c r="B44" s="33"/>
      <c r="C44" s="33"/>
      <c r="D44" s="33"/>
      <c r="E44" s="33"/>
      <c r="F44" s="33"/>
      <c r="G44" s="33"/>
      <c r="H44" s="33"/>
      <c r="I44" s="33"/>
      <c r="J44" s="33"/>
      <c r="K44" s="33"/>
      <c r="L44" s="34"/>
      <c r="M44" s="34"/>
      <c r="N44" s="34"/>
      <c r="O44" s="34"/>
      <c r="P44" s="33"/>
      <c r="Q44" s="35"/>
      <c r="R44" s="33"/>
      <c r="S44" s="33"/>
      <c r="T44" s="33"/>
      <c r="U44" s="33"/>
      <c r="V44" s="33"/>
      <c r="W44" s="33"/>
    </row>
    <row r="45" customFormat="false" ht="15" hidden="false" customHeight="false" outlineLevel="0" collapsed="false">
      <c r="A45" s="33"/>
      <c r="B45" s="33"/>
      <c r="C45" s="33"/>
      <c r="D45" s="33"/>
      <c r="E45" s="33"/>
      <c r="F45" s="33"/>
      <c r="G45" s="33"/>
      <c r="H45" s="33"/>
      <c r="I45" s="33"/>
      <c r="J45" s="33"/>
      <c r="K45" s="33"/>
      <c r="L45" s="34"/>
      <c r="M45" s="34"/>
      <c r="N45" s="34"/>
      <c r="O45" s="34"/>
      <c r="P45" s="33"/>
      <c r="Q45" s="35"/>
      <c r="R45" s="33"/>
      <c r="S45" s="33"/>
      <c r="T45" s="33"/>
      <c r="U45" s="33"/>
      <c r="V45" s="33"/>
      <c r="W45" s="33"/>
    </row>
    <row r="46" customFormat="false" ht="15" hidden="false" customHeight="false" outlineLevel="0" collapsed="false">
      <c r="A46" s="33"/>
      <c r="B46" s="33"/>
      <c r="C46" s="33"/>
      <c r="D46" s="33"/>
      <c r="E46" s="33"/>
      <c r="F46" s="33"/>
      <c r="G46" s="33"/>
      <c r="H46" s="33"/>
      <c r="I46" s="33"/>
      <c r="J46" s="33"/>
      <c r="K46" s="33"/>
      <c r="L46" s="34"/>
      <c r="M46" s="34"/>
      <c r="N46" s="34"/>
      <c r="O46" s="34"/>
      <c r="P46" s="33"/>
      <c r="Q46" s="35"/>
      <c r="R46" s="33"/>
      <c r="S46" s="33"/>
      <c r="T46" s="33"/>
      <c r="U46" s="33"/>
      <c r="V46" s="33"/>
      <c r="W46" s="33"/>
    </row>
    <row r="47" customFormat="false" ht="15" hidden="false" customHeight="false" outlineLevel="0" collapsed="false">
      <c r="A47" s="33"/>
      <c r="B47" s="33"/>
      <c r="C47" s="33"/>
      <c r="D47" s="33"/>
      <c r="E47" s="33"/>
      <c r="F47" s="33"/>
      <c r="G47" s="33"/>
      <c r="H47" s="33"/>
      <c r="I47" s="33"/>
      <c r="J47" s="33"/>
      <c r="K47" s="33"/>
      <c r="L47" s="34"/>
      <c r="M47" s="34"/>
      <c r="N47" s="34"/>
      <c r="O47" s="34"/>
      <c r="P47" s="33"/>
      <c r="Q47" s="35"/>
      <c r="R47" s="33"/>
      <c r="S47" s="33"/>
      <c r="T47" s="33"/>
      <c r="U47" s="33"/>
      <c r="V47" s="33"/>
      <c r="W47" s="33"/>
    </row>
    <row r="48" customFormat="false" ht="15" hidden="false" customHeight="false" outlineLevel="0" collapsed="false">
      <c r="A48" s="33"/>
      <c r="B48" s="33"/>
      <c r="C48" s="33"/>
      <c r="D48" s="33"/>
      <c r="E48" s="33"/>
      <c r="F48" s="33"/>
      <c r="G48" s="33"/>
      <c r="H48" s="33"/>
      <c r="I48" s="33"/>
      <c r="J48" s="33"/>
      <c r="K48" s="33"/>
      <c r="L48" s="34"/>
      <c r="M48" s="34"/>
      <c r="N48" s="34"/>
      <c r="O48" s="34"/>
      <c r="P48" s="33"/>
      <c r="Q48" s="35"/>
      <c r="R48" s="33"/>
      <c r="S48" s="33"/>
      <c r="T48" s="33"/>
      <c r="U48" s="33"/>
      <c r="V48" s="33"/>
      <c r="W48" s="33"/>
    </row>
    <row r="49" customFormat="false" ht="15" hidden="false" customHeight="false" outlineLevel="0" collapsed="false">
      <c r="A49" s="33"/>
      <c r="B49" s="33"/>
      <c r="C49" s="33"/>
      <c r="D49" s="33"/>
      <c r="E49" s="33"/>
      <c r="F49" s="33"/>
      <c r="G49" s="33"/>
      <c r="H49" s="33"/>
      <c r="I49" s="33"/>
      <c r="J49" s="33"/>
      <c r="K49" s="33"/>
      <c r="L49" s="34"/>
      <c r="M49" s="34"/>
      <c r="N49" s="34"/>
      <c r="O49" s="34"/>
      <c r="P49" s="33"/>
      <c r="Q49" s="35"/>
      <c r="R49" s="33"/>
      <c r="S49" s="33"/>
      <c r="T49" s="33"/>
      <c r="U49" s="33"/>
      <c r="V49" s="33"/>
      <c r="W49" s="33"/>
    </row>
    <row r="50" customFormat="false" ht="15" hidden="false" customHeight="false" outlineLevel="0" collapsed="false">
      <c r="A50" s="33"/>
      <c r="B50" s="33"/>
      <c r="C50" s="33"/>
      <c r="D50" s="33"/>
      <c r="E50" s="33"/>
      <c r="F50" s="33"/>
      <c r="G50" s="33"/>
      <c r="H50" s="33"/>
      <c r="I50" s="33"/>
      <c r="J50" s="33"/>
      <c r="K50" s="33"/>
      <c r="L50" s="34"/>
      <c r="M50" s="34"/>
      <c r="N50" s="34"/>
      <c r="O50" s="34"/>
      <c r="P50" s="33"/>
      <c r="Q50" s="35"/>
      <c r="R50" s="33"/>
      <c r="S50" s="33"/>
      <c r="T50" s="33"/>
      <c r="U50" s="33"/>
      <c r="V50" s="33"/>
      <c r="W50" s="33"/>
    </row>
    <row r="51" customFormat="false" ht="15" hidden="false" customHeight="false" outlineLevel="0" collapsed="false">
      <c r="A51" s="33"/>
      <c r="B51" s="33"/>
      <c r="C51" s="33"/>
      <c r="D51" s="33"/>
      <c r="E51" s="33"/>
      <c r="F51" s="33"/>
      <c r="G51" s="33"/>
      <c r="H51" s="33"/>
      <c r="I51" s="33"/>
      <c r="J51" s="33"/>
      <c r="K51" s="33"/>
      <c r="L51" s="34"/>
      <c r="M51" s="34"/>
      <c r="N51" s="34"/>
      <c r="O51" s="34"/>
      <c r="P51" s="33"/>
      <c r="Q51" s="35"/>
      <c r="R51" s="33"/>
      <c r="S51" s="33"/>
      <c r="T51" s="33"/>
      <c r="U51" s="33"/>
      <c r="V51" s="33"/>
      <c r="W51" s="33"/>
    </row>
    <row r="52" customFormat="false" ht="15" hidden="false" customHeight="false" outlineLevel="0" collapsed="false">
      <c r="A52" s="33"/>
      <c r="B52" s="33"/>
      <c r="C52" s="33"/>
      <c r="D52" s="33"/>
      <c r="E52" s="33"/>
      <c r="F52" s="33"/>
      <c r="G52" s="33"/>
      <c r="H52" s="33"/>
      <c r="I52" s="33"/>
      <c r="J52" s="33"/>
      <c r="K52" s="33"/>
      <c r="L52" s="34"/>
      <c r="M52" s="34"/>
      <c r="N52" s="34"/>
      <c r="O52" s="34"/>
      <c r="P52" s="33"/>
      <c r="Q52" s="35"/>
      <c r="R52" s="33"/>
      <c r="S52" s="33"/>
      <c r="T52" s="33"/>
      <c r="U52" s="33"/>
      <c r="V52" s="33"/>
      <c r="W52" s="33"/>
    </row>
    <row r="53" customFormat="false" ht="15" hidden="false" customHeight="false" outlineLevel="0" collapsed="false">
      <c r="A53" s="33"/>
      <c r="B53" s="33"/>
      <c r="C53" s="33"/>
      <c r="D53" s="33"/>
      <c r="E53" s="33"/>
      <c r="F53" s="33"/>
      <c r="G53" s="33"/>
      <c r="H53" s="33"/>
      <c r="I53" s="33"/>
      <c r="J53" s="33"/>
      <c r="K53" s="33"/>
      <c r="L53" s="34"/>
      <c r="M53" s="34"/>
      <c r="N53" s="34"/>
      <c r="O53" s="34"/>
      <c r="P53" s="33"/>
      <c r="Q53" s="35"/>
      <c r="R53" s="33"/>
      <c r="S53" s="33"/>
      <c r="T53" s="33"/>
      <c r="U53" s="33"/>
      <c r="V53" s="33"/>
      <c r="W53" s="33"/>
    </row>
    <row r="54" customFormat="false" ht="15" hidden="false" customHeight="false" outlineLevel="0" collapsed="false">
      <c r="A54" s="33"/>
      <c r="B54" s="33"/>
      <c r="C54" s="33"/>
      <c r="D54" s="33"/>
      <c r="E54" s="33"/>
      <c r="F54" s="33"/>
      <c r="G54" s="33"/>
      <c r="H54" s="33"/>
      <c r="I54" s="33"/>
      <c r="J54" s="33"/>
      <c r="K54" s="33"/>
      <c r="L54" s="34"/>
      <c r="M54" s="34"/>
      <c r="N54" s="34"/>
      <c r="O54" s="34"/>
      <c r="P54" s="33"/>
      <c r="Q54" s="35"/>
      <c r="R54" s="33"/>
      <c r="S54" s="33"/>
      <c r="T54" s="33"/>
      <c r="U54" s="33"/>
      <c r="V54" s="33"/>
      <c r="W54" s="33"/>
    </row>
    <row r="55" customFormat="false" ht="15" hidden="false" customHeight="false" outlineLevel="0" collapsed="false">
      <c r="A55" s="33"/>
      <c r="B55" s="33"/>
      <c r="C55" s="33"/>
      <c r="D55" s="33"/>
      <c r="E55" s="33"/>
      <c r="F55" s="33"/>
      <c r="G55" s="33"/>
      <c r="H55" s="33"/>
      <c r="I55" s="33"/>
      <c r="J55" s="33"/>
      <c r="K55" s="33"/>
      <c r="L55" s="34"/>
      <c r="M55" s="34"/>
      <c r="N55" s="34"/>
      <c r="O55" s="34"/>
      <c r="P55" s="33"/>
      <c r="Q55" s="35"/>
      <c r="R55" s="33"/>
      <c r="S55" s="33"/>
      <c r="T55" s="33"/>
      <c r="U55" s="33"/>
      <c r="V55" s="33"/>
      <c r="W55" s="33"/>
    </row>
    <row r="56" customFormat="false" ht="15" hidden="false" customHeight="false" outlineLevel="0" collapsed="false">
      <c r="A56" s="33"/>
      <c r="B56" s="33"/>
      <c r="C56" s="33"/>
      <c r="D56" s="33"/>
      <c r="E56" s="33"/>
      <c r="F56" s="33"/>
      <c r="G56" s="33"/>
      <c r="H56" s="33"/>
      <c r="I56" s="33"/>
      <c r="J56" s="33"/>
      <c r="K56" s="33"/>
      <c r="L56" s="34"/>
      <c r="M56" s="34"/>
      <c r="N56" s="34"/>
      <c r="O56" s="34"/>
      <c r="P56" s="33"/>
      <c r="Q56" s="35"/>
      <c r="R56" s="33"/>
      <c r="S56" s="33"/>
      <c r="T56" s="33"/>
      <c r="U56" s="33"/>
      <c r="V56" s="33"/>
      <c r="W56" s="33"/>
    </row>
    <row r="57" customFormat="false" ht="15" hidden="false" customHeight="false" outlineLevel="0" collapsed="false">
      <c r="A57" s="33"/>
      <c r="B57" s="33"/>
      <c r="C57" s="33"/>
      <c r="D57" s="33"/>
      <c r="E57" s="33"/>
      <c r="F57" s="33"/>
      <c r="G57" s="33"/>
      <c r="H57" s="33"/>
      <c r="I57" s="33"/>
      <c r="J57" s="33"/>
      <c r="K57" s="33"/>
      <c r="L57" s="34"/>
      <c r="M57" s="34"/>
      <c r="N57" s="34"/>
      <c r="O57" s="34"/>
      <c r="P57" s="33"/>
      <c r="Q57" s="35"/>
      <c r="R57" s="33"/>
      <c r="S57" s="33"/>
      <c r="T57" s="33"/>
      <c r="U57" s="33"/>
      <c r="V57" s="33"/>
      <c r="W57" s="33"/>
    </row>
    <row r="58" customFormat="false" ht="15" hidden="false" customHeight="false" outlineLevel="0" collapsed="false">
      <c r="A58" s="33"/>
      <c r="B58" s="33"/>
      <c r="C58" s="33"/>
      <c r="D58" s="33"/>
      <c r="E58" s="33"/>
      <c r="F58" s="33"/>
      <c r="G58" s="33"/>
      <c r="H58" s="33"/>
      <c r="I58" s="33"/>
      <c r="J58" s="33"/>
      <c r="K58" s="33"/>
      <c r="L58" s="34"/>
      <c r="M58" s="34"/>
      <c r="N58" s="34"/>
      <c r="O58" s="34"/>
      <c r="P58" s="33"/>
      <c r="Q58" s="35"/>
      <c r="R58" s="33"/>
      <c r="S58" s="33"/>
      <c r="T58" s="33"/>
      <c r="U58" s="33"/>
      <c r="V58" s="33"/>
      <c r="W58" s="33"/>
    </row>
    <row r="59" customFormat="false" ht="15" hidden="false" customHeight="false" outlineLevel="0" collapsed="false">
      <c r="A59" s="33"/>
      <c r="B59" s="33"/>
      <c r="C59" s="33"/>
      <c r="D59" s="33"/>
      <c r="E59" s="33"/>
      <c r="F59" s="33"/>
      <c r="G59" s="33"/>
      <c r="H59" s="33"/>
      <c r="I59" s="33"/>
      <c r="J59" s="33"/>
      <c r="K59" s="33"/>
      <c r="L59" s="34"/>
      <c r="M59" s="34"/>
      <c r="N59" s="34"/>
      <c r="O59" s="34"/>
      <c r="P59" s="33"/>
      <c r="Q59" s="35"/>
      <c r="R59" s="33"/>
      <c r="S59" s="33"/>
      <c r="T59" s="33"/>
      <c r="U59" s="33"/>
      <c r="V59" s="33"/>
      <c r="W59" s="33"/>
    </row>
    <row r="60" customFormat="false" ht="15" hidden="false" customHeight="false" outlineLevel="0" collapsed="false">
      <c r="A60" s="33"/>
      <c r="B60" s="33"/>
      <c r="C60" s="33"/>
      <c r="D60" s="33"/>
      <c r="E60" s="33"/>
      <c r="F60" s="33"/>
      <c r="G60" s="33"/>
      <c r="H60" s="33"/>
      <c r="I60" s="33"/>
      <c r="J60" s="33"/>
      <c r="K60" s="33"/>
      <c r="L60" s="34"/>
      <c r="M60" s="34"/>
      <c r="N60" s="34"/>
      <c r="O60" s="34"/>
      <c r="P60" s="33"/>
      <c r="Q60" s="35"/>
      <c r="R60" s="33"/>
      <c r="S60" s="33"/>
      <c r="T60" s="33"/>
      <c r="U60" s="33"/>
      <c r="V60" s="33"/>
      <c r="W60" s="33"/>
    </row>
    <row r="61" customFormat="false" ht="15" hidden="false" customHeight="false" outlineLevel="0" collapsed="false">
      <c r="A61" s="33"/>
      <c r="B61" s="33"/>
      <c r="C61" s="33"/>
      <c r="D61" s="33"/>
      <c r="E61" s="33"/>
      <c r="F61" s="33"/>
      <c r="G61" s="33"/>
      <c r="H61" s="33"/>
      <c r="I61" s="33"/>
      <c r="J61" s="33"/>
      <c r="K61" s="33"/>
      <c r="L61" s="34"/>
      <c r="M61" s="34"/>
      <c r="N61" s="34"/>
      <c r="O61" s="34"/>
      <c r="P61" s="33"/>
      <c r="Q61" s="35"/>
      <c r="R61" s="33"/>
      <c r="S61" s="33"/>
      <c r="T61" s="33"/>
      <c r="U61" s="33"/>
      <c r="V61" s="33"/>
      <c r="W61" s="33"/>
    </row>
    <row r="62" customFormat="false" ht="15" hidden="false" customHeight="false" outlineLevel="0" collapsed="false">
      <c r="A62" s="33"/>
      <c r="B62" s="33"/>
      <c r="C62" s="33"/>
      <c r="D62" s="33"/>
      <c r="E62" s="33"/>
      <c r="F62" s="33"/>
      <c r="G62" s="33"/>
      <c r="H62" s="33"/>
      <c r="I62" s="33"/>
      <c r="J62" s="33"/>
      <c r="K62" s="33"/>
      <c r="L62" s="34"/>
      <c r="M62" s="34"/>
      <c r="N62" s="34"/>
      <c r="O62" s="34"/>
      <c r="P62" s="33"/>
      <c r="Q62" s="35"/>
      <c r="R62" s="33"/>
      <c r="S62" s="33"/>
      <c r="T62" s="33"/>
      <c r="U62" s="33"/>
      <c r="V62" s="33"/>
      <c r="W62" s="33"/>
    </row>
    <row r="63" customFormat="false" ht="15" hidden="false" customHeight="false" outlineLevel="0" collapsed="false">
      <c r="A63" s="33"/>
      <c r="B63" s="33"/>
      <c r="C63" s="33"/>
      <c r="D63" s="33"/>
      <c r="E63" s="33"/>
      <c r="F63" s="33"/>
      <c r="G63" s="33"/>
      <c r="H63" s="33"/>
      <c r="I63" s="33"/>
      <c r="J63" s="33"/>
      <c r="K63" s="33"/>
      <c r="L63" s="34"/>
      <c r="M63" s="34"/>
      <c r="N63" s="34"/>
      <c r="O63" s="34"/>
      <c r="P63" s="33"/>
      <c r="Q63" s="35"/>
      <c r="R63" s="33"/>
      <c r="S63" s="33"/>
      <c r="T63" s="33"/>
      <c r="U63" s="33"/>
      <c r="V63" s="33"/>
      <c r="W63" s="33"/>
    </row>
    <row r="64" customFormat="false" ht="15" hidden="false" customHeight="false" outlineLevel="0" collapsed="false">
      <c r="A64" s="33"/>
      <c r="B64" s="33"/>
      <c r="C64" s="33"/>
      <c r="D64" s="33"/>
      <c r="E64" s="33"/>
      <c r="F64" s="33"/>
      <c r="G64" s="33"/>
      <c r="H64" s="33"/>
      <c r="I64" s="33"/>
      <c r="J64" s="33"/>
      <c r="K64" s="33"/>
      <c r="L64" s="34"/>
      <c r="M64" s="34"/>
      <c r="N64" s="34"/>
      <c r="O64" s="34"/>
      <c r="P64" s="33"/>
      <c r="Q64" s="35"/>
      <c r="R64" s="33"/>
      <c r="S64" s="33"/>
      <c r="T64" s="33"/>
      <c r="U64" s="33"/>
      <c r="V64" s="33"/>
      <c r="W64" s="33"/>
    </row>
    <row r="65" customFormat="false" ht="15" hidden="false" customHeight="false" outlineLevel="0" collapsed="false">
      <c r="A65" s="33"/>
      <c r="B65" s="33"/>
      <c r="C65" s="33"/>
      <c r="D65" s="33"/>
      <c r="E65" s="33"/>
      <c r="F65" s="33"/>
      <c r="G65" s="33"/>
      <c r="H65" s="33"/>
      <c r="I65" s="33"/>
      <c r="J65" s="33"/>
      <c r="K65" s="33"/>
      <c r="L65" s="34"/>
      <c r="M65" s="34"/>
      <c r="N65" s="34"/>
      <c r="O65" s="34"/>
      <c r="P65" s="33"/>
      <c r="Q65" s="35"/>
      <c r="R65" s="33"/>
      <c r="S65" s="33"/>
      <c r="T65" s="33"/>
      <c r="U65" s="33"/>
      <c r="V65" s="33"/>
      <c r="W65" s="33"/>
    </row>
    <row r="66" customFormat="false" ht="15" hidden="false" customHeight="false" outlineLevel="0" collapsed="false">
      <c r="A66" s="33"/>
      <c r="B66" s="33"/>
      <c r="C66" s="33"/>
      <c r="D66" s="33"/>
      <c r="E66" s="33"/>
      <c r="F66" s="33"/>
      <c r="G66" s="33"/>
      <c r="H66" s="33"/>
      <c r="I66" s="33"/>
      <c r="J66" s="33"/>
      <c r="K66" s="33"/>
      <c r="L66" s="34"/>
      <c r="M66" s="34"/>
      <c r="N66" s="34"/>
      <c r="O66" s="34"/>
      <c r="P66" s="33"/>
      <c r="Q66" s="35"/>
      <c r="R66" s="33"/>
      <c r="S66" s="33"/>
      <c r="T66" s="33"/>
      <c r="U66" s="33"/>
      <c r="V66" s="33"/>
      <c r="W66" s="33"/>
    </row>
    <row r="67" customFormat="false" ht="15" hidden="false" customHeight="false" outlineLevel="0" collapsed="false">
      <c r="A67" s="33"/>
      <c r="B67" s="33"/>
      <c r="C67" s="33"/>
      <c r="D67" s="33"/>
      <c r="E67" s="33"/>
      <c r="F67" s="33"/>
      <c r="G67" s="33"/>
      <c r="H67" s="33"/>
      <c r="I67" s="33"/>
      <c r="J67" s="33"/>
      <c r="K67" s="33"/>
      <c r="L67" s="34"/>
      <c r="M67" s="34"/>
      <c r="N67" s="34"/>
      <c r="O67" s="34"/>
      <c r="P67" s="33"/>
      <c r="Q67" s="35"/>
      <c r="R67" s="33"/>
      <c r="S67" s="33"/>
      <c r="T67" s="33"/>
      <c r="U67" s="33"/>
      <c r="V67" s="33"/>
      <c r="W67" s="33"/>
    </row>
    <row r="68" customFormat="false" ht="15" hidden="false" customHeight="false" outlineLevel="0" collapsed="false">
      <c r="A68" s="33"/>
      <c r="B68" s="33"/>
      <c r="C68" s="33"/>
      <c r="D68" s="33"/>
      <c r="E68" s="33"/>
      <c r="F68" s="33"/>
      <c r="G68" s="33"/>
      <c r="H68" s="33"/>
      <c r="I68" s="33"/>
      <c r="J68" s="33"/>
      <c r="K68" s="33"/>
      <c r="L68" s="34"/>
      <c r="M68" s="34"/>
      <c r="N68" s="34"/>
      <c r="O68" s="34"/>
      <c r="P68" s="33"/>
      <c r="Q68" s="35"/>
      <c r="R68" s="33"/>
      <c r="S68" s="33"/>
      <c r="T68" s="33"/>
      <c r="U68" s="33"/>
      <c r="V68" s="33"/>
      <c r="W68" s="33"/>
    </row>
    <row r="69" customFormat="false" ht="15" hidden="false" customHeight="false" outlineLevel="0" collapsed="false">
      <c r="A69" s="33"/>
      <c r="B69" s="33"/>
      <c r="C69" s="33"/>
      <c r="D69" s="33"/>
      <c r="E69" s="33"/>
      <c r="F69" s="33"/>
      <c r="G69" s="33"/>
      <c r="H69" s="33"/>
      <c r="I69" s="33"/>
      <c r="J69" s="33"/>
      <c r="K69" s="33"/>
      <c r="L69" s="34"/>
      <c r="M69" s="34"/>
      <c r="N69" s="34"/>
      <c r="O69" s="34"/>
      <c r="P69" s="33"/>
      <c r="Q69" s="35"/>
      <c r="R69" s="33"/>
      <c r="S69" s="33"/>
      <c r="T69" s="33"/>
      <c r="U69" s="33"/>
      <c r="V69" s="33"/>
      <c r="W69" s="33"/>
    </row>
    <row r="70" customFormat="false" ht="15" hidden="false" customHeight="false" outlineLevel="0" collapsed="false">
      <c r="A70" s="33"/>
      <c r="B70" s="33"/>
      <c r="C70" s="33"/>
      <c r="D70" s="33"/>
      <c r="E70" s="33"/>
      <c r="F70" s="33"/>
      <c r="G70" s="33"/>
      <c r="H70" s="33"/>
      <c r="I70" s="33"/>
      <c r="J70" s="33"/>
      <c r="K70" s="33"/>
      <c r="L70" s="34"/>
      <c r="M70" s="34"/>
      <c r="N70" s="34"/>
      <c r="O70" s="34"/>
      <c r="P70" s="33"/>
      <c r="Q70" s="35"/>
      <c r="R70" s="33"/>
      <c r="S70" s="33"/>
      <c r="T70" s="33"/>
      <c r="U70" s="33"/>
      <c r="V70" s="33"/>
      <c r="W70" s="33"/>
    </row>
    <row r="71" customFormat="false" ht="15" hidden="false" customHeight="false" outlineLevel="0" collapsed="false">
      <c r="A71" s="33"/>
      <c r="B71" s="33"/>
      <c r="C71" s="33"/>
      <c r="D71" s="33"/>
      <c r="E71" s="33"/>
      <c r="F71" s="33"/>
      <c r="G71" s="33"/>
      <c r="H71" s="33"/>
      <c r="I71" s="33"/>
      <c r="J71" s="33"/>
      <c r="K71" s="33"/>
      <c r="L71" s="34"/>
      <c r="M71" s="34"/>
      <c r="N71" s="34"/>
      <c r="O71" s="34"/>
      <c r="P71" s="33"/>
      <c r="Q71" s="35"/>
      <c r="R71" s="33"/>
      <c r="S71" s="33"/>
      <c r="T71" s="33"/>
      <c r="U71" s="33"/>
      <c r="V71" s="33"/>
      <c r="W71" s="33"/>
    </row>
    <row r="72" customFormat="false" ht="15" hidden="false" customHeight="false" outlineLevel="0" collapsed="false">
      <c r="A72" s="33"/>
      <c r="B72" s="33"/>
      <c r="C72" s="33"/>
      <c r="D72" s="33"/>
      <c r="E72" s="33"/>
      <c r="F72" s="33"/>
      <c r="G72" s="33"/>
      <c r="H72" s="33"/>
      <c r="I72" s="33"/>
      <c r="J72" s="33"/>
      <c r="K72" s="33"/>
      <c r="L72" s="34"/>
      <c r="M72" s="34"/>
      <c r="N72" s="34"/>
      <c r="O72" s="34"/>
      <c r="P72" s="33"/>
      <c r="Q72" s="35"/>
      <c r="R72" s="33"/>
      <c r="S72" s="33"/>
      <c r="T72" s="33"/>
      <c r="U72" s="33"/>
      <c r="V72" s="33"/>
      <c r="W72" s="33"/>
    </row>
    <row r="73" customFormat="false" ht="15" hidden="false" customHeight="false" outlineLevel="0" collapsed="false">
      <c r="A73" s="33"/>
      <c r="B73" s="33"/>
      <c r="C73" s="33"/>
      <c r="D73" s="33"/>
      <c r="E73" s="33"/>
      <c r="F73" s="33"/>
      <c r="G73" s="33"/>
      <c r="H73" s="33"/>
      <c r="I73" s="33"/>
      <c r="J73" s="33"/>
      <c r="K73" s="33"/>
      <c r="L73" s="34"/>
      <c r="M73" s="34"/>
      <c r="N73" s="34"/>
      <c r="O73" s="34"/>
      <c r="P73" s="33"/>
      <c r="Q73" s="35"/>
      <c r="R73" s="33"/>
      <c r="S73" s="33"/>
      <c r="T73" s="33"/>
      <c r="U73" s="33"/>
      <c r="V73" s="33"/>
      <c r="W73" s="33"/>
    </row>
    <row r="74" customFormat="false" ht="15" hidden="false" customHeight="false" outlineLevel="0" collapsed="false">
      <c r="A74" s="33"/>
      <c r="B74" s="33"/>
      <c r="C74" s="33"/>
      <c r="D74" s="33"/>
      <c r="E74" s="33"/>
      <c r="F74" s="33"/>
      <c r="G74" s="33"/>
      <c r="H74" s="33"/>
      <c r="I74" s="33"/>
      <c r="J74" s="33"/>
      <c r="K74" s="33"/>
      <c r="L74" s="34"/>
      <c r="M74" s="34"/>
      <c r="N74" s="34"/>
      <c r="O74" s="34"/>
      <c r="P74" s="33"/>
      <c r="Q74" s="35"/>
      <c r="R74" s="33"/>
      <c r="S74" s="33"/>
      <c r="T74" s="33"/>
      <c r="U74" s="33"/>
      <c r="V74" s="33"/>
      <c r="W74" s="33"/>
    </row>
    <row r="75" customFormat="false" ht="15" hidden="false" customHeight="false" outlineLevel="0" collapsed="false">
      <c r="A75" s="33"/>
      <c r="B75" s="33"/>
      <c r="C75" s="33"/>
      <c r="D75" s="33"/>
      <c r="E75" s="33"/>
      <c r="F75" s="33"/>
      <c r="G75" s="33"/>
      <c r="H75" s="33"/>
      <c r="I75" s="33"/>
      <c r="J75" s="33"/>
      <c r="K75" s="33"/>
      <c r="L75" s="34"/>
      <c r="M75" s="34"/>
      <c r="N75" s="34"/>
      <c r="O75" s="34"/>
      <c r="P75" s="33"/>
      <c r="Q75" s="35"/>
      <c r="R75" s="33"/>
      <c r="S75" s="33"/>
      <c r="T75" s="33"/>
      <c r="U75" s="33"/>
      <c r="V75" s="33"/>
      <c r="W75" s="33"/>
    </row>
    <row r="76" customFormat="false" ht="15" hidden="false" customHeight="false" outlineLevel="0" collapsed="false">
      <c r="A76" s="33"/>
      <c r="B76" s="33"/>
      <c r="C76" s="33"/>
      <c r="D76" s="33"/>
      <c r="E76" s="33"/>
      <c r="F76" s="33"/>
      <c r="G76" s="33"/>
      <c r="H76" s="33"/>
      <c r="I76" s="33"/>
      <c r="J76" s="33"/>
      <c r="K76" s="33"/>
      <c r="L76" s="34"/>
      <c r="M76" s="34"/>
      <c r="N76" s="34"/>
      <c r="O76" s="34"/>
      <c r="P76" s="33"/>
      <c r="Q76" s="35"/>
      <c r="R76" s="33"/>
      <c r="S76" s="33"/>
      <c r="T76" s="33"/>
      <c r="U76" s="33"/>
      <c r="V76" s="33"/>
      <c r="W76" s="33"/>
    </row>
    <row r="77" customFormat="false" ht="15" hidden="false" customHeight="false" outlineLevel="0" collapsed="false">
      <c r="A77" s="33"/>
      <c r="B77" s="33"/>
      <c r="C77" s="33"/>
      <c r="D77" s="33"/>
      <c r="E77" s="33"/>
      <c r="F77" s="33"/>
      <c r="G77" s="33"/>
      <c r="H77" s="33"/>
      <c r="I77" s="33"/>
      <c r="J77" s="33"/>
      <c r="K77" s="33"/>
      <c r="L77" s="34"/>
      <c r="M77" s="34"/>
      <c r="N77" s="34"/>
      <c r="O77" s="34"/>
      <c r="P77" s="33"/>
      <c r="Q77" s="35"/>
      <c r="R77" s="33"/>
      <c r="S77" s="33"/>
      <c r="T77" s="33"/>
      <c r="U77" s="33"/>
      <c r="V77" s="33"/>
      <c r="W77" s="33"/>
    </row>
    <row r="78" customFormat="false" ht="15" hidden="false" customHeight="false" outlineLevel="0" collapsed="false">
      <c r="A78" s="33"/>
      <c r="B78" s="33"/>
      <c r="C78" s="33"/>
      <c r="D78" s="33"/>
      <c r="E78" s="33"/>
      <c r="F78" s="33"/>
      <c r="G78" s="33"/>
      <c r="H78" s="33"/>
      <c r="I78" s="33"/>
      <c r="J78" s="33"/>
      <c r="K78" s="33"/>
      <c r="L78" s="34"/>
      <c r="M78" s="34"/>
      <c r="N78" s="34"/>
      <c r="O78" s="34"/>
      <c r="P78" s="33"/>
      <c r="Q78" s="35"/>
      <c r="R78" s="33"/>
      <c r="S78" s="33"/>
      <c r="T78" s="33"/>
      <c r="U78" s="33"/>
      <c r="V78" s="33"/>
      <c r="W78" s="33"/>
    </row>
    <row r="79" customFormat="false" ht="15" hidden="false" customHeight="false" outlineLevel="0" collapsed="false">
      <c r="A79" s="33"/>
      <c r="B79" s="33"/>
      <c r="C79" s="33"/>
      <c r="D79" s="33"/>
      <c r="E79" s="33"/>
      <c r="F79" s="33"/>
      <c r="G79" s="33"/>
      <c r="H79" s="33"/>
      <c r="I79" s="33"/>
      <c r="J79" s="33"/>
      <c r="K79" s="33"/>
      <c r="L79" s="34"/>
      <c r="M79" s="34"/>
      <c r="N79" s="34"/>
      <c r="O79" s="34"/>
      <c r="P79" s="33"/>
      <c r="Q79" s="35"/>
      <c r="R79" s="33"/>
      <c r="S79" s="33"/>
      <c r="T79" s="33"/>
      <c r="U79" s="33"/>
      <c r="V79" s="33"/>
      <c r="W79" s="33"/>
    </row>
    <row r="80" customFormat="false" ht="15" hidden="false" customHeight="false" outlineLevel="0" collapsed="false">
      <c r="A80" s="33"/>
      <c r="B80" s="33"/>
      <c r="C80" s="33"/>
      <c r="D80" s="33"/>
      <c r="E80" s="33"/>
      <c r="F80" s="33"/>
      <c r="G80" s="33"/>
      <c r="H80" s="33"/>
      <c r="I80" s="33"/>
      <c r="J80" s="33"/>
      <c r="K80" s="33"/>
      <c r="L80" s="34"/>
      <c r="M80" s="34"/>
      <c r="N80" s="34"/>
      <c r="O80" s="34"/>
      <c r="P80" s="33"/>
      <c r="Q80" s="35"/>
      <c r="R80" s="33"/>
      <c r="S80" s="33"/>
      <c r="T80" s="33"/>
      <c r="U80" s="33"/>
      <c r="V80" s="33"/>
      <c r="W80" s="33"/>
    </row>
    <row r="81" customFormat="false" ht="15" hidden="false" customHeight="false" outlineLevel="0" collapsed="false">
      <c r="A81" s="33"/>
      <c r="B81" s="33"/>
      <c r="C81" s="33"/>
      <c r="D81" s="33"/>
      <c r="E81" s="33"/>
      <c r="F81" s="33"/>
      <c r="G81" s="33"/>
      <c r="H81" s="33"/>
      <c r="I81" s="33"/>
      <c r="J81" s="33"/>
      <c r="K81" s="33"/>
      <c r="L81" s="34"/>
      <c r="M81" s="34"/>
      <c r="N81" s="34"/>
      <c r="O81" s="34"/>
      <c r="P81" s="33"/>
      <c r="Q81" s="35"/>
      <c r="R81" s="33"/>
      <c r="S81" s="33"/>
      <c r="T81" s="33"/>
      <c r="U81" s="33"/>
      <c r="V81" s="33"/>
      <c r="W81" s="33"/>
    </row>
    <row r="82" customFormat="false" ht="15" hidden="false" customHeight="false" outlineLevel="0" collapsed="false">
      <c r="A82" s="33"/>
      <c r="B82" s="33"/>
      <c r="C82" s="33"/>
      <c r="D82" s="33"/>
      <c r="E82" s="33"/>
      <c r="F82" s="33"/>
      <c r="G82" s="33"/>
      <c r="H82" s="33"/>
      <c r="I82" s="33"/>
      <c r="J82" s="33"/>
      <c r="K82" s="33"/>
      <c r="L82" s="34"/>
      <c r="M82" s="34"/>
      <c r="N82" s="34"/>
      <c r="O82" s="34"/>
      <c r="P82" s="33"/>
      <c r="Q82" s="35"/>
      <c r="R82" s="33"/>
      <c r="S82" s="33"/>
      <c r="T82" s="33"/>
      <c r="U82" s="33"/>
      <c r="V82" s="33"/>
      <c r="W82" s="33"/>
    </row>
    <row r="83" customFormat="false" ht="15" hidden="false" customHeight="false" outlineLevel="0" collapsed="false">
      <c r="A83" s="33"/>
      <c r="B83" s="33"/>
      <c r="C83" s="33"/>
      <c r="D83" s="33"/>
      <c r="E83" s="33"/>
      <c r="F83" s="33"/>
      <c r="G83" s="33"/>
      <c r="H83" s="33"/>
      <c r="I83" s="33"/>
      <c r="J83" s="33"/>
      <c r="K83" s="33"/>
      <c r="L83" s="34"/>
      <c r="M83" s="34"/>
      <c r="N83" s="34"/>
      <c r="O83" s="34"/>
      <c r="P83" s="33"/>
      <c r="Q83" s="35"/>
      <c r="R83" s="33"/>
      <c r="S83" s="33"/>
      <c r="T83" s="33"/>
      <c r="U83" s="33"/>
      <c r="V83" s="33"/>
      <c r="W83" s="33"/>
    </row>
    <row r="84" customFormat="false" ht="15" hidden="false" customHeight="false" outlineLevel="0" collapsed="false">
      <c r="A84" s="33"/>
      <c r="B84" s="33"/>
      <c r="C84" s="33"/>
      <c r="D84" s="33"/>
      <c r="E84" s="33"/>
      <c r="F84" s="33"/>
      <c r="G84" s="33"/>
      <c r="H84" s="33"/>
      <c r="I84" s="33"/>
      <c r="J84" s="33"/>
      <c r="K84" s="33"/>
      <c r="L84" s="34"/>
      <c r="M84" s="34"/>
      <c r="N84" s="34"/>
      <c r="O84" s="34"/>
      <c r="P84" s="33"/>
      <c r="Q84" s="35"/>
      <c r="R84" s="33"/>
      <c r="S84" s="33"/>
      <c r="T84" s="33"/>
      <c r="U84" s="33"/>
      <c r="V84" s="33"/>
      <c r="W84" s="33"/>
    </row>
    <row r="85" customFormat="false" ht="15" hidden="false" customHeight="false" outlineLevel="0" collapsed="false">
      <c r="A85" s="33"/>
      <c r="B85" s="33"/>
      <c r="C85" s="33"/>
      <c r="D85" s="33"/>
      <c r="E85" s="33"/>
      <c r="F85" s="33"/>
      <c r="G85" s="33"/>
      <c r="H85" s="33"/>
      <c r="I85" s="33"/>
      <c r="J85" s="33"/>
      <c r="K85" s="33"/>
      <c r="L85" s="34"/>
      <c r="M85" s="34"/>
      <c r="N85" s="34"/>
      <c r="O85" s="34"/>
      <c r="P85" s="33"/>
      <c r="Q85" s="35"/>
      <c r="R85" s="33"/>
      <c r="S85" s="33"/>
      <c r="T85" s="33"/>
      <c r="U85" s="33"/>
      <c r="V85" s="33"/>
      <c r="W85" s="33"/>
    </row>
    <row r="86" customFormat="false" ht="15" hidden="false" customHeight="false" outlineLevel="0" collapsed="false">
      <c r="A86" s="33"/>
      <c r="B86" s="33"/>
      <c r="C86" s="33"/>
      <c r="D86" s="33"/>
      <c r="E86" s="33"/>
      <c r="F86" s="33"/>
      <c r="G86" s="33"/>
      <c r="H86" s="33"/>
      <c r="I86" s="33"/>
      <c r="J86" s="33"/>
      <c r="K86" s="33"/>
      <c r="L86" s="34"/>
      <c r="M86" s="34"/>
      <c r="N86" s="34"/>
      <c r="O86" s="34"/>
      <c r="P86" s="33"/>
      <c r="Q86" s="35"/>
      <c r="R86" s="33"/>
      <c r="S86" s="33"/>
      <c r="T86" s="33"/>
      <c r="U86" s="33"/>
      <c r="V86" s="33"/>
      <c r="W86" s="33"/>
    </row>
    <row r="87" customFormat="false" ht="15" hidden="false" customHeight="false" outlineLevel="0" collapsed="false">
      <c r="A87" s="33"/>
      <c r="B87" s="33"/>
      <c r="C87" s="33"/>
      <c r="D87" s="33"/>
      <c r="E87" s="33"/>
      <c r="F87" s="33"/>
      <c r="G87" s="33"/>
      <c r="H87" s="33"/>
      <c r="I87" s="33"/>
      <c r="J87" s="33"/>
      <c r="K87" s="33"/>
      <c r="L87" s="34"/>
      <c r="M87" s="34"/>
      <c r="N87" s="34"/>
      <c r="O87" s="34"/>
      <c r="P87" s="33"/>
      <c r="Q87" s="35"/>
      <c r="R87" s="33"/>
      <c r="S87" s="33"/>
      <c r="T87" s="33"/>
      <c r="U87" s="33"/>
      <c r="V87" s="33"/>
      <c r="W87" s="33"/>
    </row>
    <row r="88" customFormat="false" ht="15" hidden="false" customHeight="false" outlineLevel="0" collapsed="false">
      <c r="A88" s="33"/>
      <c r="B88" s="33"/>
      <c r="C88" s="33"/>
      <c r="D88" s="33"/>
      <c r="E88" s="33"/>
      <c r="F88" s="33"/>
      <c r="G88" s="33"/>
      <c r="H88" s="33"/>
      <c r="I88" s="33"/>
      <c r="J88" s="33"/>
      <c r="K88" s="33"/>
      <c r="L88" s="34"/>
      <c r="M88" s="34"/>
      <c r="N88" s="34"/>
      <c r="O88" s="34"/>
      <c r="P88" s="33"/>
      <c r="Q88" s="35"/>
      <c r="R88" s="33"/>
      <c r="S88" s="33"/>
      <c r="T88" s="33"/>
      <c r="U88" s="33"/>
      <c r="V88" s="33"/>
      <c r="W88" s="33"/>
    </row>
    <row r="89" customFormat="false" ht="15" hidden="false" customHeight="false" outlineLevel="0" collapsed="false">
      <c r="A89" s="33"/>
      <c r="B89" s="33"/>
      <c r="C89" s="33"/>
      <c r="D89" s="33"/>
      <c r="E89" s="33"/>
      <c r="F89" s="33"/>
      <c r="G89" s="33"/>
      <c r="H89" s="33"/>
      <c r="I89" s="33"/>
      <c r="J89" s="33"/>
      <c r="K89" s="33"/>
      <c r="L89" s="34"/>
      <c r="M89" s="34"/>
      <c r="N89" s="34"/>
      <c r="O89" s="34"/>
      <c r="P89" s="33"/>
      <c r="Q89" s="35"/>
      <c r="R89" s="33"/>
      <c r="S89" s="33"/>
      <c r="T89" s="33"/>
      <c r="U89" s="33"/>
      <c r="V89" s="33"/>
      <c r="W89" s="33"/>
    </row>
    <row r="90" customFormat="false" ht="15" hidden="false" customHeight="false" outlineLevel="0" collapsed="false">
      <c r="A90" s="33"/>
      <c r="B90" s="33"/>
      <c r="C90" s="33"/>
      <c r="D90" s="33"/>
      <c r="E90" s="33"/>
      <c r="F90" s="33"/>
      <c r="G90" s="33"/>
      <c r="H90" s="33"/>
      <c r="I90" s="33"/>
      <c r="J90" s="33"/>
      <c r="K90" s="33"/>
      <c r="L90" s="34"/>
      <c r="M90" s="34"/>
      <c r="N90" s="34"/>
      <c r="O90" s="34"/>
      <c r="P90" s="33"/>
      <c r="Q90" s="35"/>
      <c r="R90" s="33"/>
      <c r="S90" s="33"/>
      <c r="T90" s="33"/>
      <c r="U90" s="33"/>
      <c r="V90" s="33"/>
      <c r="W90" s="33"/>
    </row>
    <row r="91" customFormat="false" ht="15" hidden="false" customHeight="false" outlineLevel="0" collapsed="false">
      <c r="A91" s="33"/>
      <c r="B91" s="33"/>
      <c r="C91" s="33"/>
      <c r="D91" s="33"/>
      <c r="E91" s="33"/>
      <c r="F91" s="33"/>
      <c r="G91" s="33"/>
      <c r="H91" s="33"/>
      <c r="I91" s="33"/>
      <c r="J91" s="33"/>
      <c r="K91" s="33"/>
      <c r="L91" s="34"/>
      <c r="M91" s="34"/>
      <c r="N91" s="34"/>
      <c r="O91" s="34"/>
      <c r="P91" s="33"/>
      <c r="Q91" s="35"/>
      <c r="R91" s="33"/>
      <c r="S91" s="33"/>
      <c r="T91" s="33"/>
      <c r="U91" s="33"/>
      <c r="V91" s="33"/>
      <c r="W91" s="33"/>
    </row>
    <row r="92" customFormat="false" ht="15" hidden="false" customHeight="false" outlineLevel="0" collapsed="false">
      <c r="A92" s="33"/>
      <c r="B92" s="33"/>
      <c r="C92" s="33"/>
      <c r="D92" s="33"/>
      <c r="E92" s="33"/>
      <c r="F92" s="33"/>
      <c r="G92" s="33"/>
      <c r="H92" s="33"/>
      <c r="I92" s="33"/>
      <c r="J92" s="33"/>
      <c r="K92" s="33"/>
      <c r="L92" s="34"/>
      <c r="M92" s="34"/>
      <c r="N92" s="34"/>
      <c r="O92" s="34"/>
      <c r="P92" s="33"/>
      <c r="Q92" s="35"/>
      <c r="R92" s="33"/>
      <c r="S92" s="33"/>
      <c r="T92" s="33"/>
      <c r="U92" s="33"/>
      <c r="V92" s="33"/>
      <c r="W92" s="33"/>
    </row>
    <row r="93" customFormat="false" ht="15" hidden="false" customHeight="false" outlineLevel="0" collapsed="false">
      <c r="A93" s="33"/>
      <c r="B93" s="33"/>
      <c r="C93" s="33"/>
      <c r="D93" s="33"/>
      <c r="E93" s="33"/>
      <c r="F93" s="33"/>
      <c r="G93" s="33"/>
      <c r="H93" s="33"/>
      <c r="I93" s="33"/>
      <c r="J93" s="33"/>
      <c r="K93" s="33"/>
      <c r="L93" s="34"/>
      <c r="M93" s="34"/>
      <c r="N93" s="34"/>
      <c r="O93" s="34"/>
      <c r="P93" s="33"/>
      <c r="Q93" s="35"/>
      <c r="R93" s="33"/>
      <c r="S93" s="33"/>
      <c r="T93" s="33"/>
      <c r="U93" s="33"/>
      <c r="V93" s="33"/>
      <c r="W93" s="33"/>
    </row>
    <row r="94" customFormat="false" ht="15" hidden="false" customHeight="false" outlineLevel="0" collapsed="false">
      <c r="A94" s="33"/>
      <c r="B94" s="33"/>
      <c r="C94" s="33"/>
      <c r="D94" s="33"/>
      <c r="E94" s="33"/>
      <c r="F94" s="33"/>
      <c r="G94" s="33"/>
      <c r="H94" s="33"/>
      <c r="I94" s="33"/>
      <c r="J94" s="33"/>
      <c r="K94" s="33"/>
      <c r="L94" s="34"/>
      <c r="M94" s="34"/>
      <c r="N94" s="34"/>
      <c r="O94" s="34"/>
      <c r="P94" s="33"/>
      <c r="Q94" s="35"/>
      <c r="R94" s="33"/>
      <c r="S94" s="33"/>
      <c r="T94" s="33"/>
      <c r="U94" s="33"/>
      <c r="V94" s="33"/>
      <c r="W94" s="33"/>
    </row>
    <row r="95" customFormat="false" ht="15" hidden="false" customHeight="false" outlineLevel="0" collapsed="false">
      <c r="A95" s="33"/>
      <c r="B95" s="33"/>
      <c r="C95" s="33"/>
      <c r="D95" s="33"/>
      <c r="E95" s="33"/>
      <c r="F95" s="33"/>
      <c r="G95" s="33"/>
      <c r="H95" s="33"/>
      <c r="I95" s="33"/>
      <c r="J95" s="33"/>
      <c r="K95" s="33"/>
      <c r="L95" s="34"/>
      <c r="M95" s="34"/>
      <c r="N95" s="34"/>
      <c r="O95" s="34"/>
      <c r="P95" s="33"/>
      <c r="Q95" s="35"/>
      <c r="R95" s="33"/>
      <c r="S95" s="33"/>
      <c r="T95" s="33"/>
      <c r="U95" s="33"/>
      <c r="V95" s="33"/>
      <c r="W95" s="33"/>
    </row>
    <row r="96" customFormat="false" ht="15" hidden="false" customHeight="false" outlineLevel="0" collapsed="false">
      <c r="A96" s="33"/>
      <c r="B96" s="33"/>
      <c r="C96" s="33"/>
      <c r="D96" s="33"/>
      <c r="E96" s="33"/>
      <c r="F96" s="33"/>
      <c r="G96" s="33"/>
      <c r="H96" s="33"/>
      <c r="I96" s="33"/>
      <c r="J96" s="33"/>
      <c r="K96" s="33"/>
      <c r="L96" s="34"/>
      <c r="M96" s="34"/>
      <c r="N96" s="34"/>
      <c r="O96" s="34"/>
      <c r="P96" s="33"/>
      <c r="Q96" s="35"/>
      <c r="R96" s="33"/>
      <c r="S96" s="33"/>
      <c r="T96" s="33"/>
      <c r="U96" s="33"/>
      <c r="V96" s="33"/>
      <c r="W96" s="33"/>
    </row>
    <row r="97" customFormat="false" ht="15" hidden="false" customHeight="false" outlineLevel="0" collapsed="false">
      <c r="A97" s="33"/>
      <c r="B97" s="33"/>
      <c r="C97" s="33"/>
      <c r="D97" s="33"/>
      <c r="E97" s="33"/>
      <c r="F97" s="33"/>
      <c r="G97" s="33"/>
      <c r="H97" s="33"/>
      <c r="I97" s="33"/>
      <c r="J97" s="33"/>
      <c r="K97" s="33"/>
      <c r="L97" s="34"/>
      <c r="M97" s="34"/>
      <c r="N97" s="34"/>
      <c r="O97" s="34"/>
      <c r="P97" s="33"/>
      <c r="Q97" s="35"/>
      <c r="R97" s="33"/>
      <c r="S97" s="33"/>
      <c r="T97" s="33"/>
      <c r="U97" s="33"/>
      <c r="V97" s="33"/>
      <c r="W97" s="33"/>
    </row>
    <row r="98" customFormat="false" ht="15" hidden="false" customHeight="false" outlineLevel="0" collapsed="false">
      <c r="A98" s="33"/>
      <c r="B98" s="33"/>
      <c r="C98" s="33"/>
      <c r="D98" s="33"/>
      <c r="E98" s="33"/>
      <c r="F98" s="33"/>
      <c r="G98" s="33"/>
      <c r="H98" s="33"/>
      <c r="I98" s="33"/>
      <c r="J98" s="33"/>
      <c r="K98" s="33"/>
      <c r="L98" s="34"/>
      <c r="M98" s="34"/>
      <c r="N98" s="34"/>
      <c r="O98" s="34"/>
      <c r="P98" s="33"/>
      <c r="Q98" s="35"/>
      <c r="R98" s="33"/>
      <c r="S98" s="33"/>
      <c r="T98" s="33"/>
      <c r="U98" s="33"/>
      <c r="V98" s="33"/>
      <c r="W98" s="33"/>
    </row>
    <row r="99" customFormat="false" ht="15" hidden="false" customHeight="false" outlineLevel="0" collapsed="false">
      <c r="A99" s="33"/>
      <c r="B99" s="33"/>
      <c r="C99" s="33"/>
      <c r="D99" s="33"/>
      <c r="E99" s="33"/>
      <c r="F99" s="33"/>
      <c r="G99" s="33"/>
      <c r="H99" s="33"/>
      <c r="I99" s="33"/>
      <c r="J99" s="33"/>
      <c r="K99" s="33"/>
      <c r="L99" s="34"/>
      <c r="M99" s="34"/>
      <c r="N99" s="34"/>
      <c r="O99" s="34"/>
      <c r="P99" s="33"/>
      <c r="Q99" s="35"/>
      <c r="R99" s="33"/>
      <c r="S99" s="33"/>
      <c r="T99" s="33"/>
      <c r="U99" s="33"/>
      <c r="V99" s="33"/>
      <c r="W99" s="33"/>
    </row>
    <row r="100" customFormat="false" ht="15" hidden="false" customHeight="false" outlineLevel="0" collapsed="false">
      <c r="A100" s="33"/>
      <c r="B100" s="33"/>
      <c r="C100" s="33"/>
      <c r="D100" s="33"/>
      <c r="E100" s="33"/>
      <c r="F100" s="33"/>
      <c r="G100" s="33"/>
      <c r="H100" s="33"/>
      <c r="I100" s="33"/>
      <c r="J100" s="33"/>
      <c r="K100" s="33"/>
      <c r="L100" s="34"/>
      <c r="M100" s="34"/>
      <c r="N100" s="34"/>
      <c r="O100" s="34"/>
      <c r="P100" s="33"/>
      <c r="Q100" s="35"/>
      <c r="R100" s="33"/>
      <c r="S100" s="33"/>
      <c r="T100" s="33"/>
      <c r="U100" s="33"/>
      <c r="V100" s="33"/>
      <c r="W100" s="33"/>
    </row>
    <row r="101" customFormat="false" ht="15" hidden="false" customHeight="false" outlineLevel="0" collapsed="false">
      <c r="A101" s="33"/>
      <c r="B101" s="33"/>
      <c r="C101" s="33"/>
      <c r="D101" s="33"/>
      <c r="E101" s="33"/>
      <c r="F101" s="33"/>
      <c r="G101" s="33"/>
      <c r="H101" s="33"/>
      <c r="I101" s="33"/>
      <c r="J101" s="33"/>
      <c r="K101" s="33"/>
      <c r="L101" s="34"/>
      <c r="M101" s="34"/>
      <c r="N101" s="34"/>
      <c r="O101" s="34"/>
      <c r="P101" s="33"/>
      <c r="Q101" s="35"/>
      <c r="R101" s="33"/>
      <c r="S101" s="33"/>
      <c r="T101" s="33"/>
      <c r="U101" s="33"/>
      <c r="V101" s="33"/>
      <c r="W101" s="33"/>
    </row>
    <row r="102" customFormat="false" ht="15" hidden="false" customHeight="false" outlineLevel="0" collapsed="false">
      <c r="A102" s="33"/>
      <c r="B102" s="33"/>
      <c r="C102" s="33"/>
      <c r="D102" s="33"/>
      <c r="E102" s="33"/>
      <c r="F102" s="33"/>
      <c r="G102" s="33"/>
      <c r="H102" s="33"/>
      <c r="I102" s="33"/>
      <c r="J102" s="33"/>
      <c r="K102" s="33"/>
      <c r="L102" s="34"/>
      <c r="M102" s="34"/>
      <c r="N102" s="34"/>
      <c r="O102" s="34"/>
      <c r="P102" s="33"/>
      <c r="Q102" s="35"/>
      <c r="R102" s="33"/>
      <c r="S102" s="33"/>
      <c r="T102" s="33"/>
      <c r="U102" s="33"/>
      <c r="V102" s="33"/>
      <c r="W102" s="33"/>
    </row>
    <row r="103" customFormat="false" ht="15" hidden="false" customHeight="false" outlineLevel="0" collapsed="false">
      <c r="A103" s="33"/>
      <c r="B103" s="33"/>
      <c r="C103" s="33"/>
      <c r="D103" s="33"/>
      <c r="E103" s="33"/>
      <c r="F103" s="33"/>
      <c r="G103" s="33"/>
      <c r="H103" s="33"/>
      <c r="I103" s="33"/>
      <c r="J103" s="33"/>
      <c r="K103" s="33"/>
      <c r="L103" s="34"/>
      <c r="M103" s="34"/>
      <c r="N103" s="34"/>
      <c r="O103" s="34"/>
      <c r="P103" s="33"/>
      <c r="Q103" s="35"/>
      <c r="R103" s="33"/>
      <c r="S103" s="33"/>
      <c r="T103" s="33"/>
      <c r="U103" s="33"/>
      <c r="V103" s="33"/>
      <c r="W103" s="33"/>
    </row>
    <row r="104" customFormat="false" ht="15" hidden="false" customHeight="false" outlineLevel="0" collapsed="false">
      <c r="A104" s="33"/>
      <c r="B104" s="33"/>
      <c r="C104" s="33"/>
      <c r="D104" s="33"/>
      <c r="E104" s="33"/>
      <c r="F104" s="33"/>
      <c r="G104" s="33"/>
      <c r="H104" s="33"/>
      <c r="I104" s="33"/>
      <c r="J104" s="33"/>
      <c r="K104" s="33"/>
      <c r="L104" s="34"/>
      <c r="M104" s="34"/>
      <c r="N104" s="34"/>
      <c r="O104" s="34"/>
      <c r="P104" s="33"/>
      <c r="Q104" s="35"/>
      <c r="R104" s="33"/>
      <c r="S104" s="33"/>
      <c r="T104" s="33"/>
      <c r="U104" s="33"/>
      <c r="V104" s="33"/>
      <c r="W104" s="33"/>
    </row>
    <row r="105" customFormat="false" ht="15" hidden="false" customHeight="false" outlineLevel="0" collapsed="false">
      <c r="A105" s="33"/>
      <c r="B105" s="33"/>
      <c r="C105" s="33"/>
      <c r="D105" s="33"/>
      <c r="E105" s="33"/>
      <c r="F105" s="33"/>
      <c r="G105" s="33"/>
      <c r="H105" s="33"/>
      <c r="I105" s="33"/>
      <c r="J105" s="33"/>
      <c r="K105" s="33"/>
      <c r="L105" s="34"/>
      <c r="M105" s="34"/>
      <c r="N105" s="34"/>
      <c r="O105" s="34"/>
      <c r="P105" s="33"/>
      <c r="Q105" s="35"/>
      <c r="R105" s="33"/>
      <c r="S105" s="33"/>
      <c r="T105" s="33"/>
      <c r="U105" s="33"/>
      <c r="V105" s="33"/>
      <c r="W105" s="33"/>
    </row>
    <row r="106" customFormat="false" ht="15" hidden="false" customHeight="false" outlineLevel="0" collapsed="false">
      <c r="A106" s="33"/>
      <c r="B106" s="33"/>
      <c r="C106" s="33"/>
      <c r="D106" s="33"/>
      <c r="E106" s="33"/>
      <c r="F106" s="33"/>
      <c r="G106" s="33"/>
      <c r="H106" s="33"/>
      <c r="I106" s="33"/>
      <c r="J106" s="33"/>
      <c r="K106" s="33"/>
      <c r="L106" s="34"/>
      <c r="M106" s="34"/>
      <c r="N106" s="34"/>
      <c r="O106" s="34"/>
      <c r="P106" s="33"/>
      <c r="Q106" s="35"/>
      <c r="R106" s="33"/>
      <c r="S106" s="33"/>
      <c r="T106" s="33"/>
      <c r="U106" s="33"/>
      <c r="V106" s="33"/>
      <c r="W106" s="33"/>
    </row>
    <row r="107" customFormat="false" ht="15" hidden="false" customHeight="false" outlineLevel="0" collapsed="false">
      <c r="A107" s="33"/>
      <c r="B107" s="33"/>
      <c r="C107" s="33"/>
      <c r="D107" s="33"/>
      <c r="E107" s="33"/>
      <c r="F107" s="33"/>
      <c r="G107" s="33"/>
      <c r="H107" s="33"/>
      <c r="I107" s="33"/>
      <c r="J107" s="33"/>
      <c r="K107" s="33"/>
      <c r="L107" s="34"/>
      <c r="M107" s="34"/>
      <c r="N107" s="34"/>
      <c r="O107" s="34"/>
      <c r="P107" s="33"/>
      <c r="Q107" s="35"/>
      <c r="R107" s="33"/>
      <c r="S107" s="33"/>
      <c r="T107" s="33"/>
      <c r="U107" s="33"/>
      <c r="V107" s="33"/>
      <c r="W107" s="33"/>
    </row>
    <row r="108" customFormat="false" ht="15" hidden="false" customHeight="false" outlineLevel="0" collapsed="false">
      <c r="A108" s="33"/>
      <c r="B108" s="33"/>
      <c r="C108" s="33"/>
      <c r="D108" s="33"/>
      <c r="E108" s="33"/>
      <c r="F108" s="33"/>
      <c r="G108" s="33"/>
      <c r="H108" s="33"/>
      <c r="I108" s="33"/>
      <c r="J108" s="33"/>
      <c r="K108" s="33"/>
      <c r="L108" s="34"/>
      <c r="M108" s="34"/>
      <c r="N108" s="34"/>
      <c r="O108" s="34"/>
      <c r="P108" s="33"/>
      <c r="Q108" s="35"/>
      <c r="R108" s="33"/>
      <c r="S108" s="33"/>
      <c r="T108" s="33"/>
      <c r="U108" s="33"/>
      <c r="V108" s="33"/>
      <c r="W108" s="33"/>
    </row>
    <row r="109" customFormat="false" ht="15" hidden="false" customHeight="false" outlineLevel="0" collapsed="false">
      <c r="A109" s="33"/>
      <c r="B109" s="33"/>
      <c r="C109" s="33"/>
      <c r="D109" s="33"/>
      <c r="E109" s="33"/>
      <c r="F109" s="33"/>
      <c r="G109" s="33"/>
      <c r="H109" s="33"/>
      <c r="I109" s="33"/>
      <c r="J109" s="33"/>
      <c r="K109" s="33"/>
      <c r="L109" s="34"/>
      <c r="M109" s="34"/>
      <c r="N109" s="34"/>
      <c r="O109" s="34"/>
      <c r="P109" s="33"/>
      <c r="Q109" s="35"/>
      <c r="R109" s="33"/>
      <c r="S109" s="33"/>
      <c r="T109" s="33"/>
      <c r="U109" s="33"/>
      <c r="V109" s="33"/>
      <c r="W109" s="33"/>
    </row>
    <row r="110" customFormat="false" ht="15" hidden="false" customHeight="false" outlineLevel="0" collapsed="false">
      <c r="A110" s="33"/>
      <c r="B110" s="33"/>
      <c r="C110" s="33"/>
      <c r="D110" s="33"/>
      <c r="E110" s="33"/>
      <c r="F110" s="33"/>
      <c r="G110" s="33"/>
      <c r="H110" s="33"/>
      <c r="I110" s="33"/>
      <c r="J110" s="33"/>
      <c r="K110" s="33"/>
      <c r="L110" s="34"/>
      <c r="M110" s="34"/>
      <c r="N110" s="34"/>
      <c r="O110" s="34"/>
      <c r="P110" s="33"/>
      <c r="Q110" s="35"/>
      <c r="R110" s="33"/>
      <c r="S110" s="33"/>
      <c r="T110" s="33"/>
      <c r="U110" s="33"/>
      <c r="V110" s="33"/>
      <c r="W110" s="33"/>
    </row>
    <row r="111" customFormat="false" ht="15" hidden="false" customHeight="false" outlineLevel="0" collapsed="false">
      <c r="A111" s="33"/>
      <c r="B111" s="33"/>
      <c r="C111" s="33"/>
      <c r="D111" s="33"/>
      <c r="E111" s="33"/>
      <c r="F111" s="33"/>
      <c r="G111" s="33"/>
      <c r="H111" s="33"/>
      <c r="I111" s="33"/>
      <c r="J111" s="33"/>
      <c r="K111" s="33"/>
      <c r="L111" s="34"/>
      <c r="M111" s="34"/>
      <c r="N111" s="34"/>
      <c r="O111" s="34"/>
      <c r="P111" s="33"/>
      <c r="Q111" s="35"/>
      <c r="R111" s="33"/>
      <c r="S111" s="33"/>
      <c r="T111" s="33"/>
      <c r="U111" s="33"/>
      <c r="V111" s="33"/>
      <c r="W111" s="33"/>
    </row>
    <row r="112" customFormat="false" ht="15" hidden="false" customHeight="false" outlineLevel="0" collapsed="false">
      <c r="A112" s="33"/>
      <c r="B112" s="33"/>
      <c r="C112" s="33"/>
      <c r="D112" s="33"/>
      <c r="E112" s="33"/>
      <c r="F112" s="33"/>
      <c r="G112" s="33"/>
      <c r="H112" s="33"/>
      <c r="I112" s="33"/>
      <c r="J112" s="33"/>
      <c r="K112" s="33"/>
      <c r="L112" s="34"/>
      <c r="M112" s="34"/>
      <c r="N112" s="34"/>
      <c r="O112" s="34"/>
      <c r="P112" s="33"/>
      <c r="Q112" s="35"/>
      <c r="R112" s="33"/>
      <c r="S112" s="33"/>
      <c r="T112" s="33"/>
      <c r="U112" s="33"/>
      <c r="V112" s="33"/>
      <c r="W112" s="33"/>
    </row>
    <row r="113" customFormat="false" ht="15" hidden="false" customHeight="false" outlineLevel="0" collapsed="false">
      <c r="A113" s="33"/>
      <c r="B113" s="33"/>
      <c r="C113" s="33"/>
      <c r="D113" s="33"/>
      <c r="E113" s="33"/>
      <c r="F113" s="33"/>
      <c r="G113" s="33"/>
      <c r="H113" s="33"/>
      <c r="I113" s="33"/>
      <c r="J113" s="33"/>
      <c r="K113" s="33"/>
      <c r="L113" s="34"/>
      <c r="M113" s="34"/>
      <c r="N113" s="34"/>
      <c r="O113" s="34"/>
      <c r="P113" s="33"/>
      <c r="Q113" s="35"/>
      <c r="R113" s="33"/>
      <c r="S113" s="33"/>
      <c r="T113" s="33"/>
      <c r="U113" s="33"/>
      <c r="V113" s="33"/>
      <c r="W113" s="33"/>
    </row>
    <row r="114" customFormat="false" ht="15" hidden="false" customHeight="false" outlineLevel="0" collapsed="false">
      <c r="A114" s="33"/>
      <c r="B114" s="33"/>
      <c r="C114" s="33"/>
      <c r="D114" s="33"/>
      <c r="E114" s="33"/>
      <c r="F114" s="33"/>
      <c r="G114" s="33"/>
      <c r="H114" s="33"/>
      <c r="I114" s="33"/>
      <c r="J114" s="33"/>
      <c r="K114" s="33"/>
      <c r="L114" s="34"/>
      <c r="M114" s="34"/>
      <c r="N114" s="34"/>
      <c r="O114" s="34"/>
      <c r="P114" s="33"/>
      <c r="Q114" s="35"/>
      <c r="R114" s="33"/>
      <c r="S114" s="33"/>
      <c r="T114" s="33"/>
      <c r="U114" s="33"/>
      <c r="V114" s="33"/>
      <c r="W114" s="33"/>
    </row>
    <row r="115" customFormat="false" ht="15" hidden="false" customHeight="false" outlineLevel="0" collapsed="false">
      <c r="A115" s="33"/>
      <c r="B115" s="33"/>
      <c r="C115" s="33"/>
      <c r="D115" s="33"/>
      <c r="E115" s="33"/>
      <c r="F115" s="33"/>
      <c r="G115" s="33"/>
      <c r="H115" s="33"/>
      <c r="I115" s="33"/>
      <c r="J115" s="33"/>
      <c r="K115" s="33"/>
      <c r="L115" s="34"/>
      <c r="M115" s="34"/>
      <c r="N115" s="34"/>
      <c r="O115" s="34"/>
      <c r="P115" s="33"/>
      <c r="Q115" s="35"/>
      <c r="R115" s="33"/>
      <c r="S115" s="33"/>
      <c r="T115" s="33"/>
      <c r="U115" s="33"/>
      <c r="V115" s="33"/>
      <c r="W115" s="33"/>
    </row>
    <row r="116" customFormat="false" ht="15" hidden="false" customHeight="false" outlineLevel="0" collapsed="false">
      <c r="A116" s="33"/>
      <c r="B116" s="33"/>
      <c r="C116" s="33"/>
      <c r="D116" s="33"/>
      <c r="E116" s="33"/>
      <c r="F116" s="33"/>
      <c r="G116" s="33"/>
      <c r="H116" s="33"/>
      <c r="I116" s="33"/>
      <c r="J116" s="33"/>
      <c r="K116" s="33"/>
      <c r="L116" s="34"/>
      <c r="M116" s="34"/>
      <c r="N116" s="34"/>
      <c r="O116" s="34"/>
      <c r="P116" s="33"/>
      <c r="Q116" s="35"/>
      <c r="R116" s="33"/>
      <c r="S116" s="33"/>
      <c r="T116" s="33"/>
      <c r="U116" s="33"/>
      <c r="V116" s="33"/>
      <c r="W116" s="33"/>
    </row>
    <row r="117" customFormat="false" ht="15" hidden="false" customHeight="false" outlineLevel="0" collapsed="false">
      <c r="A117" s="33"/>
      <c r="B117" s="33"/>
      <c r="C117" s="33"/>
      <c r="D117" s="33"/>
      <c r="E117" s="33"/>
      <c r="F117" s="33"/>
      <c r="G117" s="33"/>
      <c r="H117" s="33"/>
      <c r="I117" s="33"/>
      <c r="J117" s="33"/>
      <c r="K117" s="33"/>
      <c r="L117" s="34"/>
      <c r="M117" s="34"/>
      <c r="N117" s="34"/>
      <c r="O117" s="34"/>
      <c r="P117" s="33"/>
      <c r="Q117" s="35"/>
      <c r="R117" s="33"/>
      <c r="S117" s="33"/>
      <c r="T117" s="33"/>
      <c r="U117" s="33"/>
      <c r="V117" s="33"/>
      <c r="W117" s="33"/>
    </row>
    <row r="118" customFormat="false" ht="15" hidden="false" customHeight="false" outlineLevel="0" collapsed="false">
      <c r="A118" s="33"/>
      <c r="B118" s="33"/>
      <c r="C118" s="33"/>
      <c r="D118" s="33"/>
      <c r="E118" s="33"/>
      <c r="F118" s="33"/>
      <c r="G118" s="33"/>
      <c r="H118" s="33"/>
      <c r="I118" s="33"/>
      <c r="J118" s="33"/>
      <c r="K118" s="33"/>
      <c r="L118" s="34"/>
      <c r="M118" s="34"/>
      <c r="N118" s="34"/>
      <c r="O118" s="34"/>
      <c r="P118" s="33"/>
      <c r="Q118" s="35"/>
      <c r="R118" s="33"/>
      <c r="S118" s="33"/>
      <c r="T118" s="33"/>
      <c r="U118" s="33"/>
      <c r="V118" s="33"/>
      <c r="W118" s="33"/>
    </row>
    <row r="119" customFormat="false" ht="15" hidden="false" customHeight="false" outlineLevel="0" collapsed="false">
      <c r="A119" s="33"/>
      <c r="B119" s="33"/>
      <c r="C119" s="33"/>
      <c r="D119" s="33"/>
      <c r="E119" s="33"/>
      <c r="F119" s="33"/>
      <c r="G119" s="33"/>
      <c r="H119" s="33"/>
      <c r="I119" s="33"/>
      <c r="J119" s="33"/>
      <c r="K119" s="33"/>
      <c r="L119" s="34"/>
      <c r="M119" s="34"/>
      <c r="N119" s="34"/>
      <c r="O119" s="34"/>
      <c r="P119" s="33"/>
      <c r="Q119" s="35"/>
      <c r="R119" s="33"/>
      <c r="S119" s="33"/>
      <c r="T119" s="33"/>
      <c r="U119" s="33"/>
      <c r="V119" s="33"/>
      <c r="W119" s="33"/>
    </row>
    <row r="120" customFormat="false" ht="15" hidden="false" customHeight="false" outlineLevel="0" collapsed="false">
      <c r="A120" s="33"/>
      <c r="B120" s="33"/>
      <c r="C120" s="33"/>
      <c r="D120" s="33"/>
      <c r="E120" s="33"/>
      <c r="F120" s="33"/>
      <c r="G120" s="33"/>
      <c r="H120" s="33"/>
      <c r="I120" s="33"/>
      <c r="J120" s="33"/>
      <c r="K120" s="33"/>
      <c r="L120" s="34"/>
      <c r="M120" s="34"/>
      <c r="N120" s="34"/>
      <c r="O120" s="34"/>
      <c r="P120" s="33"/>
      <c r="Q120" s="35"/>
      <c r="R120" s="33"/>
      <c r="S120" s="33"/>
      <c r="T120" s="33"/>
      <c r="U120" s="33"/>
      <c r="V120" s="33"/>
      <c r="W120" s="33"/>
    </row>
    <row r="121" customFormat="false" ht="15" hidden="false" customHeight="false" outlineLevel="0" collapsed="false">
      <c r="A121" s="33"/>
      <c r="B121" s="33"/>
      <c r="C121" s="33"/>
      <c r="D121" s="33"/>
      <c r="E121" s="33"/>
      <c r="F121" s="33"/>
      <c r="G121" s="33"/>
      <c r="H121" s="33"/>
      <c r="I121" s="33"/>
      <c r="J121" s="33"/>
      <c r="K121" s="33"/>
      <c r="L121" s="34"/>
      <c r="M121" s="34"/>
      <c r="N121" s="34"/>
      <c r="O121" s="34"/>
      <c r="P121" s="33"/>
      <c r="Q121" s="35"/>
      <c r="R121" s="33"/>
      <c r="S121" s="33"/>
      <c r="T121" s="33"/>
      <c r="U121" s="33"/>
      <c r="V121" s="33"/>
      <c r="W121" s="33"/>
    </row>
    <row r="122" customFormat="false" ht="15" hidden="false" customHeight="false" outlineLevel="0" collapsed="false">
      <c r="A122" s="33"/>
      <c r="B122" s="33"/>
      <c r="C122" s="33"/>
      <c r="D122" s="33"/>
      <c r="E122" s="33"/>
      <c r="F122" s="33"/>
      <c r="G122" s="33"/>
      <c r="H122" s="33"/>
      <c r="I122" s="33"/>
      <c r="J122" s="33"/>
      <c r="K122" s="33"/>
      <c r="L122" s="34"/>
      <c r="M122" s="34"/>
      <c r="N122" s="34"/>
      <c r="O122" s="34"/>
      <c r="P122" s="33"/>
      <c r="Q122" s="35"/>
      <c r="R122" s="33"/>
      <c r="S122" s="33"/>
      <c r="T122" s="33"/>
      <c r="U122" s="33"/>
      <c r="V122" s="33"/>
      <c r="W122" s="33"/>
    </row>
    <row r="123" customFormat="false" ht="15" hidden="false" customHeight="false" outlineLevel="0" collapsed="false">
      <c r="A123" s="33"/>
      <c r="B123" s="33"/>
      <c r="C123" s="33"/>
      <c r="D123" s="33"/>
      <c r="E123" s="33"/>
      <c r="F123" s="33"/>
      <c r="G123" s="33"/>
      <c r="H123" s="33"/>
      <c r="I123" s="33"/>
      <c r="J123" s="33"/>
      <c r="K123" s="33"/>
      <c r="L123" s="34"/>
      <c r="M123" s="34"/>
      <c r="N123" s="34"/>
      <c r="O123" s="34"/>
      <c r="P123" s="33"/>
      <c r="Q123" s="35"/>
      <c r="R123" s="33"/>
      <c r="S123" s="33"/>
      <c r="T123" s="33"/>
      <c r="U123" s="33"/>
      <c r="V123" s="33"/>
      <c r="W123" s="33"/>
    </row>
    <row r="124" customFormat="false" ht="15" hidden="false" customHeight="false" outlineLevel="0" collapsed="false">
      <c r="A124" s="33"/>
      <c r="B124" s="33"/>
      <c r="C124" s="33"/>
      <c r="D124" s="33"/>
      <c r="E124" s="33"/>
      <c r="F124" s="33"/>
      <c r="G124" s="33"/>
      <c r="H124" s="33"/>
      <c r="I124" s="33"/>
      <c r="J124" s="33"/>
      <c r="K124" s="33"/>
      <c r="L124" s="34"/>
      <c r="M124" s="34"/>
      <c r="N124" s="34"/>
      <c r="O124" s="34"/>
      <c r="P124" s="33"/>
      <c r="Q124" s="35"/>
      <c r="R124" s="33"/>
      <c r="S124" s="33"/>
      <c r="T124" s="33"/>
      <c r="U124" s="33"/>
      <c r="V124" s="33"/>
      <c r="W124" s="33"/>
    </row>
    <row r="125" customFormat="false" ht="15" hidden="false" customHeight="false" outlineLevel="0" collapsed="false">
      <c r="A125" s="33"/>
      <c r="B125" s="33"/>
      <c r="C125" s="33"/>
      <c r="D125" s="33"/>
      <c r="E125" s="33"/>
      <c r="F125" s="33"/>
      <c r="G125" s="33"/>
      <c r="H125" s="33"/>
      <c r="I125" s="33"/>
      <c r="J125" s="33"/>
      <c r="K125" s="33"/>
      <c r="L125" s="34"/>
      <c r="M125" s="34"/>
      <c r="N125" s="34"/>
      <c r="O125" s="34"/>
      <c r="P125" s="33"/>
      <c r="Q125" s="35"/>
      <c r="R125" s="33"/>
      <c r="S125" s="33"/>
      <c r="T125" s="33"/>
      <c r="U125" s="33"/>
      <c r="V125" s="33"/>
      <c r="W125" s="33"/>
    </row>
    <row r="126" customFormat="false" ht="15" hidden="false" customHeight="false" outlineLevel="0" collapsed="false">
      <c r="A126" s="33"/>
      <c r="B126" s="33"/>
      <c r="C126" s="33"/>
      <c r="D126" s="33"/>
      <c r="E126" s="33"/>
      <c r="F126" s="33"/>
      <c r="G126" s="33"/>
      <c r="H126" s="33"/>
      <c r="I126" s="33"/>
      <c r="J126" s="33"/>
      <c r="K126" s="33"/>
      <c r="L126" s="34"/>
      <c r="M126" s="34"/>
      <c r="N126" s="34"/>
      <c r="O126" s="34"/>
      <c r="P126" s="33"/>
      <c r="Q126" s="35"/>
      <c r="R126" s="33"/>
      <c r="S126" s="33"/>
      <c r="T126" s="33"/>
      <c r="U126" s="33"/>
      <c r="V126" s="33"/>
      <c r="W126" s="33"/>
    </row>
    <row r="127" customFormat="false" ht="15" hidden="false" customHeight="false" outlineLevel="0" collapsed="false">
      <c r="A127" s="33"/>
      <c r="B127" s="33"/>
      <c r="C127" s="33"/>
      <c r="D127" s="33"/>
      <c r="E127" s="33"/>
      <c r="F127" s="33"/>
      <c r="G127" s="33"/>
      <c r="H127" s="33"/>
      <c r="I127" s="33"/>
      <c r="J127" s="33"/>
      <c r="K127" s="33"/>
      <c r="L127" s="34"/>
      <c r="M127" s="34"/>
      <c r="N127" s="34"/>
      <c r="O127" s="34"/>
      <c r="P127" s="33"/>
      <c r="Q127" s="35"/>
      <c r="R127" s="33"/>
      <c r="S127" s="33"/>
      <c r="T127" s="33"/>
      <c r="U127" s="33"/>
      <c r="V127" s="33"/>
      <c r="W127" s="33"/>
    </row>
    <row r="128" customFormat="false" ht="15" hidden="false" customHeight="false" outlineLevel="0" collapsed="false">
      <c r="A128" s="33"/>
      <c r="B128" s="33"/>
      <c r="C128" s="33"/>
      <c r="D128" s="33"/>
      <c r="E128" s="33"/>
      <c r="F128" s="33"/>
      <c r="G128" s="33"/>
      <c r="H128" s="33"/>
      <c r="I128" s="33"/>
      <c r="J128" s="33"/>
      <c r="K128" s="33"/>
      <c r="L128" s="34"/>
      <c r="M128" s="34"/>
      <c r="N128" s="34"/>
      <c r="O128" s="34"/>
      <c r="P128" s="33"/>
      <c r="Q128" s="35"/>
      <c r="R128" s="33"/>
      <c r="S128" s="33"/>
      <c r="T128" s="33"/>
      <c r="U128" s="33"/>
      <c r="V128" s="33"/>
      <c r="W128" s="33"/>
    </row>
    <row r="129" customFormat="false" ht="15" hidden="false" customHeight="false" outlineLevel="0" collapsed="false">
      <c r="A129" s="33"/>
      <c r="B129" s="33"/>
      <c r="C129" s="33"/>
      <c r="D129" s="33"/>
      <c r="E129" s="33"/>
      <c r="F129" s="33"/>
      <c r="G129" s="33"/>
      <c r="H129" s="33"/>
      <c r="I129" s="33"/>
      <c r="J129" s="33"/>
      <c r="K129" s="33"/>
      <c r="L129" s="34"/>
      <c r="M129" s="34"/>
      <c r="N129" s="34"/>
      <c r="O129" s="34"/>
      <c r="P129" s="33"/>
      <c r="Q129" s="35"/>
      <c r="R129" s="33"/>
      <c r="S129" s="33"/>
      <c r="T129" s="33"/>
      <c r="U129" s="33"/>
      <c r="V129" s="33"/>
      <c r="W129" s="33"/>
    </row>
    <row r="130" customFormat="false" ht="15" hidden="false" customHeight="false" outlineLevel="0" collapsed="false">
      <c r="A130" s="33"/>
      <c r="B130" s="33"/>
      <c r="C130" s="33"/>
      <c r="D130" s="33"/>
      <c r="E130" s="33"/>
      <c r="F130" s="33"/>
      <c r="G130" s="33"/>
      <c r="H130" s="33"/>
      <c r="I130" s="33"/>
      <c r="J130" s="33"/>
      <c r="K130" s="33"/>
      <c r="L130" s="34"/>
      <c r="M130" s="34"/>
      <c r="N130" s="34"/>
      <c r="O130" s="34"/>
      <c r="P130" s="33"/>
      <c r="Q130" s="35"/>
      <c r="R130" s="33"/>
      <c r="S130" s="33"/>
      <c r="T130" s="33"/>
      <c r="U130" s="33"/>
      <c r="V130" s="33"/>
      <c r="W130" s="33"/>
    </row>
    <row r="131" customFormat="false" ht="15" hidden="false" customHeight="false" outlineLevel="0" collapsed="false">
      <c r="A131" s="33"/>
      <c r="B131" s="33"/>
      <c r="C131" s="33"/>
      <c r="D131" s="33"/>
      <c r="E131" s="33"/>
      <c r="F131" s="33"/>
      <c r="G131" s="33"/>
      <c r="H131" s="33"/>
      <c r="I131" s="33"/>
      <c r="J131" s="33"/>
      <c r="K131" s="33"/>
      <c r="L131" s="34"/>
      <c r="M131" s="34"/>
      <c r="N131" s="34"/>
      <c r="O131" s="34"/>
      <c r="P131" s="33"/>
      <c r="Q131" s="35"/>
      <c r="R131" s="33"/>
      <c r="S131" s="33"/>
      <c r="T131" s="33"/>
      <c r="U131" s="33"/>
      <c r="V131" s="33"/>
      <c r="W131" s="33"/>
    </row>
    <row r="132" customFormat="false" ht="15" hidden="false" customHeight="false" outlineLevel="0" collapsed="false">
      <c r="A132" s="33"/>
      <c r="B132" s="33"/>
      <c r="C132" s="33"/>
      <c r="D132" s="33"/>
      <c r="E132" s="33"/>
      <c r="F132" s="33"/>
      <c r="G132" s="33"/>
      <c r="H132" s="33"/>
      <c r="I132" s="33"/>
      <c r="J132" s="33"/>
      <c r="K132" s="33"/>
      <c r="L132" s="34"/>
      <c r="M132" s="34"/>
      <c r="N132" s="34"/>
      <c r="O132" s="34"/>
      <c r="P132" s="33"/>
      <c r="Q132" s="35"/>
      <c r="R132" s="33"/>
      <c r="S132" s="33"/>
      <c r="T132" s="33"/>
      <c r="U132" s="33"/>
      <c r="V132" s="33"/>
      <c r="W132" s="33"/>
    </row>
    <row r="133" customFormat="false" ht="15" hidden="false" customHeight="false" outlineLevel="0" collapsed="false">
      <c r="A133" s="33"/>
      <c r="B133" s="33"/>
      <c r="C133" s="33"/>
      <c r="D133" s="33"/>
      <c r="E133" s="33"/>
      <c r="F133" s="33"/>
      <c r="G133" s="33"/>
      <c r="H133" s="33"/>
      <c r="I133" s="33"/>
      <c r="J133" s="33"/>
      <c r="K133" s="33"/>
      <c r="L133" s="34"/>
      <c r="M133" s="34"/>
      <c r="N133" s="34"/>
      <c r="O133" s="34"/>
      <c r="P133" s="33"/>
      <c r="Q133" s="35"/>
      <c r="R133" s="33"/>
      <c r="S133" s="33"/>
      <c r="T133" s="33"/>
      <c r="U133" s="33"/>
      <c r="V133" s="33"/>
      <c r="W133" s="33"/>
    </row>
    <row r="134" customFormat="false" ht="15" hidden="false" customHeight="false" outlineLevel="0" collapsed="false">
      <c r="A134" s="33"/>
      <c r="B134" s="33"/>
      <c r="C134" s="33"/>
      <c r="D134" s="33"/>
      <c r="E134" s="33"/>
      <c r="F134" s="33"/>
      <c r="G134" s="33"/>
      <c r="H134" s="33"/>
      <c r="I134" s="33"/>
      <c r="J134" s="33"/>
      <c r="K134" s="33"/>
      <c r="L134" s="34"/>
      <c r="M134" s="34"/>
      <c r="N134" s="34"/>
      <c r="O134" s="34"/>
      <c r="P134" s="33"/>
      <c r="Q134" s="35"/>
      <c r="R134" s="33"/>
      <c r="S134" s="33"/>
      <c r="T134" s="33"/>
      <c r="U134" s="33"/>
      <c r="V134" s="33"/>
      <c r="W134" s="33"/>
    </row>
    <row r="135" customFormat="false" ht="15" hidden="false" customHeight="false" outlineLevel="0" collapsed="false">
      <c r="A135" s="33"/>
      <c r="B135" s="33"/>
      <c r="C135" s="33"/>
      <c r="D135" s="33"/>
      <c r="E135" s="33"/>
      <c r="F135" s="33"/>
      <c r="G135" s="33"/>
      <c r="H135" s="33"/>
      <c r="I135" s="33"/>
      <c r="J135" s="33"/>
      <c r="K135" s="33"/>
      <c r="L135" s="34"/>
      <c r="M135" s="34"/>
      <c r="N135" s="34"/>
      <c r="O135" s="34"/>
      <c r="P135" s="33"/>
      <c r="Q135" s="35"/>
      <c r="R135" s="33"/>
      <c r="S135" s="33"/>
      <c r="T135" s="33"/>
      <c r="U135" s="33"/>
      <c r="V135" s="33"/>
      <c r="W135" s="33"/>
    </row>
    <row r="136" customFormat="false" ht="15" hidden="false" customHeight="false" outlineLevel="0" collapsed="false">
      <c r="A136" s="33"/>
      <c r="B136" s="33"/>
      <c r="C136" s="33"/>
      <c r="D136" s="33"/>
      <c r="E136" s="33"/>
      <c r="F136" s="33"/>
      <c r="G136" s="33"/>
      <c r="H136" s="33"/>
      <c r="I136" s="33"/>
      <c r="J136" s="33"/>
      <c r="K136" s="33"/>
      <c r="L136" s="34"/>
      <c r="M136" s="34"/>
      <c r="N136" s="34"/>
      <c r="O136" s="34"/>
      <c r="P136" s="33"/>
      <c r="Q136" s="35"/>
      <c r="R136" s="33"/>
      <c r="S136" s="33"/>
      <c r="T136" s="33"/>
      <c r="U136" s="33"/>
      <c r="V136" s="33"/>
      <c r="W136" s="33"/>
    </row>
    <row r="137" customFormat="false" ht="15" hidden="false" customHeight="false" outlineLevel="0" collapsed="false">
      <c r="A137" s="33"/>
      <c r="B137" s="33"/>
      <c r="C137" s="33"/>
      <c r="D137" s="33"/>
      <c r="E137" s="33"/>
      <c r="F137" s="33"/>
      <c r="G137" s="33"/>
      <c r="H137" s="33"/>
      <c r="I137" s="33"/>
      <c r="J137" s="33"/>
      <c r="K137" s="33"/>
      <c r="L137" s="34"/>
      <c r="M137" s="34"/>
      <c r="N137" s="34"/>
      <c r="O137" s="34"/>
      <c r="P137" s="33"/>
      <c r="Q137" s="35"/>
      <c r="R137" s="33"/>
      <c r="S137" s="33"/>
      <c r="T137" s="33"/>
      <c r="U137" s="33"/>
      <c r="V137" s="33"/>
      <c r="W137" s="33"/>
    </row>
    <row r="138" customFormat="false" ht="15" hidden="false" customHeight="false" outlineLevel="0" collapsed="false">
      <c r="A138" s="33"/>
      <c r="B138" s="33"/>
      <c r="C138" s="33"/>
      <c r="D138" s="33"/>
      <c r="E138" s="33"/>
      <c r="F138" s="33"/>
      <c r="G138" s="33"/>
      <c r="H138" s="33"/>
      <c r="I138" s="33"/>
      <c r="J138" s="33"/>
      <c r="K138" s="33"/>
      <c r="L138" s="34"/>
      <c r="M138" s="34"/>
      <c r="N138" s="34"/>
      <c r="O138" s="34"/>
      <c r="P138" s="33"/>
      <c r="Q138" s="35"/>
      <c r="R138" s="33"/>
      <c r="S138" s="33"/>
      <c r="T138" s="33"/>
      <c r="U138" s="33"/>
      <c r="V138" s="33"/>
      <c r="W138" s="33"/>
    </row>
    <row r="139" customFormat="false" ht="15" hidden="false" customHeight="false" outlineLevel="0" collapsed="false">
      <c r="A139" s="33"/>
      <c r="B139" s="33"/>
      <c r="C139" s="33"/>
      <c r="D139" s="33"/>
      <c r="E139" s="33"/>
      <c r="F139" s="33"/>
      <c r="G139" s="33"/>
      <c r="H139" s="33"/>
      <c r="I139" s="33"/>
      <c r="J139" s="33"/>
      <c r="K139" s="33"/>
      <c r="L139" s="34"/>
      <c r="M139" s="34"/>
      <c r="N139" s="34"/>
      <c r="O139" s="34"/>
      <c r="P139" s="33"/>
      <c r="Q139" s="35"/>
      <c r="R139" s="33"/>
      <c r="S139" s="33"/>
      <c r="T139" s="33"/>
      <c r="U139" s="33"/>
      <c r="V139" s="33"/>
      <c r="W139" s="33"/>
    </row>
    <row r="140" customFormat="false" ht="15" hidden="false" customHeight="false" outlineLevel="0" collapsed="false">
      <c r="A140" s="33"/>
      <c r="B140" s="33"/>
      <c r="C140" s="33"/>
      <c r="D140" s="33"/>
      <c r="E140" s="33"/>
      <c r="F140" s="33"/>
      <c r="G140" s="33"/>
      <c r="H140" s="33"/>
      <c r="I140" s="33"/>
      <c r="J140" s="33"/>
      <c r="K140" s="33"/>
      <c r="L140" s="34"/>
      <c r="M140" s="34"/>
      <c r="N140" s="34"/>
      <c r="O140" s="34"/>
      <c r="P140" s="33"/>
      <c r="Q140" s="35"/>
      <c r="R140" s="33"/>
      <c r="S140" s="33"/>
      <c r="T140" s="33"/>
      <c r="U140" s="33"/>
      <c r="V140" s="33"/>
      <c r="W140" s="33"/>
    </row>
    <row r="141" customFormat="false" ht="15" hidden="false" customHeight="false" outlineLevel="0" collapsed="false">
      <c r="A141" s="33"/>
      <c r="B141" s="33"/>
      <c r="C141" s="33"/>
      <c r="D141" s="33"/>
      <c r="E141" s="33"/>
      <c r="F141" s="33"/>
      <c r="G141" s="33"/>
      <c r="H141" s="33"/>
      <c r="I141" s="33"/>
      <c r="J141" s="33"/>
      <c r="K141" s="33"/>
      <c r="L141" s="34"/>
      <c r="M141" s="34"/>
      <c r="N141" s="34"/>
      <c r="O141" s="34"/>
      <c r="P141" s="33"/>
      <c r="Q141" s="35"/>
      <c r="R141" s="33"/>
      <c r="S141" s="33"/>
      <c r="T141" s="33"/>
      <c r="U141" s="33"/>
      <c r="V141" s="33"/>
      <c r="W141" s="33"/>
    </row>
    <row r="142" customFormat="false" ht="15" hidden="false" customHeight="false" outlineLevel="0" collapsed="false">
      <c r="A142" s="33"/>
      <c r="B142" s="33"/>
      <c r="C142" s="33"/>
      <c r="D142" s="33"/>
      <c r="E142" s="33"/>
      <c r="F142" s="33"/>
      <c r="G142" s="33"/>
      <c r="H142" s="33"/>
      <c r="I142" s="33"/>
      <c r="J142" s="33"/>
      <c r="K142" s="33"/>
      <c r="L142" s="34"/>
      <c r="M142" s="34"/>
      <c r="N142" s="34"/>
      <c r="O142" s="34"/>
      <c r="P142" s="33"/>
      <c r="Q142" s="35"/>
      <c r="R142" s="33"/>
      <c r="S142" s="33"/>
      <c r="T142" s="33"/>
      <c r="U142" s="33"/>
      <c r="V142" s="33"/>
      <c r="W142" s="33"/>
    </row>
    <row r="143" customFormat="false" ht="15" hidden="false" customHeight="false" outlineLevel="0" collapsed="false">
      <c r="A143" s="33"/>
      <c r="B143" s="33"/>
      <c r="C143" s="33"/>
      <c r="D143" s="33"/>
      <c r="E143" s="33"/>
      <c r="F143" s="33"/>
      <c r="G143" s="33"/>
      <c r="H143" s="33"/>
      <c r="I143" s="33"/>
      <c r="J143" s="33"/>
      <c r="K143" s="33"/>
      <c r="L143" s="34"/>
      <c r="M143" s="34"/>
      <c r="N143" s="34"/>
      <c r="O143" s="34"/>
      <c r="P143" s="33"/>
      <c r="Q143" s="35"/>
      <c r="R143" s="33"/>
      <c r="S143" s="33"/>
      <c r="T143" s="33"/>
      <c r="U143" s="33"/>
      <c r="V143" s="33"/>
      <c r="W143" s="33"/>
    </row>
    <row r="144" customFormat="false" ht="15" hidden="false" customHeight="false" outlineLevel="0" collapsed="false">
      <c r="A144" s="33"/>
      <c r="B144" s="33"/>
      <c r="C144" s="33"/>
      <c r="D144" s="33"/>
      <c r="E144" s="33"/>
      <c r="F144" s="33"/>
      <c r="G144" s="33"/>
      <c r="H144" s="33"/>
      <c r="I144" s="33"/>
      <c r="J144" s="33"/>
      <c r="K144" s="33"/>
      <c r="L144" s="34"/>
      <c r="M144" s="34"/>
      <c r="N144" s="34"/>
      <c r="O144" s="34"/>
      <c r="P144" s="33"/>
      <c r="Q144" s="35"/>
      <c r="R144" s="33"/>
      <c r="S144" s="33"/>
      <c r="T144" s="33"/>
      <c r="U144" s="33"/>
      <c r="V144" s="33"/>
      <c r="W144" s="33"/>
    </row>
    <row r="145" customFormat="false" ht="15" hidden="false" customHeight="false" outlineLevel="0" collapsed="false">
      <c r="A145" s="33"/>
      <c r="B145" s="33"/>
      <c r="C145" s="33"/>
      <c r="D145" s="33"/>
      <c r="E145" s="33"/>
      <c r="F145" s="33"/>
      <c r="G145" s="33"/>
      <c r="H145" s="33"/>
      <c r="I145" s="33"/>
      <c r="J145" s="33"/>
      <c r="K145" s="33"/>
      <c r="L145" s="34"/>
      <c r="M145" s="34"/>
      <c r="N145" s="34"/>
      <c r="O145" s="34"/>
      <c r="P145" s="33"/>
      <c r="Q145" s="35"/>
      <c r="R145" s="33"/>
      <c r="S145" s="33"/>
      <c r="T145" s="33"/>
      <c r="U145" s="33"/>
      <c r="V145" s="33"/>
      <c r="W145" s="33"/>
    </row>
    <row r="146" customFormat="false" ht="15" hidden="false" customHeight="false" outlineLevel="0" collapsed="false">
      <c r="A146" s="33"/>
      <c r="B146" s="33"/>
      <c r="C146" s="33"/>
      <c r="D146" s="33"/>
      <c r="E146" s="33"/>
      <c r="F146" s="33"/>
      <c r="G146" s="33"/>
      <c r="H146" s="33"/>
      <c r="I146" s="33"/>
      <c r="J146" s="33"/>
      <c r="K146" s="33"/>
      <c r="L146" s="34"/>
      <c r="M146" s="34"/>
      <c r="N146" s="34"/>
      <c r="O146" s="34"/>
      <c r="P146" s="33"/>
      <c r="Q146" s="35"/>
      <c r="R146" s="33"/>
      <c r="S146" s="33"/>
      <c r="T146" s="33"/>
      <c r="U146" s="33"/>
      <c r="V146" s="33"/>
      <c r="W146" s="33"/>
    </row>
    <row r="147" customFormat="false" ht="15" hidden="false" customHeight="false" outlineLevel="0" collapsed="false">
      <c r="A147" s="33"/>
      <c r="B147" s="33"/>
      <c r="C147" s="33"/>
      <c r="D147" s="33"/>
      <c r="E147" s="33"/>
      <c r="F147" s="33"/>
      <c r="G147" s="33"/>
      <c r="H147" s="33"/>
      <c r="I147" s="33"/>
      <c r="J147" s="33"/>
      <c r="K147" s="33"/>
      <c r="L147" s="34"/>
      <c r="M147" s="34"/>
      <c r="N147" s="34"/>
      <c r="O147" s="34"/>
      <c r="P147" s="33"/>
      <c r="Q147" s="35"/>
      <c r="R147" s="33"/>
      <c r="S147" s="33"/>
      <c r="T147" s="33"/>
      <c r="U147" s="33"/>
      <c r="V147" s="33"/>
      <c r="W147" s="33"/>
    </row>
    <row r="148" customFormat="false" ht="15" hidden="false" customHeight="false" outlineLevel="0" collapsed="false">
      <c r="A148" s="33"/>
      <c r="B148" s="33"/>
      <c r="C148" s="33"/>
      <c r="D148" s="33"/>
      <c r="E148" s="33"/>
      <c r="F148" s="33"/>
      <c r="G148" s="33"/>
      <c r="H148" s="33"/>
      <c r="I148" s="33"/>
      <c r="J148" s="33"/>
      <c r="K148" s="33"/>
      <c r="L148" s="34"/>
      <c r="M148" s="34"/>
      <c r="N148" s="34"/>
      <c r="O148" s="34"/>
      <c r="P148" s="33"/>
      <c r="Q148" s="35"/>
      <c r="R148" s="33"/>
      <c r="S148" s="33"/>
      <c r="T148" s="33"/>
      <c r="U148" s="33"/>
      <c r="V148" s="33"/>
      <c r="W148" s="33"/>
    </row>
    <row r="149" customFormat="false" ht="15" hidden="false" customHeight="false" outlineLevel="0" collapsed="false">
      <c r="A149" s="33"/>
      <c r="B149" s="33"/>
      <c r="C149" s="33"/>
      <c r="D149" s="33"/>
      <c r="E149" s="33"/>
      <c r="F149" s="33"/>
      <c r="G149" s="33"/>
      <c r="H149" s="33"/>
      <c r="I149" s="33"/>
      <c r="J149" s="33"/>
      <c r="K149" s="33"/>
      <c r="L149" s="34"/>
      <c r="M149" s="34"/>
      <c r="N149" s="34"/>
      <c r="O149" s="34"/>
      <c r="P149" s="33"/>
      <c r="Q149" s="35"/>
      <c r="R149" s="33"/>
      <c r="S149" s="33"/>
      <c r="T149" s="33"/>
      <c r="U149" s="33"/>
      <c r="V149" s="33"/>
      <c r="W149" s="33"/>
    </row>
    <row r="150" customFormat="false" ht="15" hidden="false" customHeight="false" outlineLevel="0" collapsed="false">
      <c r="A150" s="33"/>
      <c r="B150" s="33"/>
      <c r="C150" s="33"/>
      <c r="D150" s="33"/>
      <c r="E150" s="33"/>
      <c r="F150" s="33"/>
      <c r="G150" s="33"/>
      <c r="H150" s="33"/>
      <c r="I150" s="33"/>
      <c r="J150" s="33"/>
      <c r="K150" s="33"/>
      <c r="L150" s="34"/>
      <c r="M150" s="34"/>
      <c r="N150" s="34"/>
      <c r="O150" s="34"/>
      <c r="P150" s="33"/>
      <c r="Q150" s="35"/>
      <c r="R150" s="33"/>
      <c r="S150" s="33"/>
      <c r="T150" s="33"/>
      <c r="U150" s="33"/>
      <c r="V150" s="33"/>
      <c r="W150" s="33"/>
    </row>
    <row r="151" customFormat="false" ht="15" hidden="false" customHeight="false" outlineLevel="0" collapsed="false">
      <c r="A151" s="33"/>
      <c r="B151" s="33"/>
      <c r="C151" s="33"/>
      <c r="D151" s="33"/>
      <c r="E151" s="33"/>
      <c r="F151" s="33"/>
      <c r="G151" s="33"/>
      <c r="H151" s="33"/>
      <c r="I151" s="33"/>
      <c r="J151" s="33"/>
      <c r="K151" s="33"/>
      <c r="L151" s="34"/>
      <c r="M151" s="34"/>
      <c r="N151" s="34"/>
      <c r="O151" s="34"/>
      <c r="P151" s="33"/>
      <c r="Q151" s="35"/>
      <c r="R151" s="33"/>
      <c r="S151" s="33"/>
      <c r="T151" s="33"/>
      <c r="U151" s="33"/>
      <c r="V151" s="33"/>
      <c r="W151" s="33"/>
    </row>
    <row r="152" customFormat="false" ht="15" hidden="false" customHeight="false" outlineLevel="0" collapsed="false">
      <c r="A152" s="33"/>
      <c r="B152" s="33"/>
      <c r="C152" s="33"/>
      <c r="D152" s="33"/>
      <c r="E152" s="33"/>
      <c r="F152" s="33"/>
      <c r="G152" s="33"/>
      <c r="H152" s="33"/>
      <c r="I152" s="33"/>
      <c r="J152" s="33"/>
      <c r="K152" s="33"/>
      <c r="L152" s="34"/>
      <c r="M152" s="34"/>
      <c r="N152" s="34"/>
      <c r="O152" s="34"/>
      <c r="P152" s="33"/>
      <c r="Q152" s="35"/>
      <c r="R152" s="33"/>
      <c r="S152" s="33"/>
      <c r="T152" s="33"/>
      <c r="U152" s="33"/>
      <c r="V152" s="33"/>
      <c r="W152" s="33"/>
    </row>
    <row r="153" customFormat="false" ht="15" hidden="false" customHeight="false" outlineLevel="0" collapsed="false">
      <c r="A153" s="33"/>
      <c r="B153" s="33"/>
      <c r="C153" s="33"/>
      <c r="D153" s="33"/>
      <c r="E153" s="33"/>
      <c r="F153" s="33"/>
      <c r="G153" s="33"/>
      <c r="H153" s="33"/>
      <c r="I153" s="33"/>
      <c r="J153" s="33"/>
      <c r="K153" s="33"/>
      <c r="L153" s="34"/>
      <c r="M153" s="34"/>
      <c r="N153" s="34"/>
      <c r="O153" s="34"/>
      <c r="P153" s="33"/>
      <c r="Q153" s="35"/>
      <c r="R153" s="33"/>
      <c r="S153" s="33"/>
      <c r="T153" s="33"/>
      <c r="U153" s="33"/>
      <c r="V153" s="33"/>
      <c r="W153" s="33"/>
    </row>
    <row r="154" customFormat="false" ht="15" hidden="false" customHeight="false" outlineLevel="0" collapsed="false">
      <c r="A154" s="33"/>
      <c r="B154" s="33"/>
      <c r="C154" s="33"/>
      <c r="D154" s="33"/>
      <c r="E154" s="33"/>
      <c r="F154" s="33"/>
      <c r="G154" s="33"/>
      <c r="H154" s="33"/>
      <c r="I154" s="33"/>
      <c r="J154" s="33"/>
      <c r="K154" s="33"/>
      <c r="L154" s="34"/>
      <c r="M154" s="34"/>
      <c r="N154" s="34"/>
      <c r="O154" s="34"/>
      <c r="P154" s="33"/>
      <c r="Q154" s="35"/>
      <c r="R154" s="33"/>
      <c r="S154" s="33"/>
      <c r="T154" s="33"/>
      <c r="U154" s="33"/>
      <c r="V154" s="33"/>
      <c r="W154" s="33"/>
    </row>
    <row r="155" customFormat="false" ht="15" hidden="false" customHeight="false" outlineLevel="0" collapsed="false">
      <c r="A155" s="33"/>
      <c r="B155" s="33"/>
      <c r="C155" s="33"/>
      <c r="D155" s="33"/>
      <c r="E155" s="33"/>
      <c r="F155" s="33"/>
      <c r="G155" s="33"/>
      <c r="H155" s="33"/>
      <c r="I155" s="33"/>
      <c r="J155" s="33"/>
      <c r="K155" s="33"/>
      <c r="L155" s="34"/>
      <c r="M155" s="34"/>
      <c r="N155" s="34"/>
      <c r="O155" s="34"/>
      <c r="P155" s="33"/>
      <c r="Q155" s="35"/>
      <c r="R155" s="33"/>
      <c r="S155" s="33"/>
      <c r="T155" s="33"/>
      <c r="U155" s="33"/>
      <c r="V155" s="33"/>
      <c r="W155" s="33"/>
    </row>
    <row r="156" customFormat="false" ht="15" hidden="false" customHeight="false" outlineLevel="0" collapsed="false">
      <c r="A156" s="33"/>
      <c r="B156" s="33"/>
      <c r="C156" s="33"/>
      <c r="D156" s="33"/>
      <c r="E156" s="33"/>
      <c r="F156" s="33"/>
      <c r="G156" s="33"/>
      <c r="H156" s="33"/>
      <c r="I156" s="33"/>
      <c r="J156" s="33"/>
      <c r="K156" s="33"/>
      <c r="L156" s="34"/>
      <c r="M156" s="34"/>
      <c r="N156" s="34"/>
      <c r="O156" s="34"/>
      <c r="P156" s="33"/>
      <c r="Q156" s="35"/>
      <c r="R156" s="33"/>
      <c r="S156" s="33"/>
      <c r="T156" s="33"/>
      <c r="U156" s="33"/>
      <c r="V156" s="33"/>
      <c r="W156" s="33"/>
    </row>
    <row r="157" customFormat="false" ht="15" hidden="false" customHeight="false" outlineLevel="0" collapsed="false">
      <c r="A157" s="33"/>
      <c r="B157" s="33"/>
      <c r="C157" s="33"/>
      <c r="D157" s="33"/>
      <c r="E157" s="33"/>
      <c r="F157" s="33"/>
      <c r="G157" s="33"/>
      <c r="H157" s="33"/>
      <c r="I157" s="33"/>
      <c r="J157" s="33"/>
      <c r="K157" s="33"/>
      <c r="L157" s="34"/>
      <c r="M157" s="34"/>
      <c r="N157" s="34"/>
      <c r="O157" s="34"/>
      <c r="P157" s="33"/>
      <c r="Q157" s="35"/>
      <c r="R157" s="33"/>
      <c r="S157" s="33"/>
      <c r="T157" s="33"/>
      <c r="U157" s="33"/>
      <c r="V157" s="33"/>
      <c r="W157" s="33"/>
    </row>
    <row r="158" customFormat="false" ht="15" hidden="false" customHeight="false" outlineLevel="0" collapsed="false">
      <c r="A158" s="33"/>
      <c r="B158" s="33"/>
      <c r="C158" s="33"/>
      <c r="D158" s="33"/>
      <c r="E158" s="33"/>
      <c r="F158" s="33"/>
      <c r="G158" s="33"/>
      <c r="H158" s="33"/>
      <c r="I158" s="33"/>
      <c r="J158" s="33"/>
      <c r="K158" s="33"/>
      <c r="L158" s="34"/>
      <c r="M158" s="34"/>
      <c r="N158" s="34"/>
      <c r="O158" s="34"/>
      <c r="P158" s="33"/>
      <c r="Q158" s="35"/>
      <c r="R158" s="33"/>
      <c r="S158" s="33"/>
      <c r="T158" s="33"/>
      <c r="U158" s="33"/>
      <c r="V158" s="33"/>
      <c r="W158" s="33"/>
    </row>
    <row r="159" customFormat="false" ht="15" hidden="false" customHeight="false" outlineLevel="0" collapsed="false">
      <c r="A159" s="33"/>
      <c r="B159" s="33"/>
      <c r="C159" s="33"/>
      <c r="D159" s="33"/>
      <c r="E159" s="33"/>
      <c r="F159" s="33"/>
      <c r="G159" s="33"/>
      <c r="H159" s="33"/>
      <c r="I159" s="33"/>
      <c r="J159" s="33"/>
      <c r="K159" s="33"/>
      <c r="L159" s="34"/>
      <c r="M159" s="34"/>
      <c r="N159" s="34"/>
      <c r="O159" s="34"/>
      <c r="P159" s="33"/>
      <c r="Q159" s="35"/>
      <c r="R159" s="33"/>
      <c r="S159" s="33"/>
      <c r="T159" s="33"/>
      <c r="U159" s="33"/>
      <c r="V159" s="33"/>
      <c r="W159" s="33"/>
    </row>
    <row r="160" customFormat="false" ht="15" hidden="false" customHeight="false" outlineLevel="0" collapsed="false">
      <c r="A160" s="33"/>
      <c r="B160" s="33"/>
      <c r="C160" s="33"/>
      <c r="D160" s="33"/>
      <c r="E160" s="33"/>
      <c r="F160" s="33"/>
      <c r="G160" s="33"/>
      <c r="H160" s="33"/>
      <c r="I160" s="33"/>
      <c r="J160" s="33"/>
      <c r="K160" s="33"/>
      <c r="L160" s="34"/>
      <c r="M160" s="34"/>
      <c r="N160" s="34"/>
      <c r="O160" s="34"/>
      <c r="P160" s="33"/>
      <c r="Q160" s="35"/>
      <c r="R160" s="33"/>
      <c r="S160" s="33"/>
      <c r="T160" s="33"/>
      <c r="U160" s="33"/>
      <c r="V160" s="33"/>
      <c r="W160" s="33"/>
    </row>
    <row r="161" customFormat="false" ht="15" hidden="false" customHeight="false" outlineLevel="0" collapsed="false">
      <c r="A161" s="33"/>
      <c r="B161" s="33"/>
      <c r="C161" s="33"/>
      <c r="D161" s="33"/>
      <c r="E161" s="33"/>
      <c r="F161" s="33"/>
      <c r="G161" s="33"/>
      <c r="H161" s="33"/>
      <c r="I161" s="33"/>
      <c r="J161" s="33"/>
      <c r="K161" s="33"/>
      <c r="L161" s="34"/>
      <c r="M161" s="34"/>
      <c r="N161" s="34"/>
      <c r="O161" s="34"/>
      <c r="P161" s="33"/>
      <c r="Q161" s="35"/>
      <c r="R161" s="33"/>
      <c r="S161" s="33"/>
      <c r="T161" s="33"/>
      <c r="U161" s="33"/>
      <c r="V161" s="33"/>
      <c r="W161" s="33"/>
    </row>
    <row r="162" customFormat="false" ht="15" hidden="false" customHeight="false" outlineLevel="0" collapsed="false">
      <c r="A162" s="33"/>
      <c r="B162" s="33"/>
      <c r="C162" s="33"/>
      <c r="D162" s="33"/>
      <c r="E162" s="33"/>
      <c r="F162" s="33"/>
      <c r="G162" s="33"/>
      <c r="H162" s="33"/>
      <c r="I162" s="33"/>
      <c r="J162" s="33"/>
      <c r="K162" s="33"/>
      <c r="L162" s="34"/>
      <c r="M162" s="34"/>
      <c r="N162" s="34"/>
      <c r="O162" s="34"/>
      <c r="P162" s="33"/>
      <c r="Q162" s="35"/>
      <c r="R162" s="33"/>
      <c r="S162" s="33"/>
      <c r="T162" s="33"/>
      <c r="U162" s="33"/>
      <c r="V162" s="33"/>
      <c r="W162" s="33"/>
    </row>
    <row r="163" customFormat="false" ht="15" hidden="false" customHeight="false" outlineLevel="0" collapsed="false">
      <c r="A163" s="33"/>
      <c r="B163" s="33"/>
      <c r="C163" s="33"/>
      <c r="D163" s="33"/>
      <c r="E163" s="33"/>
      <c r="F163" s="33"/>
      <c r="G163" s="33"/>
      <c r="H163" s="33"/>
      <c r="I163" s="33"/>
      <c r="J163" s="33"/>
      <c r="K163" s="33"/>
      <c r="L163" s="34"/>
      <c r="M163" s="34"/>
      <c r="N163" s="34"/>
      <c r="O163" s="34"/>
      <c r="P163" s="33"/>
      <c r="Q163" s="35"/>
      <c r="R163" s="33"/>
      <c r="S163" s="33"/>
      <c r="T163" s="33"/>
      <c r="U163" s="33"/>
      <c r="V163" s="33"/>
      <c r="W163" s="33"/>
    </row>
    <row r="164" customFormat="false" ht="15" hidden="false" customHeight="false" outlineLevel="0" collapsed="false">
      <c r="A164" s="33"/>
      <c r="B164" s="33"/>
      <c r="C164" s="33"/>
      <c r="D164" s="33"/>
      <c r="E164" s="33"/>
      <c r="F164" s="33"/>
      <c r="G164" s="33"/>
      <c r="H164" s="33"/>
      <c r="I164" s="33"/>
      <c r="J164" s="33"/>
      <c r="K164" s="33"/>
      <c r="L164" s="34"/>
      <c r="M164" s="34"/>
      <c r="N164" s="34"/>
      <c r="O164" s="34"/>
      <c r="P164" s="33"/>
      <c r="Q164" s="35"/>
      <c r="R164" s="33"/>
      <c r="S164" s="33"/>
      <c r="T164" s="33"/>
      <c r="U164" s="33"/>
      <c r="V164" s="33"/>
      <c r="W164" s="33"/>
    </row>
    <row r="165" customFormat="false" ht="15" hidden="false" customHeight="false" outlineLevel="0" collapsed="false">
      <c r="A165" s="33"/>
      <c r="B165" s="33"/>
      <c r="C165" s="33"/>
      <c r="D165" s="33"/>
      <c r="E165" s="33"/>
      <c r="F165" s="33"/>
      <c r="G165" s="33"/>
      <c r="H165" s="33"/>
      <c r="I165" s="33"/>
      <c r="J165" s="33"/>
      <c r="K165" s="33"/>
      <c r="L165" s="34"/>
      <c r="M165" s="34"/>
      <c r="N165" s="34"/>
      <c r="O165" s="34"/>
      <c r="P165" s="33"/>
      <c r="Q165" s="35"/>
      <c r="R165" s="33"/>
      <c r="S165" s="33"/>
      <c r="T165" s="33"/>
      <c r="U165" s="33"/>
      <c r="V165" s="33"/>
      <c r="W165" s="33"/>
    </row>
    <row r="166" customFormat="false" ht="15" hidden="false" customHeight="false" outlineLevel="0" collapsed="false">
      <c r="A166" s="33"/>
      <c r="B166" s="33"/>
      <c r="C166" s="33"/>
      <c r="D166" s="33"/>
      <c r="E166" s="33"/>
      <c r="F166" s="33"/>
      <c r="G166" s="33"/>
      <c r="H166" s="33"/>
      <c r="I166" s="33"/>
      <c r="J166" s="33"/>
      <c r="K166" s="33"/>
      <c r="L166" s="34"/>
      <c r="M166" s="34"/>
      <c r="N166" s="34"/>
      <c r="O166" s="34"/>
      <c r="P166" s="33"/>
      <c r="Q166" s="35"/>
      <c r="R166" s="33"/>
      <c r="S166" s="33"/>
      <c r="T166" s="33"/>
      <c r="U166" s="33"/>
      <c r="V166" s="33"/>
      <c r="W166" s="33"/>
    </row>
    <row r="167" customFormat="false" ht="15" hidden="false" customHeight="false" outlineLevel="0" collapsed="false">
      <c r="A167" s="33"/>
      <c r="B167" s="33"/>
      <c r="C167" s="33"/>
      <c r="D167" s="33"/>
      <c r="E167" s="33"/>
      <c r="F167" s="33"/>
      <c r="G167" s="33"/>
      <c r="H167" s="33"/>
      <c r="I167" s="33"/>
      <c r="J167" s="33"/>
      <c r="K167" s="33"/>
      <c r="L167" s="34"/>
      <c r="M167" s="34"/>
      <c r="N167" s="34"/>
      <c r="O167" s="34"/>
      <c r="P167" s="33"/>
      <c r="Q167" s="35"/>
      <c r="R167" s="33"/>
      <c r="S167" s="33"/>
      <c r="T167" s="33"/>
      <c r="U167" s="33"/>
      <c r="V167" s="33"/>
      <c r="W167" s="33"/>
    </row>
    <row r="168" customFormat="false" ht="15" hidden="false" customHeight="false" outlineLevel="0" collapsed="false">
      <c r="A168" s="33"/>
      <c r="B168" s="33"/>
      <c r="C168" s="33"/>
      <c r="D168" s="33"/>
      <c r="E168" s="33"/>
      <c r="F168" s="33"/>
      <c r="G168" s="33"/>
      <c r="H168" s="33"/>
      <c r="I168" s="33"/>
      <c r="J168" s="33"/>
      <c r="K168" s="33"/>
      <c r="L168" s="34"/>
      <c r="M168" s="34"/>
      <c r="N168" s="34"/>
      <c r="O168" s="34"/>
      <c r="P168" s="33"/>
      <c r="Q168" s="35"/>
      <c r="R168" s="33"/>
      <c r="S168" s="33"/>
      <c r="T168" s="33"/>
      <c r="U168" s="33"/>
      <c r="V168" s="33"/>
      <c r="W168" s="33"/>
    </row>
    <row r="169" customFormat="false" ht="15" hidden="false" customHeight="false" outlineLevel="0" collapsed="false">
      <c r="A169" s="33"/>
      <c r="B169" s="33"/>
      <c r="C169" s="33"/>
      <c r="D169" s="33"/>
      <c r="E169" s="33"/>
      <c r="F169" s="33"/>
      <c r="G169" s="33"/>
      <c r="H169" s="33"/>
      <c r="I169" s="33"/>
      <c r="J169" s="33"/>
      <c r="K169" s="33"/>
      <c r="L169" s="34"/>
      <c r="M169" s="34"/>
      <c r="N169" s="34"/>
      <c r="O169" s="34"/>
      <c r="P169" s="33"/>
      <c r="Q169" s="35"/>
      <c r="R169" s="33"/>
      <c r="S169" s="33"/>
      <c r="T169" s="33"/>
      <c r="U169" s="33"/>
      <c r="V169" s="33"/>
      <c r="W169" s="33"/>
    </row>
    <row r="170" customFormat="false" ht="15" hidden="false" customHeight="false" outlineLevel="0" collapsed="false">
      <c r="A170" s="33"/>
      <c r="B170" s="33"/>
      <c r="C170" s="33"/>
      <c r="D170" s="33"/>
      <c r="E170" s="33"/>
      <c r="F170" s="33"/>
      <c r="G170" s="33"/>
      <c r="H170" s="33"/>
      <c r="I170" s="33"/>
      <c r="J170" s="33"/>
      <c r="K170" s="33"/>
      <c r="L170" s="34"/>
      <c r="M170" s="34"/>
      <c r="N170" s="34"/>
      <c r="O170" s="34"/>
      <c r="P170" s="33"/>
      <c r="Q170" s="35"/>
      <c r="R170" s="33"/>
      <c r="S170" s="33"/>
      <c r="T170" s="33"/>
      <c r="U170" s="33"/>
      <c r="V170" s="33"/>
      <c r="W170" s="33"/>
    </row>
    <row r="171" customFormat="false" ht="15" hidden="false" customHeight="false" outlineLevel="0" collapsed="false">
      <c r="A171" s="33"/>
      <c r="B171" s="33"/>
      <c r="C171" s="33"/>
      <c r="D171" s="33"/>
      <c r="E171" s="33"/>
      <c r="F171" s="33"/>
      <c r="G171" s="33"/>
      <c r="H171" s="33"/>
      <c r="I171" s="33"/>
      <c r="J171" s="33"/>
      <c r="K171" s="33"/>
      <c r="L171" s="34"/>
      <c r="M171" s="34"/>
      <c r="N171" s="34"/>
      <c r="O171" s="34"/>
      <c r="P171" s="33"/>
      <c r="Q171" s="35"/>
      <c r="R171" s="33"/>
      <c r="S171" s="33"/>
      <c r="T171" s="33"/>
      <c r="U171" s="33"/>
      <c r="V171" s="33"/>
      <c r="W171" s="33"/>
    </row>
    <row r="172" customFormat="false" ht="15" hidden="false" customHeight="false" outlineLevel="0" collapsed="false">
      <c r="A172" s="33"/>
      <c r="B172" s="33"/>
      <c r="C172" s="33"/>
      <c r="D172" s="33"/>
      <c r="E172" s="33"/>
      <c r="F172" s="33"/>
      <c r="G172" s="33"/>
      <c r="H172" s="33"/>
      <c r="I172" s="33"/>
      <c r="J172" s="33"/>
      <c r="K172" s="33"/>
      <c r="L172" s="34"/>
      <c r="M172" s="34"/>
      <c r="N172" s="34"/>
      <c r="O172" s="34"/>
      <c r="P172" s="33"/>
      <c r="Q172" s="35"/>
      <c r="R172" s="33"/>
      <c r="S172" s="33"/>
      <c r="T172" s="33"/>
      <c r="U172" s="33"/>
      <c r="V172" s="33"/>
      <c r="W172" s="33"/>
    </row>
    <row r="173" customFormat="false" ht="15" hidden="false" customHeight="false" outlineLevel="0" collapsed="false">
      <c r="A173" s="33"/>
      <c r="B173" s="33"/>
      <c r="C173" s="33"/>
      <c r="D173" s="33"/>
      <c r="E173" s="33"/>
      <c r="F173" s="33"/>
      <c r="G173" s="33"/>
      <c r="H173" s="33"/>
      <c r="I173" s="33"/>
      <c r="J173" s="33"/>
      <c r="K173" s="33"/>
      <c r="L173" s="34"/>
      <c r="M173" s="34"/>
      <c r="N173" s="34"/>
      <c r="O173" s="34"/>
      <c r="P173" s="33"/>
      <c r="Q173" s="35"/>
      <c r="R173" s="33"/>
      <c r="S173" s="33"/>
      <c r="T173" s="33"/>
      <c r="U173" s="33"/>
      <c r="V173" s="33"/>
      <c r="W173" s="33"/>
    </row>
    <row r="174" customFormat="false" ht="15" hidden="false" customHeight="false" outlineLevel="0" collapsed="false">
      <c r="A174" s="33"/>
      <c r="B174" s="33"/>
      <c r="C174" s="33"/>
      <c r="D174" s="33"/>
      <c r="E174" s="33"/>
      <c r="F174" s="33"/>
      <c r="G174" s="33"/>
      <c r="H174" s="33"/>
      <c r="I174" s="33"/>
      <c r="J174" s="33"/>
      <c r="K174" s="33"/>
      <c r="L174" s="34"/>
      <c r="M174" s="34"/>
      <c r="N174" s="34"/>
      <c r="O174" s="34"/>
      <c r="P174" s="33"/>
      <c r="Q174" s="35"/>
      <c r="R174" s="33"/>
      <c r="S174" s="33"/>
      <c r="T174" s="33"/>
      <c r="U174" s="33"/>
      <c r="V174" s="33"/>
      <c r="W174" s="33"/>
    </row>
    <row r="175" customFormat="false" ht="15" hidden="false" customHeight="false" outlineLevel="0" collapsed="false">
      <c r="A175" s="33"/>
      <c r="B175" s="33"/>
      <c r="C175" s="33"/>
      <c r="D175" s="33"/>
      <c r="E175" s="33"/>
      <c r="F175" s="33"/>
      <c r="G175" s="33"/>
      <c r="H175" s="33"/>
      <c r="I175" s="33"/>
      <c r="J175" s="33"/>
      <c r="K175" s="33"/>
      <c r="L175" s="34"/>
      <c r="M175" s="34"/>
      <c r="N175" s="34"/>
      <c r="O175" s="34"/>
      <c r="P175" s="33"/>
      <c r="Q175" s="35"/>
      <c r="R175" s="33"/>
      <c r="S175" s="33"/>
      <c r="T175" s="33"/>
      <c r="U175" s="33"/>
      <c r="V175" s="33"/>
      <c r="W175" s="33"/>
    </row>
    <row r="176" customFormat="false" ht="15" hidden="false" customHeight="false" outlineLevel="0" collapsed="false">
      <c r="A176" s="33"/>
      <c r="B176" s="33"/>
      <c r="C176" s="33"/>
      <c r="D176" s="33"/>
      <c r="E176" s="33"/>
      <c r="F176" s="33"/>
      <c r="G176" s="33"/>
      <c r="H176" s="33"/>
      <c r="I176" s="33"/>
      <c r="J176" s="33"/>
      <c r="K176" s="33"/>
      <c r="L176" s="34"/>
      <c r="M176" s="34"/>
      <c r="N176" s="34"/>
      <c r="O176" s="34"/>
      <c r="P176" s="33"/>
      <c r="Q176" s="35"/>
      <c r="R176" s="33"/>
      <c r="S176" s="33"/>
      <c r="T176" s="33"/>
      <c r="U176" s="33"/>
      <c r="V176" s="33"/>
      <c r="W176" s="33"/>
    </row>
    <row r="177" customFormat="false" ht="15" hidden="false" customHeight="false" outlineLevel="0" collapsed="false">
      <c r="A177" s="33"/>
      <c r="B177" s="33"/>
      <c r="C177" s="33"/>
      <c r="D177" s="33"/>
      <c r="E177" s="33"/>
      <c r="F177" s="33"/>
      <c r="G177" s="33"/>
      <c r="H177" s="33"/>
      <c r="I177" s="33"/>
      <c r="J177" s="33"/>
      <c r="K177" s="33"/>
      <c r="L177" s="34"/>
      <c r="M177" s="34"/>
      <c r="N177" s="34"/>
      <c r="O177" s="34"/>
      <c r="P177" s="33"/>
      <c r="Q177" s="35"/>
      <c r="R177" s="33"/>
      <c r="S177" s="33"/>
      <c r="T177" s="33"/>
      <c r="U177" s="33"/>
      <c r="V177" s="33"/>
      <c r="W177" s="33"/>
    </row>
    <row r="178" customFormat="false" ht="15" hidden="false" customHeight="false" outlineLevel="0" collapsed="false">
      <c r="A178" s="33"/>
      <c r="B178" s="33"/>
      <c r="C178" s="33"/>
      <c r="D178" s="33"/>
      <c r="E178" s="33"/>
      <c r="F178" s="33"/>
      <c r="G178" s="33"/>
      <c r="H178" s="33"/>
      <c r="I178" s="33"/>
      <c r="J178" s="33"/>
      <c r="K178" s="33"/>
      <c r="L178" s="34"/>
      <c r="M178" s="34"/>
      <c r="N178" s="34"/>
      <c r="O178" s="34"/>
      <c r="P178" s="33"/>
      <c r="Q178" s="35"/>
      <c r="R178" s="33"/>
      <c r="S178" s="33"/>
      <c r="T178" s="33"/>
      <c r="U178" s="33"/>
      <c r="V178" s="33"/>
      <c r="W178" s="33"/>
    </row>
    <row r="179" customFormat="false" ht="15" hidden="false" customHeight="false" outlineLevel="0" collapsed="false">
      <c r="A179" s="33"/>
      <c r="B179" s="33"/>
      <c r="C179" s="33"/>
      <c r="D179" s="33"/>
      <c r="E179" s="33"/>
      <c r="F179" s="33"/>
      <c r="G179" s="33"/>
      <c r="H179" s="33"/>
      <c r="I179" s="33"/>
      <c r="J179" s="33"/>
      <c r="K179" s="33"/>
      <c r="L179" s="34"/>
      <c r="M179" s="34"/>
      <c r="N179" s="34"/>
      <c r="O179" s="34"/>
      <c r="P179" s="33"/>
      <c r="Q179" s="35"/>
      <c r="R179" s="33"/>
      <c r="S179" s="33"/>
      <c r="T179" s="33"/>
      <c r="U179" s="33"/>
      <c r="V179" s="33"/>
      <c r="W179" s="33"/>
    </row>
    <row r="180" customFormat="false" ht="15" hidden="false" customHeight="false" outlineLevel="0" collapsed="false">
      <c r="A180" s="33"/>
      <c r="B180" s="33"/>
      <c r="C180" s="33"/>
      <c r="D180" s="33"/>
      <c r="E180" s="33"/>
      <c r="F180" s="33"/>
      <c r="G180" s="33"/>
      <c r="H180" s="33"/>
      <c r="I180" s="33"/>
      <c r="J180" s="33"/>
      <c r="K180" s="33"/>
      <c r="L180" s="34"/>
      <c r="M180" s="34"/>
      <c r="N180" s="34"/>
      <c r="O180" s="34"/>
      <c r="P180" s="33"/>
      <c r="Q180" s="35"/>
      <c r="R180" s="33"/>
      <c r="S180" s="33"/>
      <c r="T180" s="33"/>
      <c r="U180" s="33"/>
      <c r="V180" s="33"/>
      <c r="W180" s="33"/>
    </row>
    <row r="181" customFormat="false" ht="15" hidden="false" customHeight="false" outlineLevel="0" collapsed="false">
      <c r="A181" s="33"/>
      <c r="B181" s="33"/>
      <c r="C181" s="33"/>
      <c r="D181" s="33"/>
      <c r="E181" s="33"/>
      <c r="F181" s="33"/>
      <c r="G181" s="33"/>
      <c r="H181" s="33"/>
      <c r="I181" s="33"/>
      <c r="J181" s="33"/>
      <c r="K181" s="33"/>
      <c r="L181" s="34"/>
      <c r="M181" s="34"/>
      <c r="N181" s="34"/>
      <c r="O181" s="34"/>
      <c r="P181" s="33"/>
      <c r="Q181" s="35"/>
      <c r="R181" s="33"/>
      <c r="S181" s="33"/>
      <c r="T181" s="33"/>
      <c r="U181" s="33"/>
      <c r="V181" s="33"/>
      <c r="W181" s="33"/>
    </row>
    <row r="182" customFormat="false" ht="15" hidden="false" customHeight="false" outlineLevel="0" collapsed="false">
      <c r="A182" s="33"/>
      <c r="B182" s="33"/>
      <c r="C182" s="33"/>
      <c r="D182" s="33"/>
      <c r="E182" s="33"/>
      <c r="F182" s="33"/>
      <c r="G182" s="33"/>
      <c r="H182" s="33"/>
      <c r="I182" s="33"/>
      <c r="J182" s="33"/>
      <c r="K182" s="33"/>
      <c r="L182" s="34"/>
      <c r="M182" s="34"/>
      <c r="N182" s="34"/>
      <c r="O182" s="34"/>
      <c r="P182" s="33"/>
      <c r="Q182" s="35"/>
      <c r="R182" s="33"/>
      <c r="S182" s="33"/>
      <c r="T182" s="33"/>
      <c r="U182" s="33"/>
      <c r="V182" s="33"/>
      <c r="W182" s="33"/>
    </row>
    <row r="183" customFormat="false" ht="15" hidden="false" customHeight="false" outlineLevel="0" collapsed="false">
      <c r="A183" s="33"/>
      <c r="B183" s="33"/>
      <c r="C183" s="33"/>
      <c r="D183" s="33"/>
      <c r="E183" s="33"/>
      <c r="F183" s="33"/>
      <c r="G183" s="33"/>
      <c r="H183" s="33"/>
      <c r="I183" s="33"/>
      <c r="J183" s="33"/>
      <c r="K183" s="33"/>
      <c r="L183" s="34"/>
      <c r="M183" s="34"/>
      <c r="N183" s="34"/>
      <c r="O183" s="34"/>
      <c r="P183" s="33"/>
      <c r="Q183" s="35"/>
      <c r="R183" s="33"/>
      <c r="S183" s="33"/>
      <c r="T183" s="33"/>
      <c r="U183" s="33"/>
      <c r="V183" s="33"/>
      <c r="W183" s="33"/>
    </row>
    <row r="184" customFormat="false" ht="15" hidden="false" customHeight="false" outlineLevel="0" collapsed="false">
      <c r="A184" s="33"/>
      <c r="B184" s="33"/>
      <c r="C184" s="33"/>
      <c r="D184" s="33"/>
      <c r="E184" s="33"/>
      <c r="F184" s="33"/>
      <c r="G184" s="33"/>
      <c r="H184" s="33"/>
      <c r="I184" s="33"/>
      <c r="J184" s="33"/>
      <c r="K184" s="33"/>
      <c r="L184" s="34"/>
      <c r="M184" s="34"/>
      <c r="N184" s="34"/>
      <c r="O184" s="34"/>
      <c r="P184" s="33"/>
      <c r="Q184" s="35"/>
      <c r="R184" s="33"/>
      <c r="S184" s="33"/>
      <c r="T184" s="33"/>
      <c r="U184" s="33"/>
      <c r="V184" s="33"/>
      <c r="W184" s="33"/>
    </row>
    <row r="185" customFormat="false" ht="15" hidden="false" customHeight="false" outlineLevel="0" collapsed="false">
      <c r="A185" s="33"/>
      <c r="B185" s="33"/>
      <c r="C185" s="33"/>
      <c r="D185" s="33"/>
      <c r="E185" s="33"/>
      <c r="F185" s="33"/>
      <c r="G185" s="33"/>
      <c r="H185" s="33"/>
      <c r="I185" s="33"/>
      <c r="J185" s="33"/>
      <c r="K185" s="33"/>
      <c r="L185" s="34"/>
      <c r="M185" s="34"/>
      <c r="N185" s="34"/>
      <c r="O185" s="34"/>
      <c r="P185" s="33"/>
      <c r="Q185" s="35"/>
      <c r="R185" s="33"/>
      <c r="S185" s="33"/>
      <c r="T185" s="33"/>
      <c r="U185" s="33"/>
      <c r="V185" s="33"/>
      <c r="W185" s="33"/>
    </row>
    <row r="186" customFormat="false" ht="15" hidden="false" customHeight="false" outlineLevel="0" collapsed="false">
      <c r="A186" s="33"/>
      <c r="B186" s="33"/>
      <c r="C186" s="33"/>
      <c r="D186" s="33"/>
      <c r="E186" s="33"/>
      <c r="F186" s="33"/>
      <c r="G186" s="33"/>
      <c r="H186" s="33"/>
      <c r="I186" s="33"/>
      <c r="J186" s="33"/>
      <c r="K186" s="33"/>
      <c r="L186" s="34"/>
      <c r="M186" s="34"/>
      <c r="N186" s="34"/>
      <c r="O186" s="34"/>
      <c r="P186" s="33"/>
      <c r="Q186" s="35"/>
      <c r="R186" s="33"/>
      <c r="S186" s="33"/>
      <c r="T186" s="33"/>
      <c r="U186" s="33"/>
      <c r="V186" s="33"/>
      <c r="W186" s="33"/>
    </row>
    <row r="187" customFormat="false" ht="15" hidden="false" customHeight="false" outlineLevel="0" collapsed="false">
      <c r="A187" s="33"/>
      <c r="B187" s="33"/>
      <c r="C187" s="33"/>
      <c r="D187" s="33"/>
      <c r="E187" s="33"/>
      <c r="F187" s="33"/>
      <c r="G187" s="33"/>
      <c r="H187" s="33"/>
      <c r="I187" s="33"/>
      <c r="J187" s="33"/>
      <c r="K187" s="33"/>
      <c r="L187" s="34"/>
      <c r="M187" s="34"/>
      <c r="N187" s="34"/>
      <c r="O187" s="34"/>
      <c r="P187" s="33"/>
      <c r="Q187" s="35"/>
      <c r="R187" s="33"/>
      <c r="S187" s="33"/>
      <c r="T187" s="33"/>
      <c r="U187" s="33"/>
      <c r="V187" s="33"/>
      <c r="W187" s="33"/>
    </row>
    <row r="188" customFormat="false" ht="15" hidden="false" customHeight="false" outlineLevel="0" collapsed="false">
      <c r="A188" s="33"/>
      <c r="B188" s="33"/>
      <c r="C188" s="33"/>
      <c r="D188" s="33"/>
      <c r="E188" s="33"/>
      <c r="F188" s="33"/>
      <c r="G188" s="33"/>
      <c r="H188" s="33"/>
      <c r="I188" s="33"/>
      <c r="J188" s="33"/>
      <c r="K188" s="33"/>
      <c r="L188" s="34"/>
      <c r="M188" s="34"/>
      <c r="N188" s="34"/>
      <c r="O188" s="34"/>
      <c r="P188" s="33"/>
      <c r="Q188" s="35"/>
      <c r="R188" s="33"/>
      <c r="S188" s="33"/>
      <c r="T188" s="33"/>
      <c r="U188" s="33"/>
      <c r="V188" s="33"/>
      <c r="W188" s="33"/>
    </row>
    <row r="189" customFormat="false" ht="15" hidden="false" customHeight="false" outlineLevel="0" collapsed="false">
      <c r="A189" s="33"/>
      <c r="B189" s="33"/>
      <c r="C189" s="33"/>
      <c r="D189" s="33"/>
      <c r="E189" s="33"/>
      <c r="F189" s="33"/>
      <c r="G189" s="33"/>
      <c r="H189" s="33"/>
      <c r="I189" s="33"/>
      <c r="J189" s="33"/>
      <c r="K189" s="33"/>
      <c r="L189" s="34"/>
      <c r="M189" s="34"/>
      <c r="N189" s="34"/>
      <c r="O189" s="34"/>
      <c r="P189" s="33"/>
      <c r="Q189" s="35"/>
      <c r="R189" s="33"/>
      <c r="S189" s="33"/>
      <c r="T189" s="33"/>
      <c r="U189" s="33"/>
      <c r="V189" s="33"/>
      <c r="W189" s="33"/>
    </row>
    <row r="190" customFormat="false" ht="15" hidden="false" customHeight="false" outlineLevel="0" collapsed="false">
      <c r="A190" s="33"/>
      <c r="B190" s="33"/>
      <c r="C190" s="33"/>
      <c r="D190" s="33"/>
      <c r="E190" s="33"/>
      <c r="F190" s="33"/>
      <c r="G190" s="33"/>
      <c r="H190" s="33"/>
      <c r="I190" s="33"/>
      <c r="J190" s="33"/>
      <c r="K190" s="33"/>
      <c r="L190" s="34"/>
      <c r="M190" s="34"/>
      <c r="N190" s="34"/>
      <c r="O190" s="34"/>
      <c r="P190" s="33"/>
      <c r="Q190" s="35"/>
      <c r="R190" s="33"/>
      <c r="S190" s="33"/>
      <c r="T190" s="33"/>
      <c r="U190" s="33"/>
      <c r="V190" s="33"/>
      <c r="W190" s="33"/>
    </row>
    <row r="191" customFormat="false" ht="15" hidden="false" customHeight="false" outlineLevel="0" collapsed="false">
      <c r="A191" s="33"/>
      <c r="B191" s="33"/>
      <c r="C191" s="33"/>
      <c r="D191" s="33"/>
      <c r="E191" s="33"/>
      <c r="F191" s="33"/>
      <c r="G191" s="33"/>
      <c r="H191" s="33"/>
      <c r="I191" s="33"/>
      <c r="J191" s="33"/>
      <c r="K191" s="33"/>
      <c r="L191" s="34"/>
      <c r="M191" s="34"/>
      <c r="N191" s="34"/>
      <c r="O191" s="34"/>
      <c r="P191" s="33"/>
      <c r="Q191" s="35"/>
      <c r="R191" s="33"/>
      <c r="S191" s="33"/>
      <c r="T191" s="33"/>
      <c r="U191" s="33"/>
      <c r="V191" s="33"/>
      <c r="W191" s="33"/>
    </row>
    <row r="192" customFormat="false" ht="15" hidden="false" customHeight="false" outlineLevel="0" collapsed="false">
      <c r="A192" s="33"/>
      <c r="B192" s="33"/>
      <c r="C192" s="33"/>
      <c r="D192" s="33"/>
      <c r="E192" s="33"/>
      <c r="F192" s="33"/>
      <c r="G192" s="33"/>
      <c r="H192" s="33"/>
      <c r="I192" s="33"/>
      <c r="J192" s="33"/>
      <c r="K192" s="33"/>
      <c r="L192" s="34"/>
      <c r="M192" s="34"/>
      <c r="N192" s="34"/>
      <c r="O192" s="34"/>
      <c r="P192" s="33"/>
      <c r="Q192" s="35"/>
      <c r="R192" s="33"/>
      <c r="S192" s="33"/>
      <c r="T192" s="33"/>
      <c r="U192" s="33"/>
      <c r="V192" s="33"/>
      <c r="W192" s="33"/>
    </row>
    <row r="193" customFormat="false" ht="15" hidden="false" customHeight="false" outlineLevel="0" collapsed="false">
      <c r="A193" s="33"/>
      <c r="B193" s="33"/>
      <c r="C193" s="33"/>
      <c r="D193" s="33"/>
      <c r="E193" s="33"/>
      <c r="F193" s="33"/>
      <c r="G193" s="33"/>
      <c r="H193" s="33"/>
      <c r="I193" s="33"/>
      <c r="J193" s="33"/>
      <c r="K193" s="33"/>
      <c r="L193" s="34"/>
      <c r="M193" s="34"/>
      <c r="N193" s="34"/>
      <c r="O193" s="34"/>
      <c r="P193" s="33"/>
      <c r="Q193" s="35"/>
      <c r="R193" s="33"/>
      <c r="S193" s="33"/>
      <c r="T193" s="33"/>
      <c r="U193" s="33"/>
      <c r="V193" s="33"/>
      <c r="W193" s="33"/>
    </row>
    <row r="194" customFormat="false" ht="15" hidden="false" customHeight="false" outlineLevel="0" collapsed="false">
      <c r="A194" s="33"/>
      <c r="B194" s="33"/>
      <c r="C194" s="33"/>
      <c r="D194" s="33"/>
      <c r="E194" s="33"/>
      <c r="F194" s="33"/>
      <c r="G194" s="33"/>
      <c r="H194" s="33"/>
      <c r="I194" s="33"/>
      <c r="J194" s="33"/>
      <c r="K194" s="33"/>
      <c r="L194" s="34"/>
      <c r="M194" s="34"/>
      <c r="N194" s="34"/>
      <c r="O194" s="34"/>
      <c r="P194" s="33"/>
      <c r="Q194" s="35"/>
      <c r="R194" s="33"/>
      <c r="S194" s="33"/>
      <c r="T194" s="33"/>
      <c r="U194" s="33"/>
      <c r="V194" s="33"/>
      <c r="W194" s="33"/>
    </row>
    <row r="195" customFormat="false" ht="15" hidden="false" customHeight="false" outlineLevel="0" collapsed="false">
      <c r="A195" s="33"/>
      <c r="B195" s="33"/>
      <c r="C195" s="33"/>
      <c r="D195" s="33"/>
      <c r="E195" s="33"/>
      <c r="F195" s="33"/>
      <c r="G195" s="33"/>
      <c r="H195" s="33"/>
      <c r="I195" s="33"/>
      <c r="J195" s="33"/>
      <c r="K195" s="33"/>
      <c r="L195" s="34"/>
      <c r="M195" s="34"/>
      <c r="N195" s="34"/>
      <c r="O195" s="34"/>
      <c r="P195" s="33"/>
      <c r="Q195" s="35"/>
      <c r="R195" s="33"/>
      <c r="S195" s="33"/>
      <c r="T195" s="33"/>
      <c r="U195" s="33"/>
      <c r="V195" s="33"/>
      <c r="W195" s="33"/>
    </row>
    <row r="196" customFormat="false" ht="15" hidden="false" customHeight="false" outlineLevel="0" collapsed="false">
      <c r="A196" s="33"/>
      <c r="B196" s="33"/>
      <c r="C196" s="33"/>
      <c r="D196" s="33"/>
      <c r="E196" s="33"/>
      <c r="F196" s="33"/>
      <c r="G196" s="33"/>
      <c r="H196" s="33"/>
      <c r="I196" s="33"/>
      <c r="J196" s="33"/>
      <c r="K196" s="33"/>
      <c r="L196" s="34"/>
      <c r="M196" s="34"/>
      <c r="N196" s="34"/>
      <c r="O196" s="34"/>
      <c r="P196" s="33"/>
      <c r="Q196" s="35"/>
      <c r="R196" s="33"/>
      <c r="S196" s="33"/>
      <c r="T196" s="33"/>
      <c r="U196" s="33"/>
      <c r="V196" s="33"/>
      <c r="W196" s="33"/>
    </row>
    <row r="197" customFormat="false" ht="15" hidden="false" customHeight="false" outlineLevel="0" collapsed="false">
      <c r="A197" s="33"/>
      <c r="B197" s="33"/>
      <c r="C197" s="33"/>
      <c r="D197" s="33"/>
      <c r="E197" s="33"/>
      <c r="F197" s="33"/>
      <c r="G197" s="33"/>
      <c r="H197" s="33"/>
      <c r="I197" s="33"/>
      <c r="J197" s="33"/>
      <c r="K197" s="33"/>
      <c r="L197" s="34"/>
      <c r="M197" s="34"/>
      <c r="N197" s="34"/>
      <c r="O197" s="34"/>
      <c r="P197" s="33"/>
      <c r="Q197" s="35"/>
      <c r="R197" s="33"/>
      <c r="S197" s="33"/>
      <c r="T197" s="33"/>
      <c r="U197" s="33"/>
      <c r="V197" s="33"/>
      <c r="W197" s="33"/>
    </row>
    <row r="198" customFormat="false" ht="15" hidden="false" customHeight="false" outlineLevel="0" collapsed="false">
      <c r="A198" s="33"/>
      <c r="B198" s="33"/>
      <c r="C198" s="33"/>
      <c r="D198" s="33"/>
      <c r="E198" s="33"/>
      <c r="F198" s="33"/>
      <c r="G198" s="33"/>
      <c r="H198" s="33"/>
      <c r="I198" s="33"/>
      <c r="J198" s="33"/>
      <c r="K198" s="33"/>
      <c r="L198" s="34"/>
      <c r="M198" s="34"/>
      <c r="N198" s="34"/>
      <c r="O198" s="34"/>
      <c r="P198" s="33"/>
      <c r="Q198" s="35"/>
      <c r="R198" s="33"/>
      <c r="S198" s="33"/>
      <c r="T198" s="33"/>
      <c r="U198" s="33"/>
      <c r="V198" s="33"/>
      <c r="W198" s="33"/>
    </row>
    <row r="199" customFormat="false" ht="15" hidden="false" customHeight="false" outlineLevel="0" collapsed="false">
      <c r="A199" s="33"/>
      <c r="B199" s="33"/>
      <c r="C199" s="33"/>
      <c r="D199" s="33"/>
      <c r="E199" s="33"/>
      <c r="F199" s="33"/>
      <c r="G199" s="33"/>
      <c r="H199" s="33"/>
      <c r="I199" s="33"/>
      <c r="J199" s="33"/>
      <c r="K199" s="33"/>
      <c r="L199" s="34"/>
      <c r="M199" s="34"/>
      <c r="N199" s="34"/>
      <c r="O199" s="34"/>
      <c r="P199" s="33"/>
      <c r="Q199" s="35"/>
      <c r="R199" s="33"/>
      <c r="S199" s="33"/>
      <c r="T199" s="33"/>
      <c r="U199" s="33"/>
      <c r="V199" s="33"/>
      <c r="W199" s="33"/>
    </row>
    <row r="200" customFormat="false" ht="15" hidden="false" customHeight="false" outlineLevel="0" collapsed="false">
      <c r="A200" s="33"/>
      <c r="B200" s="33"/>
      <c r="C200" s="33"/>
      <c r="D200" s="33"/>
      <c r="E200" s="33"/>
      <c r="F200" s="33"/>
      <c r="G200" s="33"/>
      <c r="H200" s="33"/>
      <c r="I200" s="33"/>
      <c r="J200" s="33"/>
      <c r="K200" s="33"/>
      <c r="L200" s="34"/>
      <c r="M200" s="34"/>
      <c r="N200" s="34"/>
      <c r="O200" s="34"/>
      <c r="P200" s="33"/>
      <c r="Q200" s="35"/>
      <c r="R200" s="33"/>
      <c r="S200" s="33"/>
      <c r="T200" s="33"/>
      <c r="U200" s="33"/>
      <c r="V200" s="33"/>
      <c r="W200" s="33"/>
    </row>
    <row r="201" customFormat="false" ht="15" hidden="false" customHeight="false" outlineLevel="0" collapsed="false">
      <c r="A201" s="33"/>
      <c r="B201" s="33"/>
      <c r="C201" s="33"/>
      <c r="D201" s="33"/>
      <c r="E201" s="33"/>
      <c r="F201" s="33"/>
      <c r="G201" s="33"/>
      <c r="H201" s="33"/>
      <c r="I201" s="33"/>
      <c r="J201" s="33"/>
      <c r="K201" s="33"/>
      <c r="L201" s="34"/>
      <c r="M201" s="34"/>
      <c r="N201" s="34"/>
      <c r="O201" s="34"/>
      <c r="P201" s="33"/>
      <c r="Q201" s="35"/>
      <c r="R201" s="33"/>
      <c r="S201" s="33"/>
      <c r="T201" s="33"/>
      <c r="U201" s="33"/>
      <c r="V201" s="33"/>
      <c r="W201" s="33"/>
    </row>
    <row r="202" customFormat="false" ht="15" hidden="false" customHeight="false" outlineLevel="0" collapsed="false">
      <c r="A202" s="33"/>
      <c r="B202" s="33"/>
      <c r="C202" s="33"/>
      <c r="D202" s="33"/>
      <c r="E202" s="33"/>
      <c r="F202" s="33"/>
      <c r="G202" s="33"/>
      <c r="H202" s="33"/>
      <c r="I202" s="33"/>
      <c r="J202" s="33"/>
      <c r="K202" s="33"/>
      <c r="L202" s="34"/>
      <c r="M202" s="34"/>
      <c r="N202" s="34"/>
      <c r="O202" s="34"/>
      <c r="P202" s="33"/>
      <c r="Q202" s="35"/>
      <c r="R202" s="33"/>
      <c r="S202" s="33"/>
      <c r="T202" s="33"/>
      <c r="U202" s="33"/>
      <c r="V202" s="33"/>
      <c r="W202" s="33"/>
    </row>
    <row r="203" customFormat="false" ht="15" hidden="false" customHeight="false" outlineLevel="0" collapsed="false">
      <c r="A203" s="33"/>
      <c r="B203" s="33"/>
      <c r="C203" s="33"/>
      <c r="D203" s="33"/>
      <c r="E203" s="33"/>
      <c r="F203" s="33"/>
      <c r="G203" s="33"/>
      <c r="H203" s="33"/>
      <c r="I203" s="33"/>
      <c r="J203" s="33"/>
      <c r="K203" s="33"/>
      <c r="L203" s="34"/>
      <c r="M203" s="34"/>
      <c r="N203" s="34"/>
      <c r="O203" s="34"/>
      <c r="P203" s="33"/>
      <c r="Q203" s="35"/>
      <c r="R203" s="33"/>
      <c r="S203" s="33"/>
      <c r="T203" s="33"/>
      <c r="U203" s="33"/>
      <c r="V203" s="33"/>
      <c r="W203" s="33"/>
    </row>
    <row r="204" customFormat="false" ht="15" hidden="false" customHeight="false" outlineLevel="0" collapsed="false">
      <c r="A204" s="33"/>
      <c r="B204" s="33"/>
      <c r="C204" s="33"/>
      <c r="D204" s="33"/>
      <c r="E204" s="33"/>
      <c r="F204" s="33"/>
      <c r="G204" s="33"/>
      <c r="H204" s="33"/>
      <c r="I204" s="33"/>
      <c r="J204" s="33"/>
      <c r="K204" s="33"/>
      <c r="L204" s="34"/>
      <c r="M204" s="34"/>
      <c r="N204" s="34"/>
      <c r="O204" s="34"/>
      <c r="P204" s="33"/>
      <c r="Q204" s="35"/>
      <c r="R204" s="33"/>
      <c r="S204" s="33"/>
      <c r="T204" s="33"/>
      <c r="U204" s="33"/>
      <c r="V204" s="33"/>
      <c r="W204" s="33"/>
    </row>
    <row r="205" customFormat="false" ht="15" hidden="false" customHeight="false" outlineLevel="0" collapsed="false">
      <c r="A205" s="33"/>
      <c r="B205" s="33"/>
      <c r="C205" s="33"/>
      <c r="D205" s="33"/>
      <c r="E205" s="33"/>
      <c r="F205" s="33"/>
      <c r="G205" s="33"/>
      <c r="H205" s="33"/>
      <c r="I205" s="33"/>
      <c r="J205" s="33"/>
      <c r="K205" s="33"/>
      <c r="L205" s="34"/>
      <c r="M205" s="34"/>
      <c r="N205" s="34"/>
      <c r="O205" s="34"/>
      <c r="P205" s="33"/>
      <c r="Q205" s="35"/>
      <c r="R205" s="33"/>
      <c r="S205" s="33"/>
      <c r="T205" s="33"/>
      <c r="U205" s="33"/>
      <c r="V205" s="33"/>
      <c r="W205" s="33"/>
    </row>
    <row r="206" customFormat="false" ht="15" hidden="false" customHeight="false" outlineLevel="0" collapsed="false">
      <c r="A206" s="33"/>
      <c r="B206" s="33"/>
      <c r="C206" s="33"/>
      <c r="D206" s="33"/>
      <c r="E206" s="33"/>
      <c r="F206" s="33"/>
      <c r="G206" s="33"/>
      <c r="H206" s="33"/>
      <c r="I206" s="33"/>
      <c r="J206" s="33"/>
      <c r="K206" s="33"/>
      <c r="L206" s="34"/>
      <c r="M206" s="34"/>
      <c r="N206" s="34"/>
      <c r="O206" s="34"/>
      <c r="P206" s="33"/>
      <c r="Q206" s="35"/>
      <c r="R206" s="33"/>
      <c r="S206" s="33"/>
      <c r="T206" s="33"/>
      <c r="U206" s="33"/>
      <c r="V206" s="33"/>
      <c r="W206" s="33"/>
    </row>
    <row r="207" customFormat="false" ht="15" hidden="false" customHeight="false" outlineLevel="0" collapsed="false">
      <c r="A207" s="33"/>
      <c r="B207" s="33"/>
      <c r="C207" s="33"/>
      <c r="D207" s="33"/>
      <c r="E207" s="33"/>
      <c r="F207" s="33"/>
      <c r="G207" s="33"/>
      <c r="H207" s="33"/>
      <c r="I207" s="33"/>
      <c r="J207" s="33"/>
      <c r="K207" s="33"/>
      <c r="L207" s="34"/>
      <c r="M207" s="34"/>
      <c r="N207" s="34"/>
      <c r="O207" s="34"/>
      <c r="P207" s="33"/>
      <c r="Q207" s="35"/>
      <c r="R207" s="33"/>
      <c r="S207" s="33"/>
      <c r="T207" s="33"/>
      <c r="U207" s="33"/>
      <c r="V207" s="33"/>
      <c r="W207" s="33"/>
    </row>
    <row r="208" customFormat="false" ht="15" hidden="false" customHeight="false" outlineLevel="0" collapsed="false">
      <c r="A208" s="33"/>
      <c r="B208" s="33"/>
      <c r="C208" s="33"/>
      <c r="D208" s="33"/>
      <c r="E208" s="33"/>
      <c r="F208" s="33"/>
      <c r="G208" s="33"/>
      <c r="H208" s="33"/>
      <c r="I208" s="33"/>
      <c r="J208" s="33"/>
      <c r="K208" s="33"/>
      <c r="L208" s="34"/>
      <c r="M208" s="34"/>
      <c r="N208" s="34"/>
      <c r="O208" s="34"/>
      <c r="P208" s="33"/>
      <c r="Q208" s="35"/>
      <c r="R208" s="33"/>
      <c r="S208" s="33"/>
      <c r="T208" s="33"/>
      <c r="U208" s="33"/>
      <c r="V208" s="33"/>
      <c r="W208" s="33"/>
    </row>
    <row r="209" customFormat="false" ht="15" hidden="false" customHeight="false" outlineLevel="0" collapsed="false">
      <c r="A209" s="33"/>
      <c r="B209" s="33"/>
      <c r="C209" s="33"/>
      <c r="D209" s="33"/>
      <c r="E209" s="33"/>
      <c r="F209" s="33"/>
      <c r="G209" s="33"/>
      <c r="H209" s="33"/>
      <c r="I209" s="33"/>
      <c r="J209" s="33"/>
      <c r="K209" s="33"/>
      <c r="L209" s="34"/>
      <c r="M209" s="34"/>
      <c r="N209" s="34"/>
      <c r="O209" s="34"/>
      <c r="P209" s="33"/>
      <c r="Q209" s="35"/>
      <c r="R209" s="33"/>
      <c r="S209" s="33"/>
      <c r="T209" s="33"/>
      <c r="U209" s="33"/>
      <c r="V209" s="33"/>
      <c r="W209" s="33"/>
    </row>
    <row r="210" customFormat="false" ht="15" hidden="false" customHeight="false" outlineLevel="0" collapsed="false">
      <c r="A210" s="33"/>
      <c r="B210" s="33"/>
      <c r="C210" s="33"/>
      <c r="D210" s="33"/>
      <c r="E210" s="33"/>
      <c r="F210" s="33"/>
      <c r="G210" s="33"/>
      <c r="H210" s="33"/>
      <c r="I210" s="33"/>
      <c r="J210" s="33"/>
      <c r="K210" s="33"/>
      <c r="L210" s="34"/>
      <c r="M210" s="34"/>
      <c r="N210" s="34"/>
      <c r="O210" s="34"/>
      <c r="P210" s="33"/>
      <c r="Q210" s="35"/>
      <c r="R210" s="33"/>
      <c r="S210" s="33"/>
      <c r="T210" s="33"/>
      <c r="U210" s="33"/>
      <c r="V210" s="33"/>
      <c r="W210" s="33"/>
    </row>
    <row r="211" customFormat="false" ht="15" hidden="false" customHeight="false" outlineLevel="0" collapsed="false">
      <c r="A211" s="33"/>
      <c r="B211" s="33"/>
      <c r="C211" s="33"/>
      <c r="D211" s="33"/>
      <c r="E211" s="33"/>
      <c r="F211" s="33"/>
      <c r="G211" s="33"/>
      <c r="H211" s="33"/>
      <c r="I211" s="33"/>
      <c r="J211" s="33"/>
      <c r="K211" s="33"/>
      <c r="L211" s="34"/>
      <c r="M211" s="34"/>
      <c r="N211" s="34"/>
      <c r="O211" s="34"/>
      <c r="P211" s="33"/>
      <c r="Q211" s="35"/>
      <c r="R211" s="33"/>
      <c r="S211" s="33"/>
      <c r="T211" s="33"/>
      <c r="U211" s="33"/>
      <c r="V211" s="33"/>
      <c r="W211" s="33"/>
    </row>
    <row r="212" customFormat="false" ht="15" hidden="false" customHeight="false" outlineLevel="0" collapsed="false">
      <c r="A212" s="33"/>
      <c r="B212" s="33"/>
      <c r="C212" s="33"/>
      <c r="D212" s="33"/>
      <c r="E212" s="33"/>
      <c r="F212" s="33"/>
      <c r="G212" s="33"/>
      <c r="H212" s="33"/>
      <c r="I212" s="33"/>
      <c r="J212" s="33"/>
      <c r="K212" s="33"/>
      <c r="L212" s="34"/>
      <c r="M212" s="34"/>
      <c r="N212" s="34"/>
      <c r="O212" s="34"/>
      <c r="P212" s="33"/>
      <c r="Q212" s="35"/>
      <c r="R212" s="33"/>
      <c r="S212" s="33"/>
      <c r="T212" s="33"/>
      <c r="U212" s="33"/>
      <c r="V212" s="33"/>
      <c r="W212" s="33"/>
    </row>
    <row r="213" customFormat="false" ht="15" hidden="false" customHeight="false" outlineLevel="0" collapsed="false">
      <c r="A213" s="33"/>
      <c r="B213" s="33"/>
      <c r="C213" s="33"/>
      <c r="D213" s="33"/>
      <c r="E213" s="33"/>
      <c r="F213" s="33"/>
      <c r="G213" s="33"/>
      <c r="H213" s="33"/>
      <c r="I213" s="33"/>
      <c r="J213" s="33"/>
      <c r="K213" s="33"/>
      <c r="L213" s="34"/>
      <c r="M213" s="34"/>
      <c r="N213" s="34"/>
      <c r="O213" s="34"/>
      <c r="P213" s="33"/>
      <c r="Q213" s="35"/>
      <c r="R213" s="33"/>
      <c r="S213" s="33"/>
      <c r="T213" s="33"/>
      <c r="U213" s="33"/>
      <c r="V213" s="33"/>
      <c r="W213" s="33"/>
    </row>
    <row r="214" customFormat="false" ht="15" hidden="false" customHeight="false" outlineLevel="0" collapsed="false">
      <c r="A214" s="33"/>
      <c r="B214" s="33"/>
      <c r="C214" s="33"/>
      <c r="D214" s="33"/>
      <c r="E214" s="33"/>
      <c r="F214" s="33"/>
      <c r="G214" s="33"/>
      <c r="H214" s="33"/>
      <c r="I214" s="33"/>
      <c r="J214" s="33"/>
      <c r="K214" s="33"/>
      <c r="L214" s="34"/>
      <c r="M214" s="34"/>
      <c r="N214" s="34"/>
      <c r="O214" s="34"/>
      <c r="P214" s="33"/>
      <c r="Q214" s="35"/>
      <c r="R214" s="33"/>
      <c r="S214" s="33"/>
      <c r="T214" s="33"/>
      <c r="U214" s="33"/>
      <c r="V214" s="33"/>
      <c r="W214" s="33"/>
    </row>
    <row r="215" customFormat="false" ht="15" hidden="false" customHeight="false" outlineLevel="0" collapsed="false">
      <c r="A215" s="33"/>
      <c r="B215" s="33"/>
      <c r="C215" s="33"/>
      <c r="D215" s="33"/>
      <c r="E215" s="33"/>
      <c r="F215" s="33"/>
      <c r="G215" s="33"/>
      <c r="H215" s="33"/>
      <c r="I215" s="33"/>
      <c r="J215" s="33"/>
      <c r="K215" s="33"/>
      <c r="L215" s="34"/>
      <c r="M215" s="34"/>
      <c r="N215" s="34"/>
      <c r="O215" s="34"/>
      <c r="P215" s="33"/>
      <c r="Q215" s="35"/>
      <c r="R215" s="33"/>
      <c r="S215" s="33"/>
      <c r="T215" s="33"/>
      <c r="U215" s="33"/>
      <c r="V215" s="33"/>
      <c r="W215" s="33"/>
    </row>
    <row r="216" customFormat="false" ht="15" hidden="false" customHeight="false" outlineLevel="0" collapsed="false">
      <c r="A216" s="33"/>
      <c r="B216" s="33"/>
      <c r="C216" s="33"/>
      <c r="D216" s="33"/>
      <c r="E216" s="33"/>
      <c r="F216" s="33"/>
      <c r="G216" s="33"/>
      <c r="H216" s="33"/>
      <c r="I216" s="33"/>
      <c r="J216" s="33"/>
      <c r="K216" s="33"/>
      <c r="L216" s="34"/>
      <c r="M216" s="34"/>
      <c r="N216" s="34"/>
      <c r="O216" s="34"/>
      <c r="P216" s="33"/>
      <c r="Q216" s="35"/>
      <c r="R216" s="33"/>
      <c r="S216" s="33"/>
      <c r="T216" s="33"/>
      <c r="U216" s="33"/>
      <c r="V216" s="33"/>
      <c r="W216" s="33"/>
    </row>
    <row r="217" customFormat="false" ht="15" hidden="false" customHeight="false" outlineLevel="0" collapsed="false">
      <c r="A217" s="33"/>
      <c r="B217" s="33"/>
      <c r="C217" s="33"/>
      <c r="D217" s="33"/>
      <c r="E217" s="33"/>
      <c r="F217" s="33"/>
      <c r="G217" s="33"/>
      <c r="H217" s="33"/>
      <c r="I217" s="33"/>
      <c r="J217" s="33"/>
      <c r="K217" s="33"/>
      <c r="L217" s="34"/>
      <c r="M217" s="34"/>
      <c r="N217" s="34"/>
      <c r="O217" s="34"/>
      <c r="P217" s="33"/>
      <c r="Q217" s="35"/>
      <c r="R217" s="33"/>
      <c r="S217" s="33"/>
      <c r="T217" s="33"/>
      <c r="U217" s="33"/>
      <c r="V217" s="33"/>
      <c r="W217" s="33"/>
    </row>
    <row r="218" customFormat="false" ht="15" hidden="false" customHeight="false" outlineLevel="0" collapsed="false">
      <c r="A218" s="33"/>
      <c r="B218" s="33"/>
      <c r="C218" s="33"/>
      <c r="D218" s="33"/>
      <c r="E218" s="33"/>
      <c r="F218" s="33"/>
      <c r="G218" s="33"/>
      <c r="H218" s="33"/>
      <c r="I218" s="33"/>
      <c r="J218" s="33"/>
      <c r="K218" s="33"/>
      <c r="L218" s="34"/>
      <c r="M218" s="34"/>
      <c r="N218" s="34"/>
      <c r="O218" s="34"/>
      <c r="P218" s="33"/>
      <c r="Q218" s="35"/>
      <c r="R218" s="33"/>
      <c r="S218" s="33"/>
      <c r="T218" s="33"/>
      <c r="U218" s="33"/>
      <c r="V218" s="33"/>
      <c r="W218" s="33"/>
    </row>
    <row r="219" customFormat="false" ht="15" hidden="false" customHeight="false" outlineLevel="0" collapsed="false">
      <c r="A219" s="33"/>
      <c r="B219" s="33"/>
      <c r="C219" s="33"/>
      <c r="D219" s="33"/>
      <c r="E219" s="33"/>
      <c r="F219" s="33"/>
      <c r="G219" s="33"/>
      <c r="H219" s="33"/>
      <c r="I219" s="33"/>
      <c r="J219" s="33"/>
      <c r="K219" s="33"/>
      <c r="L219" s="34"/>
      <c r="M219" s="34"/>
      <c r="N219" s="34"/>
      <c r="O219" s="34"/>
      <c r="P219" s="33"/>
      <c r="Q219" s="35"/>
      <c r="R219" s="33"/>
      <c r="S219" s="33"/>
      <c r="T219" s="33"/>
      <c r="U219" s="33"/>
      <c r="V219" s="33"/>
      <c r="W219" s="33"/>
    </row>
    <row r="220" customFormat="false" ht="15" hidden="false" customHeight="false" outlineLevel="0" collapsed="false">
      <c r="A220" s="33"/>
      <c r="B220" s="33"/>
      <c r="C220" s="33"/>
      <c r="D220" s="33"/>
      <c r="E220" s="33"/>
      <c r="F220" s="33"/>
      <c r="G220" s="33"/>
      <c r="H220" s="33"/>
      <c r="I220" s="33"/>
      <c r="J220" s="33"/>
      <c r="K220" s="33"/>
      <c r="L220" s="34"/>
      <c r="M220" s="34"/>
      <c r="N220" s="34"/>
      <c r="O220" s="34"/>
      <c r="P220" s="33"/>
      <c r="Q220" s="35"/>
      <c r="R220" s="33"/>
      <c r="S220" s="33"/>
      <c r="T220" s="33"/>
      <c r="U220" s="33"/>
      <c r="V220" s="33"/>
      <c r="W220" s="33"/>
    </row>
    <row r="221" customFormat="false" ht="15" hidden="false" customHeight="false" outlineLevel="0" collapsed="false">
      <c r="A221" s="33"/>
      <c r="B221" s="33"/>
      <c r="C221" s="33"/>
      <c r="D221" s="33"/>
      <c r="E221" s="33"/>
      <c r="F221" s="33"/>
      <c r="G221" s="33"/>
      <c r="H221" s="33"/>
      <c r="I221" s="33"/>
      <c r="J221" s="33"/>
      <c r="K221" s="33"/>
      <c r="L221" s="34"/>
      <c r="M221" s="34"/>
      <c r="N221" s="34"/>
      <c r="O221" s="34"/>
      <c r="P221" s="33"/>
      <c r="Q221" s="35"/>
      <c r="R221" s="33"/>
      <c r="S221" s="33"/>
      <c r="T221" s="33"/>
      <c r="U221" s="33"/>
      <c r="V221" s="33"/>
      <c r="W221" s="33"/>
    </row>
    <row r="222" customFormat="false" ht="15" hidden="false" customHeight="false" outlineLevel="0" collapsed="false">
      <c r="A222" s="33"/>
      <c r="B222" s="33"/>
      <c r="C222" s="33"/>
      <c r="D222" s="33"/>
      <c r="E222" s="33"/>
      <c r="F222" s="33"/>
      <c r="G222" s="33"/>
      <c r="H222" s="33"/>
      <c r="I222" s="33"/>
      <c r="J222" s="33"/>
      <c r="K222" s="33"/>
      <c r="L222" s="34"/>
      <c r="M222" s="34"/>
      <c r="N222" s="34"/>
      <c r="O222" s="34"/>
      <c r="P222" s="33"/>
      <c r="Q222" s="35"/>
      <c r="R222" s="33"/>
      <c r="S222" s="33"/>
      <c r="T222" s="33"/>
      <c r="U222" s="33"/>
      <c r="V222" s="33"/>
      <c r="W222" s="33"/>
    </row>
    <row r="223" customFormat="false" ht="15" hidden="false" customHeight="false" outlineLevel="0" collapsed="false">
      <c r="A223" s="33"/>
      <c r="B223" s="33"/>
      <c r="C223" s="33"/>
      <c r="D223" s="33"/>
      <c r="E223" s="33"/>
      <c r="F223" s="33"/>
      <c r="G223" s="33"/>
      <c r="H223" s="33"/>
      <c r="I223" s="33"/>
      <c r="J223" s="33"/>
      <c r="K223" s="33"/>
      <c r="L223" s="34"/>
      <c r="M223" s="34"/>
      <c r="N223" s="34"/>
      <c r="O223" s="34"/>
      <c r="P223" s="33"/>
      <c r="Q223" s="35"/>
      <c r="R223" s="33"/>
      <c r="S223" s="33"/>
      <c r="T223" s="33"/>
      <c r="U223" s="33"/>
      <c r="V223" s="33"/>
      <c r="W223" s="33"/>
    </row>
    <row r="224" customFormat="false" ht="15" hidden="false" customHeight="false" outlineLevel="0" collapsed="false">
      <c r="A224" s="33"/>
      <c r="B224" s="33"/>
      <c r="C224" s="33"/>
      <c r="D224" s="33"/>
      <c r="E224" s="33"/>
      <c r="F224" s="33"/>
      <c r="G224" s="33"/>
      <c r="H224" s="33"/>
      <c r="I224" s="33"/>
      <c r="J224" s="33"/>
      <c r="K224" s="33"/>
      <c r="L224" s="34"/>
      <c r="M224" s="34"/>
      <c r="N224" s="34"/>
      <c r="O224" s="34"/>
      <c r="P224" s="33"/>
      <c r="Q224" s="35"/>
      <c r="R224" s="33"/>
      <c r="S224" s="33"/>
      <c r="T224" s="33"/>
      <c r="U224" s="33"/>
      <c r="V224" s="33"/>
      <c r="W224" s="33"/>
    </row>
    <row r="225" customFormat="false" ht="15" hidden="false" customHeight="false" outlineLevel="0" collapsed="false">
      <c r="A225" s="33"/>
      <c r="B225" s="33"/>
      <c r="C225" s="33"/>
      <c r="D225" s="33"/>
      <c r="E225" s="33"/>
      <c r="F225" s="33"/>
      <c r="G225" s="33"/>
      <c r="H225" s="33"/>
      <c r="I225" s="33"/>
      <c r="J225" s="33"/>
      <c r="K225" s="33"/>
      <c r="L225" s="34"/>
      <c r="M225" s="34"/>
      <c r="N225" s="34"/>
      <c r="O225" s="34"/>
      <c r="P225" s="33"/>
      <c r="Q225" s="35"/>
      <c r="R225" s="33"/>
      <c r="S225" s="33"/>
      <c r="T225" s="33"/>
      <c r="U225" s="33"/>
      <c r="V225" s="33"/>
      <c r="W225" s="33"/>
    </row>
    <row r="226" customFormat="false" ht="15" hidden="false" customHeight="false" outlineLevel="0" collapsed="false">
      <c r="A226" s="33"/>
      <c r="B226" s="33"/>
      <c r="C226" s="33"/>
      <c r="D226" s="33"/>
      <c r="E226" s="33"/>
      <c r="F226" s="33"/>
      <c r="G226" s="33"/>
      <c r="H226" s="33"/>
      <c r="I226" s="33"/>
      <c r="J226" s="33"/>
      <c r="K226" s="33"/>
      <c r="L226" s="34"/>
      <c r="M226" s="34"/>
      <c r="N226" s="34"/>
      <c r="O226" s="34"/>
      <c r="P226" s="33"/>
      <c r="Q226" s="35"/>
      <c r="R226" s="33"/>
      <c r="S226" s="33"/>
      <c r="T226" s="33"/>
      <c r="U226" s="33"/>
      <c r="V226" s="33"/>
      <c r="W226" s="33"/>
    </row>
    <row r="227" customFormat="false" ht="15" hidden="false" customHeight="false" outlineLevel="0" collapsed="false">
      <c r="A227" s="33"/>
      <c r="B227" s="33"/>
      <c r="C227" s="33"/>
      <c r="D227" s="33"/>
      <c r="E227" s="33"/>
      <c r="F227" s="33"/>
      <c r="G227" s="33"/>
      <c r="H227" s="33"/>
      <c r="I227" s="33"/>
      <c r="J227" s="33"/>
      <c r="K227" s="33"/>
      <c r="L227" s="34"/>
      <c r="M227" s="34"/>
      <c r="N227" s="34"/>
      <c r="O227" s="34"/>
      <c r="P227" s="33"/>
      <c r="Q227" s="35"/>
      <c r="R227" s="33"/>
      <c r="S227" s="33"/>
      <c r="T227" s="33"/>
      <c r="U227" s="33"/>
      <c r="V227" s="33"/>
      <c r="W227" s="33"/>
    </row>
    <row r="228" customFormat="false" ht="15" hidden="false" customHeight="false" outlineLevel="0" collapsed="false">
      <c r="A228" s="33"/>
      <c r="B228" s="33"/>
      <c r="C228" s="33"/>
      <c r="D228" s="33"/>
      <c r="E228" s="33"/>
      <c r="F228" s="33"/>
      <c r="G228" s="33"/>
      <c r="H228" s="33"/>
      <c r="I228" s="33"/>
      <c r="J228" s="33"/>
      <c r="K228" s="33"/>
      <c r="L228" s="34"/>
      <c r="M228" s="34"/>
      <c r="N228" s="34"/>
      <c r="O228" s="34"/>
      <c r="P228" s="33"/>
      <c r="Q228" s="35"/>
      <c r="R228" s="33"/>
      <c r="S228" s="33"/>
      <c r="T228" s="33"/>
      <c r="U228" s="33"/>
      <c r="V228" s="33"/>
      <c r="W228" s="33"/>
    </row>
    <row r="229" customFormat="false" ht="15" hidden="false" customHeight="false" outlineLevel="0" collapsed="false">
      <c r="A229" s="33"/>
      <c r="B229" s="33"/>
      <c r="C229" s="33"/>
      <c r="D229" s="33"/>
      <c r="E229" s="33"/>
      <c r="F229" s="33"/>
      <c r="G229" s="33"/>
      <c r="H229" s="33"/>
      <c r="I229" s="33"/>
      <c r="J229" s="33"/>
      <c r="K229" s="33"/>
      <c r="L229" s="34"/>
      <c r="M229" s="34"/>
      <c r="N229" s="34"/>
      <c r="O229" s="34"/>
      <c r="P229" s="33"/>
      <c r="Q229" s="35"/>
      <c r="R229" s="33"/>
      <c r="S229" s="33"/>
      <c r="T229" s="33"/>
      <c r="U229" s="33"/>
      <c r="V229" s="33"/>
      <c r="W229" s="33"/>
    </row>
    <row r="230" customFormat="false" ht="15" hidden="false" customHeight="false" outlineLevel="0" collapsed="false">
      <c r="A230" s="33"/>
      <c r="B230" s="33"/>
      <c r="C230" s="33"/>
      <c r="D230" s="33"/>
      <c r="E230" s="33"/>
      <c r="F230" s="33"/>
      <c r="G230" s="33"/>
      <c r="H230" s="33"/>
      <c r="I230" s="33"/>
      <c r="J230" s="33"/>
      <c r="K230" s="33"/>
      <c r="L230" s="34"/>
      <c r="M230" s="34"/>
      <c r="N230" s="34"/>
      <c r="O230" s="34"/>
      <c r="P230" s="33"/>
      <c r="Q230" s="35"/>
      <c r="R230" s="33"/>
      <c r="S230" s="33"/>
      <c r="T230" s="33"/>
      <c r="U230" s="33"/>
      <c r="V230" s="33"/>
      <c r="W230" s="33"/>
    </row>
    <row r="231" customFormat="false" ht="15" hidden="false" customHeight="false" outlineLevel="0" collapsed="false">
      <c r="A231" s="33"/>
      <c r="B231" s="33"/>
      <c r="C231" s="33"/>
      <c r="D231" s="33"/>
      <c r="E231" s="33"/>
      <c r="F231" s="33"/>
      <c r="G231" s="33"/>
      <c r="H231" s="33"/>
      <c r="I231" s="33"/>
      <c r="J231" s="33"/>
      <c r="K231" s="33"/>
      <c r="L231" s="34"/>
      <c r="M231" s="34"/>
      <c r="N231" s="34"/>
      <c r="O231" s="34"/>
      <c r="P231" s="33"/>
      <c r="Q231" s="35"/>
      <c r="R231" s="33"/>
      <c r="S231" s="33"/>
      <c r="T231" s="33"/>
      <c r="U231" s="33"/>
      <c r="V231" s="33"/>
      <c r="W231" s="33"/>
    </row>
    <row r="232" customFormat="false" ht="15" hidden="false" customHeight="false" outlineLevel="0" collapsed="false">
      <c r="A232" s="33"/>
      <c r="B232" s="33"/>
      <c r="C232" s="33"/>
      <c r="D232" s="33"/>
      <c r="E232" s="33"/>
      <c r="F232" s="33"/>
      <c r="G232" s="33"/>
      <c r="H232" s="33"/>
      <c r="I232" s="33"/>
      <c r="J232" s="33"/>
      <c r="K232" s="33"/>
      <c r="L232" s="34"/>
      <c r="M232" s="34"/>
      <c r="N232" s="34"/>
      <c r="O232" s="34"/>
      <c r="P232" s="33"/>
      <c r="Q232" s="35"/>
      <c r="R232" s="33"/>
      <c r="S232" s="33"/>
      <c r="T232" s="33"/>
      <c r="U232" s="33"/>
      <c r="V232" s="33"/>
      <c r="W232" s="33"/>
    </row>
    <row r="233" customFormat="false" ht="15" hidden="false" customHeight="false" outlineLevel="0" collapsed="false">
      <c r="A233" s="33"/>
      <c r="B233" s="33"/>
      <c r="C233" s="33"/>
      <c r="D233" s="33"/>
      <c r="E233" s="33"/>
      <c r="F233" s="33"/>
      <c r="G233" s="33"/>
      <c r="H233" s="33"/>
      <c r="I233" s="33"/>
      <c r="J233" s="33"/>
      <c r="K233" s="33"/>
      <c r="L233" s="34"/>
      <c r="M233" s="34"/>
      <c r="N233" s="34"/>
      <c r="O233" s="34"/>
      <c r="P233" s="33"/>
      <c r="Q233" s="35"/>
      <c r="R233" s="33"/>
      <c r="S233" s="33"/>
      <c r="T233" s="33"/>
      <c r="U233" s="33"/>
      <c r="V233" s="33"/>
      <c r="W233" s="33"/>
    </row>
    <row r="234" customFormat="false" ht="15" hidden="false" customHeight="false" outlineLevel="0" collapsed="false">
      <c r="A234" s="33"/>
      <c r="B234" s="33"/>
      <c r="C234" s="33"/>
      <c r="D234" s="33"/>
      <c r="E234" s="33"/>
      <c r="F234" s="33"/>
      <c r="G234" s="33"/>
      <c r="H234" s="33"/>
      <c r="I234" s="33"/>
      <c r="J234" s="33"/>
      <c r="K234" s="33"/>
      <c r="L234" s="34"/>
      <c r="M234" s="34"/>
      <c r="N234" s="34"/>
      <c r="O234" s="34"/>
      <c r="P234" s="33"/>
      <c r="Q234" s="35"/>
      <c r="R234" s="33"/>
      <c r="S234" s="33"/>
      <c r="T234" s="33"/>
      <c r="U234" s="33"/>
      <c r="V234" s="33"/>
      <c r="W234" s="33"/>
    </row>
    <row r="235" customFormat="false" ht="15" hidden="false" customHeight="false" outlineLevel="0" collapsed="false">
      <c r="A235" s="33"/>
      <c r="B235" s="33"/>
      <c r="C235" s="33"/>
      <c r="D235" s="33"/>
      <c r="E235" s="33"/>
      <c r="F235" s="33"/>
      <c r="G235" s="33"/>
      <c r="H235" s="33"/>
      <c r="I235" s="33"/>
      <c r="J235" s="33"/>
      <c r="K235" s="33"/>
      <c r="L235" s="34"/>
      <c r="M235" s="34"/>
      <c r="N235" s="34"/>
      <c r="O235" s="34"/>
      <c r="P235" s="33"/>
      <c r="Q235" s="35"/>
      <c r="R235" s="33"/>
      <c r="S235" s="33"/>
      <c r="T235" s="33"/>
      <c r="U235" s="33"/>
      <c r="V235" s="33"/>
      <c r="W235" s="33"/>
    </row>
    <row r="236" customFormat="false" ht="15" hidden="false" customHeight="false" outlineLevel="0" collapsed="false">
      <c r="A236" s="33"/>
      <c r="B236" s="33"/>
      <c r="C236" s="33"/>
      <c r="D236" s="33"/>
      <c r="E236" s="33"/>
      <c r="F236" s="33"/>
      <c r="G236" s="33"/>
      <c r="H236" s="33"/>
      <c r="I236" s="33"/>
      <c r="J236" s="33"/>
      <c r="K236" s="33"/>
      <c r="L236" s="34"/>
      <c r="M236" s="34"/>
      <c r="N236" s="34"/>
      <c r="O236" s="34"/>
      <c r="P236" s="33"/>
      <c r="Q236" s="35"/>
      <c r="R236" s="33"/>
      <c r="S236" s="33"/>
      <c r="T236" s="33"/>
      <c r="U236" s="33"/>
      <c r="V236" s="33"/>
      <c r="W236" s="33"/>
    </row>
    <row r="237" customFormat="false" ht="15" hidden="false" customHeight="false" outlineLevel="0" collapsed="false">
      <c r="A237" s="33"/>
      <c r="B237" s="33"/>
      <c r="C237" s="33"/>
      <c r="D237" s="33"/>
      <c r="E237" s="33"/>
      <c r="F237" s="33"/>
      <c r="G237" s="33"/>
      <c r="H237" s="33"/>
      <c r="I237" s="33"/>
      <c r="J237" s="33"/>
      <c r="K237" s="33"/>
      <c r="L237" s="34"/>
      <c r="M237" s="34"/>
      <c r="N237" s="34"/>
      <c r="O237" s="34"/>
      <c r="P237" s="33"/>
      <c r="Q237" s="35"/>
      <c r="R237" s="33"/>
      <c r="S237" s="33"/>
      <c r="T237" s="33"/>
      <c r="U237" s="33"/>
      <c r="V237" s="33"/>
      <c r="W237" s="33"/>
    </row>
    <row r="238" customFormat="false" ht="15" hidden="false" customHeight="false" outlineLevel="0" collapsed="false">
      <c r="A238" s="33"/>
      <c r="B238" s="33"/>
      <c r="C238" s="33"/>
      <c r="D238" s="33"/>
      <c r="E238" s="33"/>
      <c r="F238" s="33"/>
      <c r="G238" s="33"/>
      <c r="H238" s="33"/>
      <c r="I238" s="33"/>
      <c r="J238" s="33"/>
      <c r="K238" s="33"/>
      <c r="L238" s="34"/>
      <c r="M238" s="34"/>
      <c r="N238" s="34"/>
      <c r="O238" s="34"/>
      <c r="P238" s="33"/>
      <c r="Q238" s="35"/>
      <c r="R238" s="33"/>
      <c r="S238" s="33"/>
      <c r="T238" s="33"/>
      <c r="U238" s="33"/>
      <c r="V238" s="33"/>
      <c r="W238" s="33"/>
    </row>
    <row r="239" customFormat="false" ht="15" hidden="false" customHeight="false" outlineLevel="0" collapsed="false">
      <c r="A239" s="33"/>
      <c r="B239" s="33"/>
      <c r="C239" s="33"/>
      <c r="D239" s="33"/>
      <c r="E239" s="33"/>
      <c r="F239" s="33"/>
      <c r="G239" s="33"/>
      <c r="H239" s="33"/>
      <c r="I239" s="33"/>
      <c r="J239" s="33"/>
      <c r="K239" s="33"/>
      <c r="L239" s="34"/>
      <c r="M239" s="34"/>
      <c r="N239" s="34"/>
      <c r="O239" s="34"/>
      <c r="P239" s="33"/>
      <c r="Q239" s="35"/>
      <c r="R239" s="33"/>
      <c r="S239" s="33"/>
      <c r="T239" s="33"/>
      <c r="U239" s="33"/>
      <c r="V239" s="33"/>
      <c r="W239" s="33"/>
    </row>
    <row r="240" customFormat="false" ht="15" hidden="false" customHeight="false" outlineLevel="0" collapsed="false">
      <c r="A240" s="33"/>
      <c r="B240" s="33"/>
      <c r="C240" s="33"/>
      <c r="D240" s="33"/>
      <c r="E240" s="33"/>
      <c r="F240" s="33"/>
      <c r="G240" s="33"/>
      <c r="H240" s="33"/>
      <c r="I240" s="33"/>
      <c r="J240" s="33"/>
      <c r="K240" s="33"/>
      <c r="L240" s="34"/>
      <c r="M240" s="34"/>
      <c r="N240" s="34"/>
      <c r="O240" s="34"/>
      <c r="P240" s="33"/>
      <c r="Q240" s="35"/>
      <c r="R240" s="33"/>
      <c r="S240" s="33"/>
      <c r="T240" s="33"/>
      <c r="U240" s="33"/>
      <c r="V240" s="33"/>
      <c r="W240" s="33"/>
    </row>
    <row r="241" customFormat="false" ht="15" hidden="false" customHeight="false" outlineLevel="0" collapsed="false">
      <c r="A241" s="33"/>
      <c r="B241" s="33"/>
      <c r="C241" s="33"/>
      <c r="D241" s="33"/>
      <c r="E241" s="33"/>
      <c r="F241" s="33"/>
      <c r="G241" s="33"/>
      <c r="H241" s="33"/>
      <c r="I241" s="33"/>
      <c r="J241" s="33"/>
      <c r="K241" s="33"/>
      <c r="L241" s="34"/>
      <c r="M241" s="34"/>
      <c r="N241" s="34"/>
      <c r="O241" s="34"/>
      <c r="P241" s="33"/>
      <c r="Q241" s="35"/>
      <c r="R241" s="33"/>
      <c r="S241" s="33"/>
      <c r="T241" s="33"/>
      <c r="U241" s="33"/>
      <c r="V241" s="33"/>
      <c r="W241" s="33"/>
    </row>
    <row r="242" customFormat="false" ht="15" hidden="false" customHeight="false" outlineLevel="0" collapsed="false">
      <c r="A242" s="33"/>
      <c r="B242" s="33"/>
      <c r="C242" s="33"/>
      <c r="D242" s="33"/>
      <c r="E242" s="33"/>
      <c r="F242" s="33"/>
      <c r="G242" s="33"/>
      <c r="H242" s="33"/>
      <c r="I242" s="33"/>
      <c r="J242" s="33"/>
      <c r="K242" s="33"/>
      <c r="L242" s="34"/>
      <c r="M242" s="34"/>
      <c r="N242" s="34"/>
      <c r="O242" s="34"/>
      <c r="P242" s="33"/>
      <c r="Q242" s="35"/>
      <c r="R242" s="33"/>
      <c r="S242" s="33"/>
      <c r="T242" s="33"/>
      <c r="U242" s="33"/>
      <c r="V242" s="33"/>
      <c r="W242" s="33"/>
    </row>
    <row r="243" customFormat="false" ht="15" hidden="false" customHeight="false" outlineLevel="0" collapsed="false">
      <c r="A243" s="33"/>
      <c r="B243" s="33"/>
      <c r="C243" s="33"/>
      <c r="D243" s="33"/>
      <c r="E243" s="33"/>
      <c r="F243" s="33"/>
      <c r="G243" s="33"/>
      <c r="H243" s="33"/>
      <c r="I243" s="33"/>
      <c r="J243" s="33"/>
      <c r="K243" s="33"/>
      <c r="L243" s="34"/>
      <c r="M243" s="34"/>
      <c r="N243" s="34"/>
      <c r="O243" s="34"/>
      <c r="P243" s="33"/>
      <c r="Q243" s="35"/>
      <c r="R243" s="33"/>
      <c r="S243" s="33"/>
      <c r="T243" s="33"/>
      <c r="U243" s="33"/>
      <c r="V243" s="33"/>
      <c r="W243" s="33"/>
    </row>
    <row r="244" customFormat="false" ht="15" hidden="false" customHeight="false" outlineLevel="0" collapsed="false">
      <c r="A244" s="33"/>
      <c r="B244" s="33"/>
      <c r="C244" s="33"/>
      <c r="D244" s="33"/>
      <c r="E244" s="33"/>
      <c r="F244" s="33"/>
      <c r="G244" s="33"/>
      <c r="H244" s="33"/>
      <c r="I244" s="33"/>
      <c r="J244" s="33"/>
      <c r="K244" s="33"/>
      <c r="L244" s="34"/>
      <c r="M244" s="34"/>
      <c r="N244" s="34"/>
      <c r="O244" s="34"/>
      <c r="P244" s="33"/>
      <c r="Q244" s="35"/>
      <c r="R244" s="33"/>
      <c r="S244" s="33"/>
      <c r="T244" s="33"/>
      <c r="U244" s="33"/>
      <c r="V244" s="33"/>
      <c r="W244" s="33"/>
    </row>
    <row r="245" customFormat="false" ht="15" hidden="false" customHeight="false" outlineLevel="0" collapsed="false">
      <c r="A245" s="33"/>
      <c r="B245" s="33"/>
      <c r="C245" s="33"/>
      <c r="D245" s="33"/>
      <c r="E245" s="33"/>
      <c r="F245" s="33"/>
      <c r="G245" s="33"/>
      <c r="H245" s="33"/>
      <c r="I245" s="33"/>
      <c r="J245" s="33"/>
      <c r="K245" s="33"/>
      <c r="L245" s="34"/>
      <c r="M245" s="34"/>
      <c r="N245" s="34"/>
      <c r="O245" s="34"/>
      <c r="P245" s="33"/>
      <c r="Q245" s="35"/>
      <c r="R245" s="33"/>
      <c r="S245" s="33"/>
      <c r="T245" s="33"/>
      <c r="U245" s="33"/>
      <c r="V245" s="33"/>
      <c r="W245" s="33"/>
    </row>
    <row r="246" customFormat="false" ht="15" hidden="false" customHeight="false" outlineLevel="0" collapsed="false">
      <c r="A246" s="33"/>
      <c r="B246" s="33"/>
      <c r="C246" s="33"/>
      <c r="D246" s="33"/>
      <c r="E246" s="33"/>
      <c r="F246" s="33"/>
      <c r="G246" s="33"/>
      <c r="H246" s="33"/>
      <c r="I246" s="33"/>
      <c r="J246" s="33"/>
      <c r="K246" s="33"/>
      <c r="L246" s="34"/>
      <c r="M246" s="34"/>
      <c r="N246" s="34"/>
      <c r="O246" s="34"/>
      <c r="P246" s="33"/>
      <c r="Q246" s="35"/>
      <c r="R246" s="33"/>
      <c r="S246" s="33"/>
      <c r="T246" s="33"/>
      <c r="U246" s="33"/>
      <c r="V246" s="33"/>
      <c r="W246" s="33"/>
    </row>
    <row r="247" customFormat="false" ht="15" hidden="false" customHeight="false" outlineLevel="0" collapsed="false">
      <c r="A247" s="33"/>
      <c r="B247" s="33"/>
      <c r="C247" s="33"/>
      <c r="D247" s="33"/>
      <c r="E247" s="33"/>
      <c r="F247" s="33"/>
      <c r="G247" s="33"/>
      <c r="H247" s="33"/>
      <c r="I247" s="33"/>
      <c r="J247" s="33"/>
      <c r="K247" s="33"/>
      <c r="L247" s="34"/>
      <c r="M247" s="34"/>
      <c r="N247" s="34"/>
      <c r="O247" s="34"/>
      <c r="P247" s="33"/>
      <c r="Q247" s="35"/>
      <c r="R247" s="33"/>
      <c r="S247" s="33"/>
      <c r="T247" s="33"/>
      <c r="U247" s="33"/>
      <c r="V247" s="33"/>
      <c r="W247" s="33"/>
    </row>
    <row r="248" customFormat="false" ht="15" hidden="false" customHeight="false" outlineLevel="0" collapsed="false">
      <c r="A248" s="33"/>
      <c r="B248" s="33"/>
      <c r="C248" s="33"/>
      <c r="D248" s="33"/>
      <c r="E248" s="33"/>
      <c r="F248" s="33"/>
      <c r="G248" s="33"/>
      <c r="H248" s="33"/>
      <c r="I248" s="33"/>
      <c r="J248" s="33"/>
      <c r="K248" s="33"/>
      <c r="L248" s="34"/>
      <c r="M248" s="34"/>
      <c r="N248" s="34"/>
      <c r="O248" s="34"/>
      <c r="P248" s="33"/>
      <c r="Q248" s="35"/>
      <c r="R248" s="33"/>
      <c r="S248" s="33"/>
      <c r="T248" s="33"/>
      <c r="U248" s="33"/>
      <c r="V248" s="33"/>
      <c r="W248" s="33"/>
    </row>
    <row r="249" customFormat="false" ht="15" hidden="false" customHeight="false" outlineLevel="0" collapsed="false">
      <c r="A249" s="33"/>
      <c r="B249" s="33"/>
      <c r="C249" s="33"/>
      <c r="D249" s="33"/>
      <c r="E249" s="33"/>
      <c r="F249" s="33"/>
      <c r="G249" s="33"/>
      <c r="H249" s="33"/>
      <c r="I249" s="33"/>
      <c r="J249" s="33"/>
      <c r="K249" s="33"/>
      <c r="L249" s="34"/>
      <c r="M249" s="34"/>
      <c r="N249" s="34"/>
      <c r="O249" s="34"/>
      <c r="P249" s="33"/>
      <c r="Q249" s="35"/>
      <c r="R249" s="33"/>
      <c r="S249" s="33"/>
      <c r="T249" s="33"/>
      <c r="U249" s="33"/>
      <c r="V249" s="33"/>
      <c r="W249" s="33"/>
    </row>
    <row r="250" customFormat="false" ht="15" hidden="false" customHeight="false" outlineLevel="0" collapsed="false">
      <c r="A250" s="33"/>
      <c r="B250" s="33"/>
      <c r="C250" s="33"/>
      <c r="D250" s="33"/>
      <c r="E250" s="33"/>
      <c r="F250" s="33"/>
      <c r="G250" s="33"/>
      <c r="H250" s="33"/>
      <c r="I250" s="33"/>
      <c r="J250" s="33"/>
      <c r="K250" s="33"/>
      <c r="L250" s="34"/>
      <c r="M250" s="34"/>
      <c r="N250" s="34"/>
      <c r="O250" s="34"/>
      <c r="P250" s="33"/>
      <c r="Q250" s="35"/>
      <c r="R250" s="33"/>
      <c r="S250" s="33"/>
      <c r="T250" s="33"/>
      <c r="U250" s="33"/>
      <c r="V250" s="33"/>
      <c r="W250" s="33"/>
    </row>
    <row r="251" customFormat="false" ht="15" hidden="false" customHeight="false" outlineLevel="0" collapsed="false">
      <c r="A251" s="33"/>
      <c r="B251" s="33"/>
      <c r="C251" s="33"/>
      <c r="D251" s="33"/>
      <c r="E251" s="33"/>
      <c r="F251" s="33"/>
      <c r="G251" s="33"/>
      <c r="H251" s="33"/>
      <c r="I251" s="33"/>
      <c r="J251" s="33"/>
      <c r="K251" s="33"/>
      <c r="L251" s="34"/>
      <c r="M251" s="34"/>
      <c r="N251" s="34"/>
      <c r="O251" s="34"/>
      <c r="P251" s="33"/>
      <c r="Q251" s="35"/>
      <c r="R251" s="33"/>
      <c r="S251" s="33"/>
      <c r="T251" s="33"/>
      <c r="U251" s="33"/>
      <c r="V251" s="33"/>
      <c r="W251" s="33"/>
    </row>
    <row r="252" customFormat="false" ht="15" hidden="false" customHeight="false" outlineLevel="0" collapsed="false">
      <c r="A252" s="33"/>
      <c r="B252" s="33"/>
      <c r="C252" s="33"/>
      <c r="D252" s="33"/>
      <c r="E252" s="33"/>
      <c r="F252" s="33"/>
      <c r="G252" s="33"/>
      <c r="H252" s="33"/>
      <c r="I252" s="33"/>
      <c r="J252" s="33"/>
      <c r="K252" s="33"/>
      <c r="L252" s="34"/>
      <c r="M252" s="34"/>
      <c r="N252" s="34"/>
      <c r="O252" s="34"/>
      <c r="P252" s="33"/>
      <c r="Q252" s="35"/>
      <c r="R252" s="33"/>
      <c r="S252" s="33"/>
      <c r="T252" s="33"/>
      <c r="U252" s="33"/>
      <c r="V252" s="33"/>
      <c r="W252" s="33"/>
    </row>
    <row r="253" customFormat="false" ht="15" hidden="false" customHeight="false" outlineLevel="0" collapsed="false">
      <c r="A253" s="33"/>
      <c r="B253" s="33"/>
      <c r="C253" s="33"/>
      <c r="D253" s="33"/>
      <c r="E253" s="33"/>
      <c r="F253" s="33"/>
      <c r="G253" s="33"/>
      <c r="H253" s="33"/>
      <c r="I253" s="33"/>
      <c r="J253" s="33"/>
      <c r="K253" s="33"/>
      <c r="L253" s="34"/>
      <c r="M253" s="34"/>
      <c r="N253" s="34"/>
      <c r="O253" s="34"/>
      <c r="P253" s="33"/>
      <c r="Q253" s="35"/>
      <c r="R253" s="33"/>
      <c r="S253" s="33"/>
      <c r="T253" s="33"/>
      <c r="U253" s="33"/>
      <c r="V253" s="33"/>
      <c r="W253" s="33"/>
    </row>
    <row r="254" customFormat="false" ht="15" hidden="false" customHeight="false" outlineLevel="0" collapsed="false">
      <c r="A254" s="33"/>
      <c r="B254" s="33"/>
      <c r="C254" s="33"/>
      <c r="D254" s="33"/>
      <c r="E254" s="33"/>
      <c r="F254" s="33"/>
      <c r="G254" s="33"/>
      <c r="H254" s="33"/>
      <c r="I254" s="33"/>
      <c r="J254" s="33"/>
      <c r="K254" s="33"/>
      <c r="L254" s="34"/>
      <c r="M254" s="34"/>
      <c r="N254" s="34"/>
      <c r="O254" s="34"/>
      <c r="P254" s="33"/>
      <c r="Q254" s="35"/>
      <c r="R254" s="33"/>
      <c r="S254" s="33"/>
      <c r="T254" s="33"/>
      <c r="U254" s="33"/>
      <c r="V254" s="33"/>
      <c r="W254" s="33"/>
    </row>
    <row r="255" customFormat="false" ht="15" hidden="false" customHeight="false" outlineLevel="0" collapsed="false">
      <c r="A255" s="33"/>
      <c r="B255" s="33"/>
      <c r="C255" s="33"/>
      <c r="D255" s="33"/>
      <c r="E255" s="33"/>
      <c r="F255" s="33"/>
      <c r="G255" s="33"/>
      <c r="H255" s="33"/>
      <c r="I255" s="33"/>
      <c r="J255" s="33"/>
      <c r="K255" s="33"/>
      <c r="L255" s="34"/>
      <c r="M255" s="34"/>
      <c r="N255" s="34"/>
      <c r="O255" s="34"/>
      <c r="P255" s="33"/>
      <c r="Q255" s="35"/>
      <c r="R255" s="33"/>
      <c r="S255" s="33"/>
      <c r="T255" s="33"/>
      <c r="U255" s="33"/>
      <c r="V255" s="33"/>
      <c r="W255" s="33"/>
    </row>
    <row r="256" customFormat="false" ht="15" hidden="false" customHeight="false" outlineLevel="0" collapsed="false">
      <c r="A256" s="33"/>
      <c r="B256" s="33"/>
      <c r="C256" s="33"/>
      <c r="D256" s="33"/>
      <c r="E256" s="33"/>
      <c r="F256" s="33"/>
      <c r="G256" s="33"/>
      <c r="H256" s="33"/>
      <c r="I256" s="33"/>
      <c r="J256" s="33"/>
      <c r="K256" s="33"/>
      <c r="L256" s="34"/>
      <c r="M256" s="34"/>
      <c r="N256" s="34"/>
      <c r="O256" s="34"/>
      <c r="P256" s="33"/>
      <c r="Q256" s="35"/>
      <c r="R256" s="33"/>
      <c r="S256" s="33"/>
      <c r="T256" s="33"/>
      <c r="U256" s="33"/>
      <c r="V256" s="33"/>
      <c r="W256" s="33"/>
    </row>
    <row r="257" customFormat="false" ht="15" hidden="false" customHeight="false" outlineLevel="0" collapsed="false">
      <c r="A257" s="33"/>
      <c r="B257" s="33"/>
      <c r="C257" s="33"/>
      <c r="D257" s="33"/>
      <c r="E257" s="33"/>
      <c r="F257" s="33"/>
      <c r="G257" s="33"/>
      <c r="H257" s="33"/>
      <c r="I257" s="33"/>
      <c r="J257" s="33"/>
      <c r="K257" s="33"/>
      <c r="L257" s="34"/>
      <c r="M257" s="34"/>
      <c r="N257" s="34"/>
      <c r="O257" s="34"/>
      <c r="P257" s="33"/>
      <c r="Q257" s="35"/>
      <c r="R257" s="33"/>
      <c r="S257" s="33"/>
      <c r="T257" s="33"/>
      <c r="U257" s="33"/>
      <c r="V257" s="33"/>
      <c r="W257" s="33"/>
    </row>
    <row r="258" customFormat="false" ht="15" hidden="false" customHeight="false" outlineLevel="0" collapsed="false">
      <c r="A258" s="33"/>
      <c r="B258" s="33"/>
      <c r="C258" s="33"/>
      <c r="D258" s="33"/>
      <c r="E258" s="33"/>
      <c r="F258" s="33"/>
      <c r="G258" s="33"/>
      <c r="H258" s="33"/>
      <c r="I258" s="33"/>
      <c r="J258" s="33"/>
      <c r="K258" s="33"/>
      <c r="L258" s="34"/>
      <c r="M258" s="34"/>
      <c r="N258" s="34"/>
      <c r="O258" s="34"/>
      <c r="P258" s="33"/>
      <c r="Q258" s="35"/>
      <c r="R258" s="33"/>
      <c r="S258" s="33"/>
      <c r="T258" s="33"/>
      <c r="U258" s="33"/>
      <c r="V258" s="33"/>
      <c r="W258" s="33"/>
    </row>
    <row r="259" customFormat="false" ht="15" hidden="false" customHeight="false" outlineLevel="0" collapsed="false">
      <c r="A259" s="33"/>
      <c r="B259" s="33"/>
      <c r="C259" s="33"/>
      <c r="D259" s="33"/>
      <c r="E259" s="33"/>
      <c r="F259" s="33"/>
      <c r="G259" s="33"/>
      <c r="H259" s="33"/>
      <c r="I259" s="33"/>
      <c r="J259" s="33"/>
      <c r="K259" s="33"/>
      <c r="L259" s="34"/>
      <c r="M259" s="34"/>
      <c r="N259" s="34"/>
      <c r="O259" s="34"/>
      <c r="P259" s="33"/>
      <c r="Q259" s="35"/>
      <c r="R259" s="33"/>
      <c r="S259" s="33"/>
      <c r="T259" s="33"/>
      <c r="U259" s="33"/>
      <c r="V259" s="33"/>
      <c r="W259" s="33"/>
    </row>
    <row r="260" customFormat="false" ht="15" hidden="false" customHeight="false" outlineLevel="0" collapsed="false">
      <c r="A260" s="33"/>
      <c r="B260" s="33"/>
      <c r="C260" s="33"/>
      <c r="D260" s="33"/>
      <c r="E260" s="33"/>
      <c r="F260" s="33"/>
      <c r="G260" s="33"/>
      <c r="H260" s="33"/>
      <c r="I260" s="33"/>
      <c r="J260" s="33"/>
      <c r="K260" s="33"/>
      <c r="L260" s="34"/>
      <c r="M260" s="34"/>
      <c r="N260" s="34"/>
      <c r="O260" s="34"/>
      <c r="P260" s="33"/>
      <c r="Q260" s="35"/>
      <c r="R260" s="33"/>
      <c r="S260" s="33"/>
      <c r="T260" s="33"/>
      <c r="U260" s="33"/>
      <c r="V260" s="33"/>
      <c r="W260" s="33"/>
    </row>
    <row r="261" customFormat="false" ht="15" hidden="false" customHeight="false" outlineLevel="0" collapsed="false">
      <c r="A261" s="33"/>
      <c r="B261" s="33"/>
      <c r="C261" s="33"/>
      <c r="D261" s="33"/>
      <c r="E261" s="33"/>
      <c r="F261" s="33"/>
      <c r="G261" s="33"/>
      <c r="H261" s="33"/>
      <c r="I261" s="33"/>
      <c r="J261" s="33"/>
      <c r="K261" s="33"/>
      <c r="L261" s="34"/>
      <c r="M261" s="34"/>
      <c r="N261" s="34"/>
      <c r="O261" s="34"/>
      <c r="P261" s="33"/>
      <c r="Q261" s="35"/>
      <c r="R261" s="33"/>
      <c r="S261" s="33"/>
      <c r="T261" s="33"/>
      <c r="U261" s="33"/>
      <c r="V261" s="33"/>
      <c r="W261" s="33"/>
    </row>
    <row r="262" customFormat="false" ht="15" hidden="false" customHeight="false" outlineLevel="0" collapsed="false">
      <c r="A262" s="33"/>
      <c r="B262" s="33"/>
      <c r="C262" s="33"/>
      <c r="D262" s="33"/>
      <c r="E262" s="33"/>
      <c r="F262" s="33"/>
      <c r="G262" s="33"/>
      <c r="H262" s="33"/>
      <c r="I262" s="33"/>
      <c r="J262" s="33"/>
      <c r="K262" s="33"/>
      <c r="L262" s="34"/>
      <c r="M262" s="34"/>
      <c r="N262" s="34"/>
      <c r="O262" s="34"/>
      <c r="P262" s="33"/>
      <c r="Q262" s="35"/>
      <c r="R262" s="33"/>
      <c r="S262" s="33"/>
      <c r="T262" s="33"/>
      <c r="U262" s="33"/>
      <c r="V262" s="33"/>
      <c r="W262" s="33"/>
    </row>
    <row r="263" customFormat="false" ht="15" hidden="false" customHeight="false" outlineLevel="0" collapsed="false">
      <c r="A263" s="33"/>
      <c r="B263" s="33"/>
      <c r="C263" s="33"/>
      <c r="D263" s="33"/>
      <c r="E263" s="33"/>
      <c r="F263" s="33"/>
      <c r="G263" s="33"/>
      <c r="H263" s="33"/>
      <c r="I263" s="33"/>
      <c r="J263" s="33"/>
      <c r="K263" s="33"/>
      <c r="L263" s="34"/>
      <c r="M263" s="34"/>
      <c r="N263" s="34"/>
      <c r="O263" s="34"/>
      <c r="P263" s="33"/>
      <c r="Q263" s="35"/>
      <c r="R263" s="33"/>
      <c r="S263" s="33"/>
      <c r="T263" s="33"/>
      <c r="U263" s="33"/>
      <c r="V263" s="33"/>
      <c r="W263" s="33"/>
    </row>
    <row r="264" customFormat="false" ht="15" hidden="false" customHeight="false" outlineLevel="0" collapsed="false">
      <c r="A264" s="33"/>
      <c r="B264" s="33"/>
      <c r="C264" s="33"/>
      <c r="D264" s="33"/>
      <c r="E264" s="33"/>
      <c r="F264" s="33"/>
      <c r="G264" s="33"/>
      <c r="H264" s="33"/>
      <c r="I264" s="33"/>
      <c r="J264" s="33"/>
      <c r="K264" s="33"/>
      <c r="L264" s="34"/>
      <c r="M264" s="34"/>
      <c r="N264" s="34"/>
      <c r="O264" s="34"/>
      <c r="P264" s="33"/>
      <c r="Q264" s="35"/>
      <c r="R264" s="33"/>
      <c r="S264" s="33"/>
      <c r="T264" s="33"/>
      <c r="U264" s="33"/>
      <c r="V264" s="33"/>
      <c r="W264" s="33"/>
    </row>
    <row r="265" customFormat="false" ht="15" hidden="false" customHeight="false" outlineLevel="0" collapsed="false">
      <c r="A265" s="33"/>
      <c r="B265" s="33"/>
      <c r="C265" s="33"/>
      <c r="D265" s="33"/>
      <c r="E265" s="33"/>
      <c r="F265" s="33"/>
      <c r="G265" s="33"/>
      <c r="H265" s="33"/>
      <c r="I265" s="33"/>
      <c r="J265" s="33"/>
      <c r="K265" s="33"/>
      <c r="L265" s="34"/>
      <c r="M265" s="34"/>
      <c r="N265" s="34"/>
      <c r="O265" s="34"/>
      <c r="P265" s="33"/>
      <c r="Q265" s="35"/>
      <c r="R265" s="33"/>
      <c r="S265" s="33"/>
      <c r="T265" s="33"/>
      <c r="U265" s="33"/>
      <c r="V265" s="33"/>
      <c r="W265" s="33"/>
    </row>
    <row r="266" customFormat="false" ht="15" hidden="false" customHeight="false" outlineLevel="0" collapsed="false">
      <c r="A266" s="33"/>
      <c r="B266" s="33"/>
      <c r="C266" s="33"/>
      <c r="D266" s="33"/>
      <c r="E266" s="33"/>
      <c r="F266" s="33"/>
      <c r="G266" s="33"/>
      <c r="H266" s="33"/>
      <c r="I266" s="33"/>
      <c r="J266" s="33"/>
      <c r="K266" s="33"/>
      <c r="L266" s="34"/>
      <c r="M266" s="34"/>
      <c r="N266" s="34"/>
      <c r="O266" s="34"/>
      <c r="P266" s="33"/>
      <c r="Q266" s="35"/>
      <c r="R266" s="33"/>
      <c r="S266" s="33"/>
      <c r="T266" s="33"/>
      <c r="U266" s="33"/>
      <c r="V266" s="33"/>
      <c r="W266" s="33"/>
    </row>
    <row r="267" customFormat="false" ht="15" hidden="false" customHeight="false" outlineLevel="0" collapsed="false">
      <c r="A267" s="33"/>
      <c r="B267" s="33"/>
      <c r="C267" s="33"/>
      <c r="D267" s="33"/>
      <c r="E267" s="33"/>
      <c r="F267" s="33"/>
      <c r="G267" s="33"/>
      <c r="H267" s="33"/>
      <c r="I267" s="33"/>
      <c r="J267" s="33"/>
      <c r="K267" s="33"/>
      <c r="L267" s="34"/>
      <c r="M267" s="34"/>
      <c r="N267" s="34"/>
      <c r="O267" s="34"/>
      <c r="P267" s="33"/>
      <c r="Q267" s="35"/>
      <c r="R267" s="33"/>
      <c r="S267" s="33"/>
      <c r="T267" s="33"/>
      <c r="U267" s="33"/>
      <c r="V267" s="33"/>
      <c r="W267" s="33"/>
    </row>
    <row r="268" customFormat="false" ht="15" hidden="false" customHeight="false" outlineLevel="0" collapsed="false">
      <c r="A268" s="33"/>
      <c r="B268" s="33"/>
      <c r="C268" s="33"/>
      <c r="D268" s="33"/>
      <c r="E268" s="33"/>
      <c r="F268" s="33"/>
      <c r="G268" s="33"/>
      <c r="H268" s="33"/>
      <c r="I268" s="33"/>
      <c r="J268" s="33"/>
      <c r="K268" s="33"/>
      <c r="L268" s="34"/>
      <c r="M268" s="34"/>
      <c r="N268" s="34"/>
      <c r="O268" s="34"/>
      <c r="P268" s="33"/>
      <c r="Q268" s="35"/>
      <c r="R268" s="33"/>
      <c r="S268" s="33"/>
      <c r="T268" s="33"/>
      <c r="U268" s="33"/>
      <c r="V268" s="33"/>
      <c r="W268" s="33"/>
    </row>
    <row r="269" customFormat="false" ht="15" hidden="false" customHeight="false" outlineLevel="0" collapsed="false">
      <c r="A269" s="33"/>
      <c r="B269" s="33"/>
      <c r="C269" s="33"/>
      <c r="D269" s="33"/>
      <c r="E269" s="33"/>
      <c r="F269" s="33"/>
      <c r="G269" s="33"/>
      <c r="H269" s="33"/>
      <c r="I269" s="33"/>
      <c r="J269" s="33"/>
      <c r="K269" s="33"/>
      <c r="L269" s="34"/>
      <c r="M269" s="34"/>
      <c r="N269" s="34"/>
      <c r="O269" s="34"/>
      <c r="P269" s="33"/>
      <c r="Q269" s="35"/>
      <c r="R269" s="33"/>
      <c r="S269" s="33"/>
      <c r="T269" s="33"/>
      <c r="U269" s="33"/>
      <c r="V269" s="33"/>
      <c r="W269" s="33"/>
    </row>
    <row r="270" customFormat="false" ht="15" hidden="false" customHeight="false" outlineLevel="0" collapsed="false">
      <c r="A270" s="33"/>
      <c r="B270" s="33"/>
      <c r="C270" s="33"/>
      <c r="D270" s="33"/>
      <c r="E270" s="33"/>
      <c r="F270" s="33"/>
      <c r="G270" s="33"/>
      <c r="H270" s="33"/>
      <c r="I270" s="33"/>
      <c r="J270" s="33"/>
      <c r="K270" s="33"/>
      <c r="L270" s="34"/>
      <c r="M270" s="34"/>
      <c r="N270" s="34"/>
      <c r="O270" s="34"/>
      <c r="P270" s="33"/>
      <c r="Q270" s="35"/>
      <c r="R270" s="33"/>
      <c r="S270" s="33"/>
      <c r="T270" s="33"/>
      <c r="U270" s="33"/>
      <c r="V270" s="33"/>
      <c r="W270" s="33"/>
    </row>
    <row r="271" customFormat="false" ht="15" hidden="false" customHeight="false" outlineLevel="0" collapsed="false">
      <c r="A271" s="33"/>
      <c r="B271" s="33"/>
      <c r="C271" s="33"/>
      <c r="D271" s="33"/>
      <c r="E271" s="33"/>
      <c r="F271" s="33"/>
      <c r="G271" s="33"/>
      <c r="H271" s="33"/>
      <c r="I271" s="33"/>
      <c r="J271" s="33"/>
      <c r="K271" s="33"/>
      <c r="L271" s="34"/>
      <c r="M271" s="34"/>
      <c r="N271" s="34"/>
      <c r="O271" s="34"/>
      <c r="P271" s="33"/>
      <c r="Q271" s="35"/>
      <c r="R271" s="33"/>
      <c r="S271" s="33"/>
      <c r="T271" s="33"/>
      <c r="U271" s="33"/>
      <c r="V271" s="33"/>
      <c r="W271" s="33"/>
    </row>
    <row r="272" customFormat="false" ht="15" hidden="false" customHeight="false" outlineLevel="0" collapsed="false">
      <c r="A272" s="33"/>
      <c r="B272" s="33"/>
      <c r="C272" s="33"/>
      <c r="D272" s="33"/>
      <c r="E272" s="33"/>
      <c r="F272" s="33"/>
      <c r="G272" s="33"/>
      <c r="H272" s="33"/>
      <c r="I272" s="33"/>
      <c r="J272" s="33"/>
      <c r="K272" s="33"/>
      <c r="L272" s="34"/>
      <c r="M272" s="34"/>
      <c r="N272" s="34"/>
      <c r="O272" s="34"/>
      <c r="P272" s="33"/>
      <c r="Q272" s="35"/>
      <c r="R272" s="33"/>
      <c r="S272" s="33"/>
      <c r="T272" s="33"/>
      <c r="U272" s="33"/>
      <c r="V272" s="33"/>
      <c r="W272" s="33"/>
    </row>
    <row r="273" customFormat="false" ht="15" hidden="false" customHeight="false" outlineLevel="0" collapsed="false">
      <c r="A273" s="33"/>
      <c r="B273" s="33"/>
      <c r="C273" s="33"/>
      <c r="D273" s="33"/>
      <c r="E273" s="33"/>
      <c r="F273" s="33"/>
      <c r="G273" s="33"/>
      <c r="H273" s="33"/>
      <c r="I273" s="33"/>
      <c r="J273" s="33"/>
      <c r="K273" s="33"/>
      <c r="L273" s="34"/>
      <c r="M273" s="34"/>
      <c r="N273" s="34"/>
      <c r="O273" s="34"/>
      <c r="P273" s="33"/>
      <c r="Q273" s="35"/>
      <c r="R273" s="33"/>
      <c r="S273" s="33"/>
      <c r="T273" s="33"/>
      <c r="U273" s="33"/>
      <c r="V273" s="33"/>
      <c r="W273" s="33"/>
    </row>
    <row r="274" customFormat="false" ht="15" hidden="false" customHeight="false" outlineLevel="0" collapsed="false">
      <c r="A274" s="33"/>
      <c r="B274" s="33"/>
      <c r="C274" s="33"/>
      <c r="D274" s="33"/>
      <c r="E274" s="33"/>
      <c r="F274" s="33"/>
      <c r="G274" s="33"/>
      <c r="H274" s="33"/>
      <c r="I274" s="33"/>
      <c r="J274" s="33"/>
      <c r="K274" s="33"/>
      <c r="L274" s="34"/>
      <c r="M274" s="34"/>
      <c r="N274" s="34"/>
      <c r="O274" s="34"/>
      <c r="P274" s="33"/>
      <c r="Q274" s="35"/>
      <c r="R274" s="33"/>
      <c r="S274" s="33"/>
      <c r="T274" s="33"/>
      <c r="U274" s="33"/>
      <c r="V274" s="33"/>
      <c r="W274" s="33"/>
    </row>
    <row r="275" customFormat="false" ht="15" hidden="false" customHeight="false" outlineLevel="0" collapsed="false">
      <c r="A275" s="33"/>
      <c r="B275" s="33"/>
      <c r="C275" s="33"/>
      <c r="D275" s="33"/>
      <c r="E275" s="33"/>
      <c r="F275" s="33"/>
      <c r="G275" s="33"/>
      <c r="H275" s="33"/>
      <c r="I275" s="33"/>
      <c r="J275" s="33"/>
      <c r="K275" s="33"/>
      <c r="L275" s="34"/>
      <c r="M275" s="34"/>
      <c r="N275" s="34"/>
      <c r="O275" s="34"/>
      <c r="P275" s="33"/>
      <c r="Q275" s="35"/>
      <c r="R275" s="33"/>
      <c r="S275" s="33"/>
      <c r="T275" s="33"/>
      <c r="U275" s="33"/>
      <c r="V275" s="33"/>
      <c r="W275" s="33"/>
    </row>
    <row r="276" customFormat="false" ht="15" hidden="false" customHeight="false" outlineLevel="0" collapsed="false">
      <c r="A276" s="33"/>
      <c r="B276" s="33"/>
      <c r="C276" s="33"/>
      <c r="D276" s="33"/>
      <c r="E276" s="33"/>
      <c r="F276" s="33"/>
      <c r="G276" s="33"/>
      <c r="H276" s="33"/>
      <c r="I276" s="33"/>
      <c r="J276" s="33"/>
      <c r="K276" s="33"/>
      <c r="L276" s="34"/>
      <c r="M276" s="34"/>
      <c r="N276" s="34"/>
      <c r="O276" s="34"/>
      <c r="P276" s="33"/>
      <c r="Q276" s="35"/>
      <c r="R276" s="33"/>
      <c r="S276" s="33"/>
      <c r="T276" s="33"/>
      <c r="U276" s="33"/>
      <c r="V276" s="33"/>
      <c r="W276" s="33"/>
    </row>
    <row r="277" customFormat="false" ht="15" hidden="false" customHeight="false" outlineLevel="0" collapsed="false">
      <c r="A277" s="33"/>
      <c r="B277" s="33"/>
      <c r="C277" s="33"/>
      <c r="D277" s="33"/>
      <c r="E277" s="33"/>
      <c r="F277" s="33"/>
      <c r="G277" s="33"/>
      <c r="H277" s="33"/>
      <c r="I277" s="33"/>
      <c r="J277" s="33"/>
      <c r="K277" s="33"/>
      <c r="L277" s="34"/>
      <c r="M277" s="34"/>
      <c r="N277" s="34"/>
      <c r="O277" s="34"/>
      <c r="P277" s="33"/>
      <c r="Q277" s="35"/>
      <c r="R277" s="33"/>
      <c r="S277" s="33"/>
      <c r="T277" s="33"/>
      <c r="U277" s="33"/>
      <c r="V277" s="33"/>
      <c r="W277" s="33"/>
    </row>
    <row r="278" customFormat="false" ht="15" hidden="false" customHeight="false" outlineLevel="0" collapsed="false">
      <c r="A278" s="33"/>
      <c r="B278" s="33"/>
      <c r="C278" s="33"/>
      <c r="D278" s="33"/>
      <c r="E278" s="33"/>
      <c r="F278" s="33"/>
      <c r="G278" s="33"/>
      <c r="H278" s="33"/>
      <c r="I278" s="33"/>
      <c r="J278" s="33"/>
      <c r="K278" s="33"/>
      <c r="L278" s="34"/>
      <c r="M278" s="34"/>
      <c r="N278" s="34"/>
      <c r="O278" s="34"/>
      <c r="P278" s="33"/>
      <c r="Q278" s="35"/>
      <c r="R278" s="33"/>
      <c r="S278" s="33"/>
      <c r="T278" s="33"/>
      <c r="U278" s="33"/>
      <c r="V278" s="33"/>
      <c r="W278" s="33"/>
    </row>
    <row r="279" customFormat="false" ht="15" hidden="false" customHeight="false" outlineLevel="0" collapsed="false">
      <c r="A279" s="33"/>
      <c r="B279" s="33"/>
      <c r="C279" s="33"/>
      <c r="D279" s="33"/>
      <c r="E279" s="33"/>
      <c r="F279" s="33"/>
      <c r="G279" s="33"/>
      <c r="H279" s="33"/>
      <c r="I279" s="33"/>
      <c r="J279" s="33"/>
      <c r="K279" s="33"/>
      <c r="L279" s="34"/>
      <c r="M279" s="34"/>
      <c r="N279" s="34"/>
      <c r="O279" s="34"/>
      <c r="P279" s="33"/>
      <c r="Q279" s="35"/>
      <c r="R279" s="33"/>
      <c r="S279" s="33"/>
      <c r="T279" s="33"/>
      <c r="U279" s="33"/>
      <c r="V279" s="33"/>
      <c r="W279" s="33"/>
    </row>
    <row r="280" customFormat="false" ht="15" hidden="false" customHeight="false" outlineLevel="0" collapsed="false">
      <c r="A280" s="33"/>
      <c r="B280" s="33"/>
      <c r="C280" s="33"/>
      <c r="D280" s="33"/>
      <c r="E280" s="33"/>
      <c r="F280" s="33"/>
      <c r="G280" s="33"/>
      <c r="H280" s="33"/>
      <c r="I280" s="33"/>
      <c r="J280" s="33"/>
      <c r="K280" s="33"/>
      <c r="L280" s="34"/>
      <c r="M280" s="34"/>
      <c r="N280" s="34"/>
      <c r="O280" s="34"/>
      <c r="P280" s="33"/>
      <c r="Q280" s="35"/>
      <c r="R280" s="33"/>
      <c r="S280" s="33"/>
      <c r="T280" s="33"/>
      <c r="U280" s="33"/>
      <c r="V280" s="33"/>
      <c r="W280" s="33"/>
    </row>
    <row r="281" customFormat="false" ht="15" hidden="false" customHeight="false" outlineLevel="0" collapsed="false">
      <c r="A281" s="33"/>
      <c r="B281" s="33"/>
      <c r="C281" s="33"/>
      <c r="D281" s="33"/>
      <c r="E281" s="33"/>
      <c r="F281" s="33"/>
      <c r="G281" s="33"/>
      <c r="H281" s="33"/>
      <c r="I281" s="33"/>
      <c r="J281" s="33"/>
      <c r="K281" s="33"/>
      <c r="L281" s="34"/>
      <c r="M281" s="34"/>
      <c r="N281" s="34"/>
      <c r="O281" s="34"/>
      <c r="P281" s="33"/>
      <c r="Q281" s="35"/>
      <c r="R281" s="33"/>
      <c r="S281" s="33"/>
      <c r="T281" s="33"/>
      <c r="U281" s="33"/>
      <c r="V281" s="33"/>
      <c r="W281" s="33"/>
    </row>
    <row r="282" customFormat="false" ht="15" hidden="false" customHeight="false" outlineLevel="0" collapsed="false">
      <c r="A282" s="33"/>
      <c r="B282" s="33"/>
      <c r="C282" s="33"/>
      <c r="D282" s="33"/>
      <c r="E282" s="33"/>
      <c r="F282" s="33"/>
      <c r="G282" s="33"/>
      <c r="H282" s="33"/>
      <c r="I282" s="33"/>
      <c r="J282" s="33"/>
      <c r="K282" s="33"/>
      <c r="L282" s="34"/>
      <c r="M282" s="34"/>
      <c r="N282" s="34"/>
      <c r="O282" s="34"/>
      <c r="P282" s="33"/>
      <c r="Q282" s="35"/>
      <c r="R282" s="33"/>
      <c r="S282" s="33"/>
      <c r="T282" s="33"/>
      <c r="U282" s="33"/>
      <c r="V282" s="33"/>
      <c r="W282" s="33"/>
    </row>
    <row r="283" customFormat="false" ht="15" hidden="false" customHeight="false" outlineLevel="0" collapsed="false">
      <c r="A283" s="33"/>
      <c r="B283" s="33"/>
      <c r="C283" s="33"/>
      <c r="D283" s="33"/>
      <c r="E283" s="33"/>
      <c r="F283" s="33"/>
      <c r="G283" s="33"/>
      <c r="H283" s="33"/>
      <c r="I283" s="33"/>
      <c r="J283" s="33"/>
      <c r="K283" s="33"/>
      <c r="L283" s="34"/>
      <c r="M283" s="34"/>
      <c r="N283" s="34"/>
      <c r="O283" s="34"/>
      <c r="P283" s="33"/>
      <c r="Q283" s="35"/>
      <c r="R283" s="33"/>
      <c r="S283" s="33"/>
      <c r="T283" s="33"/>
      <c r="U283" s="33"/>
      <c r="V283" s="33"/>
      <c r="W283" s="33"/>
    </row>
    <row r="284" customFormat="false" ht="15" hidden="false" customHeight="false" outlineLevel="0" collapsed="false">
      <c r="A284" s="33"/>
      <c r="B284" s="33"/>
      <c r="C284" s="33"/>
      <c r="D284" s="33"/>
      <c r="E284" s="33"/>
      <c r="F284" s="33"/>
      <c r="G284" s="33"/>
      <c r="H284" s="33"/>
      <c r="I284" s="33"/>
      <c r="J284" s="33"/>
      <c r="K284" s="33"/>
      <c r="L284" s="34"/>
      <c r="M284" s="34"/>
      <c r="N284" s="34"/>
      <c r="O284" s="34"/>
      <c r="P284" s="33"/>
      <c r="Q284" s="35"/>
      <c r="R284" s="33"/>
      <c r="S284" s="33"/>
      <c r="T284" s="33"/>
      <c r="U284" s="33"/>
      <c r="V284" s="33"/>
      <c r="W284" s="33"/>
    </row>
    <row r="285" customFormat="false" ht="15" hidden="false" customHeight="false" outlineLevel="0" collapsed="false">
      <c r="A285" s="33"/>
      <c r="B285" s="33"/>
      <c r="C285" s="33"/>
      <c r="D285" s="33"/>
      <c r="E285" s="33"/>
      <c r="F285" s="33"/>
      <c r="G285" s="33"/>
      <c r="H285" s="33"/>
      <c r="I285" s="33"/>
      <c r="J285" s="33"/>
      <c r="K285" s="33"/>
      <c r="L285" s="34"/>
      <c r="M285" s="34"/>
      <c r="N285" s="34"/>
      <c r="O285" s="34"/>
      <c r="P285" s="33"/>
      <c r="Q285" s="35"/>
      <c r="R285" s="33"/>
      <c r="S285" s="33"/>
      <c r="T285" s="33"/>
      <c r="U285" s="33"/>
      <c r="V285" s="33"/>
      <c r="W285" s="33"/>
    </row>
    <row r="286" customFormat="false" ht="15" hidden="false" customHeight="false" outlineLevel="0" collapsed="false">
      <c r="A286" s="33"/>
      <c r="B286" s="33"/>
      <c r="C286" s="33"/>
      <c r="D286" s="33"/>
      <c r="E286" s="33"/>
      <c r="F286" s="33"/>
      <c r="G286" s="33"/>
      <c r="H286" s="33"/>
      <c r="I286" s="33"/>
      <c r="J286" s="33"/>
      <c r="K286" s="33"/>
      <c r="L286" s="34"/>
      <c r="M286" s="34"/>
      <c r="N286" s="34"/>
      <c r="O286" s="34"/>
      <c r="P286" s="33"/>
      <c r="Q286" s="35"/>
      <c r="R286" s="33"/>
      <c r="S286" s="33"/>
      <c r="T286" s="33"/>
      <c r="U286" s="33"/>
      <c r="V286" s="33"/>
      <c r="W286" s="33"/>
    </row>
    <row r="287" customFormat="false" ht="15" hidden="false" customHeight="false" outlineLevel="0" collapsed="false">
      <c r="A287" s="33"/>
      <c r="B287" s="33"/>
      <c r="C287" s="33"/>
      <c r="D287" s="33"/>
      <c r="E287" s="33"/>
      <c r="F287" s="33"/>
      <c r="G287" s="33"/>
      <c r="H287" s="33"/>
      <c r="I287" s="33"/>
      <c r="J287" s="33"/>
      <c r="K287" s="33"/>
      <c r="L287" s="34"/>
      <c r="M287" s="34"/>
      <c r="N287" s="34"/>
      <c r="O287" s="34"/>
      <c r="P287" s="33"/>
      <c r="Q287" s="35"/>
      <c r="R287" s="33"/>
      <c r="S287" s="33"/>
      <c r="T287" s="33"/>
      <c r="U287" s="33"/>
      <c r="V287" s="33"/>
      <c r="W287" s="33"/>
    </row>
    <row r="288" customFormat="false" ht="15" hidden="false" customHeight="false" outlineLevel="0" collapsed="false">
      <c r="A288" s="33"/>
      <c r="B288" s="33"/>
      <c r="C288" s="33"/>
      <c r="D288" s="33"/>
      <c r="E288" s="33"/>
      <c r="F288" s="33"/>
      <c r="G288" s="33"/>
      <c r="H288" s="33"/>
      <c r="I288" s="33"/>
      <c r="J288" s="33"/>
      <c r="K288" s="33"/>
      <c r="L288" s="34"/>
      <c r="M288" s="34"/>
      <c r="N288" s="34"/>
      <c r="O288" s="34"/>
      <c r="P288" s="33"/>
      <c r="Q288" s="35"/>
      <c r="R288" s="33"/>
      <c r="S288" s="33"/>
      <c r="T288" s="33"/>
      <c r="U288" s="33"/>
      <c r="V288" s="33"/>
      <c r="W288" s="33"/>
    </row>
    <row r="289" customFormat="false" ht="15" hidden="false" customHeight="false" outlineLevel="0" collapsed="false">
      <c r="A289" s="33"/>
      <c r="B289" s="33"/>
      <c r="C289" s="33"/>
      <c r="D289" s="33"/>
      <c r="E289" s="33"/>
      <c r="F289" s="33"/>
      <c r="G289" s="33"/>
      <c r="H289" s="33"/>
      <c r="I289" s="33"/>
      <c r="J289" s="33"/>
      <c r="K289" s="33"/>
      <c r="L289" s="34"/>
      <c r="M289" s="34"/>
      <c r="N289" s="34"/>
      <c r="O289" s="34"/>
      <c r="P289" s="33"/>
      <c r="Q289" s="35"/>
      <c r="R289" s="33"/>
      <c r="S289" s="33"/>
      <c r="T289" s="33"/>
      <c r="U289" s="33"/>
      <c r="V289" s="33"/>
      <c r="W289" s="33"/>
    </row>
    <row r="290" customFormat="false" ht="15" hidden="false" customHeight="false" outlineLevel="0" collapsed="false">
      <c r="A290" s="33"/>
      <c r="B290" s="33"/>
      <c r="C290" s="33"/>
      <c r="D290" s="33"/>
      <c r="E290" s="33"/>
      <c r="F290" s="33"/>
      <c r="G290" s="33"/>
      <c r="H290" s="33"/>
      <c r="I290" s="33"/>
      <c r="J290" s="33"/>
      <c r="K290" s="33"/>
      <c r="L290" s="34"/>
      <c r="M290" s="34"/>
      <c r="N290" s="34"/>
      <c r="O290" s="34"/>
      <c r="P290" s="33"/>
      <c r="Q290" s="35"/>
      <c r="R290" s="33"/>
      <c r="S290" s="33"/>
      <c r="T290" s="33"/>
      <c r="U290" s="33"/>
      <c r="V290" s="33"/>
      <c r="W290" s="33"/>
    </row>
    <row r="291" customFormat="false" ht="15" hidden="false" customHeight="false" outlineLevel="0" collapsed="false">
      <c r="A291" s="33"/>
      <c r="B291" s="33"/>
      <c r="C291" s="33"/>
      <c r="D291" s="33"/>
      <c r="E291" s="33"/>
      <c r="F291" s="33"/>
      <c r="G291" s="33"/>
      <c r="H291" s="33"/>
      <c r="I291" s="33"/>
      <c r="J291" s="33"/>
      <c r="K291" s="33"/>
      <c r="L291" s="34"/>
      <c r="M291" s="34"/>
      <c r="N291" s="34"/>
      <c r="O291" s="34"/>
      <c r="P291" s="33"/>
      <c r="Q291" s="35"/>
      <c r="R291" s="33"/>
      <c r="S291" s="33"/>
      <c r="T291" s="33"/>
      <c r="U291" s="33"/>
      <c r="V291" s="33"/>
      <c r="W291" s="33"/>
    </row>
    <row r="292" customFormat="false" ht="15" hidden="false" customHeight="false" outlineLevel="0" collapsed="false">
      <c r="A292" s="33"/>
      <c r="B292" s="33"/>
      <c r="C292" s="33"/>
      <c r="D292" s="33"/>
      <c r="E292" s="33"/>
      <c r="F292" s="33"/>
      <c r="G292" s="33"/>
      <c r="H292" s="33"/>
      <c r="I292" s="33"/>
      <c r="J292" s="33"/>
      <c r="K292" s="33"/>
      <c r="L292" s="34"/>
      <c r="M292" s="34"/>
      <c r="N292" s="34"/>
      <c r="O292" s="34"/>
      <c r="P292" s="33"/>
      <c r="Q292" s="35"/>
      <c r="R292" s="33"/>
      <c r="S292" s="33"/>
      <c r="T292" s="33"/>
      <c r="U292" s="33"/>
      <c r="V292" s="33"/>
      <c r="W292" s="33"/>
    </row>
    <row r="293" customFormat="false" ht="15" hidden="false" customHeight="false" outlineLevel="0" collapsed="false">
      <c r="A293" s="33"/>
      <c r="B293" s="33"/>
      <c r="C293" s="33"/>
      <c r="D293" s="33"/>
      <c r="E293" s="33"/>
      <c r="F293" s="33"/>
      <c r="G293" s="33"/>
      <c r="H293" s="33"/>
      <c r="I293" s="33"/>
      <c r="J293" s="33"/>
      <c r="K293" s="33"/>
      <c r="L293" s="34"/>
      <c r="M293" s="34"/>
      <c r="N293" s="34"/>
      <c r="O293" s="34"/>
      <c r="P293" s="33"/>
      <c r="Q293" s="35"/>
      <c r="R293" s="33"/>
      <c r="S293" s="33"/>
      <c r="T293" s="33"/>
      <c r="U293" s="33"/>
      <c r="V293" s="33"/>
      <c r="W293" s="33"/>
    </row>
    <row r="294" customFormat="false" ht="15" hidden="false" customHeight="false" outlineLevel="0" collapsed="false">
      <c r="A294" s="33"/>
      <c r="B294" s="33"/>
      <c r="C294" s="33"/>
      <c r="D294" s="33"/>
      <c r="E294" s="33"/>
      <c r="F294" s="33"/>
      <c r="G294" s="33"/>
      <c r="H294" s="33"/>
      <c r="I294" s="33"/>
      <c r="J294" s="33"/>
      <c r="K294" s="33"/>
      <c r="L294" s="34"/>
      <c r="M294" s="34"/>
      <c r="N294" s="34"/>
      <c r="O294" s="34"/>
      <c r="P294" s="33"/>
      <c r="Q294" s="35"/>
      <c r="R294" s="33"/>
      <c r="S294" s="33"/>
      <c r="T294" s="33"/>
      <c r="U294" s="33"/>
      <c r="V294" s="33"/>
      <c r="W294" s="33"/>
    </row>
    <row r="295" customFormat="false" ht="15" hidden="false" customHeight="false" outlineLevel="0" collapsed="false">
      <c r="A295" s="33"/>
      <c r="B295" s="33"/>
      <c r="C295" s="33"/>
      <c r="D295" s="33"/>
      <c r="E295" s="33"/>
      <c r="F295" s="33"/>
      <c r="G295" s="33"/>
      <c r="H295" s="33"/>
      <c r="I295" s="33"/>
      <c r="J295" s="33"/>
      <c r="K295" s="33"/>
      <c r="L295" s="34"/>
      <c r="M295" s="34"/>
      <c r="N295" s="34"/>
      <c r="O295" s="34"/>
      <c r="P295" s="33"/>
      <c r="Q295" s="35"/>
      <c r="R295" s="33"/>
      <c r="S295" s="33"/>
      <c r="T295" s="33"/>
      <c r="U295" s="33"/>
      <c r="V295" s="33"/>
      <c r="W295" s="33"/>
    </row>
    <row r="296" customFormat="false" ht="15" hidden="false" customHeight="false" outlineLevel="0" collapsed="false">
      <c r="A296" s="33"/>
      <c r="B296" s="33"/>
      <c r="C296" s="33"/>
      <c r="D296" s="33"/>
      <c r="E296" s="33"/>
      <c r="F296" s="33"/>
      <c r="G296" s="33"/>
      <c r="H296" s="33"/>
      <c r="I296" s="33"/>
      <c r="J296" s="33"/>
      <c r="K296" s="33"/>
      <c r="L296" s="34"/>
      <c r="M296" s="34"/>
      <c r="N296" s="34"/>
      <c r="O296" s="34"/>
      <c r="P296" s="33"/>
      <c r="Q296" s="35"/>
      <c r="R296" s="33"/>
      <c r="S296" s="33"/>
      <c r="T296" s="33"/>
      <c r="U296" s="33"/>
      <c r="V296" s="33"/>
      <c r="W296" s="33"/>
    </row>
    <row r="297" customFormat="false" ht="15" hidden="false" customHeight="false" outlineLevel="0" collapsed="false">
      <c r="A297" s="33"/>
      <c r="B297" s="33"/>
      <c r="C297" s="33"/>
      <c r="D297" s="33"/>
      <c r="E297" s="33"/>
      <c r="F297" s="33"/>
      <c r="G297" s="33"/>
      <c r="H297" s="33"/>
      <c r="I297" s="33"/>
      <c r="J297" s="33"/>
      <c r="K297" s="33"/>
      <c r="L297" s="34"/>
      <c r="M297" s="34"/>
      <c r="N297" s="34"/>
      <c r="O297" s="34"/>
      <c r="P297" s="33"/>
      <c r="Q297" s="35"/>
      <c r="R297" s="33"/>
      <c r="S297" s="33"/>
      <c r="T297" s="33"/>
      <c r="U297" s="33"/>
      <c r="V297" s="33"/>
      <c r="W297" s="33"/>
    </row>
    <row r="298" customFormat="false" ht="15" hidden="false" customHeight="false" outlineLevel="0" collapsed="false">
      <c r="A298" s="33"/>
      <c r="B298" s="33"/>
      <c r="C298" s="33"/>
      <c r="D298" s="33"/>
      <c r="E298" s="33"/>
      <c r="F298" s="33"/>
      <c r="G298" s="33"/>
      <c r="H298" s="33"/>
      <c r="I298" s="33"/>
      <c r="J298" s="33"/>
      <c r="K298" s="33"/>
      <c r="L298" s="34"/>
      <c r="M298" s="34"/>
      <c r="N298" s="34"/>
      <c r="O298" s="34"/>
      <c r="P298" s="33"/>
      <c r="Q298" s="35"/>
      <c r="R298" s="33"/>
      <c r="S298" s="33"/>
      <c r="T298" s="33"/>
      <c r="U298" s="33"/>
      <c r="V298" s="33"/>
      <c r="W298" s="33"/>
    </row>
    <row r="299" customFormat="false" ht="15" hidden="false" customHeight="false" outlineLevel="0" collapsed="false">
      <c r="A299" s="33"/>
      <c r="B299" s="33"/>
      <c r="C299" s="33"/>
      <c r="D299" s="33"/>
      <c r="E299" s="33"/>
      <c r="F299" s="33"/>
      <c r="G299" s="33"/>
      <c r="H299" s="33"/>
      <c r="I299" s="33"/>
      <c r="J299" s="33"/>
      <c r="K299" s="33"/>
      <c r="L299" s="34"/>
      <c r="M299" s="34"/>
      <c r="N299" s="34"/>
      <c r="O299" s="34"/>
      <c r="P299" s="33"/>
      <c r="Q299" s="35"/>
      <c r="R299" s="33"/>
      <c r="S299" s="33"/>
      <c r="T299" s="33"/>
      <c r="U299" s="33"/>
      <c r="V299" s="33"/>
      <c r="W299" s="33"/>
    </row>
    <row r="300" customFormat="false" ht="15" hidden="false" customHeight="false" outlineLevel="0" collapsed="false">
      <c r="A300" s="33"/>
      <c r="B300" s="33"/>
      <c r="C300" s="33"/>
      <c r="D300" s="33"/>
      <c r="E300" s="33"/>
      <c r="F300" s="33"/>
      <c r="G300" s="33"/>
      <c r="H300" s="33"/>
      <c r="I300" s="33"/>
      <c r="J300" s="33"/>
      <c r="K300" s="33"/>
      <c r="L300" s="34"/>
      <c r="M300" s="34"/>
      <c r="N300" s="34"/>
      <c r="O300" s="34"/>
      <c r="P300" s="33"/>
      <c r="Q300" s="35"/>
      <c r="R300" s="33"/>
      <c r="S300" s="33"/>
      <c r="T300" s="33"/>
      <c r="U300" s="33"/>
      <c r="V300" s="33"/>
      <c r="W300" s="33"/>
    </row>
  </sheetData>
  <autoFilter ref="A4:W11"/>
  <mergeCells count="6">
    <mergeCell ref="A3:C3"/>
    <mergeCell ref="D3:H3"/>
    <mergeCell ref="I3:O3"/>
    <mergeCell ref="P3:R3"/>
    <mergeCell ref="S3:U3"/>
    <mergeCell ref="V3:W3"/>
  </mergeCells>
  <conditionalFormatting sqref="P5:P300">
    <cfRule type="expression" priority="2" aboveAverage="0" equalAverage="0" bottom="0" percent="0" rank="0" text="" dxfId="5">
      <formula>$P5="AVL"</formula>
    </cfRule>
    <cfRule type="expression" priority="3" aboveAverage="0" equalAverage="0" bottom="0" percent="0" rank="0" text="" dxfId="6">
      <formula>$P5="Qualified"</formula>
    </cfRule>
    <cfRule type="expression" priority="4" aboveAverage="0" equalAverage="0" bottom="0" percent="0" rank="0" text="" dxfId="7">
      <formula>$P5="Prequalified"</formula>
    </cfRule>
    <cfRule type="expression" priority="5" aboveAverage="0" equalAverage="0" bottom="0" percent="0" rank="0" text="" dxfId="8">
      <formula>$P5="On Hold"</formula>
    </cfRule>
    <cfRule type="expression" priority="6" aboveAverage="0" equalAverage="0" bottom="0" percent="0" rank="0" text="" dxfId="9">
      <formula>$P5="Disqualified"</formula>
    </cfRule>
  </conditionalFormatting>
  <conditionalFormatting sqref="W5:W300">
    <cfRule type="expression" priority="7" aboveAverage="0" equalAverage="0" bottom="0" percent="0" rank="0" text="" dxfId="9">
      <formula>$W5="High"</formula>
    </cfRule>
    <cfRule type="expression" priority="8" aboveAverage="0" equalAverage="0" bottom="0" percent="0" rank="0" text="" dxfId="10">
      <formula>$W5="FEOC Review"</formula>
    </cfRule>
    <cfRule type="expression" priority="9" aboveAverage="0" equalAverage="0" bottom="0" percent="0" rank="0" text="" dxfId="8">
      <formula>$W5="Medium"</formula>
    </cfRule>
    <cfRule type="expression" priority="10" aboveAverage="0" equalAverage="0" bottom="0" percent="0" rank="0" text="" dxfId="5">
      <formula>$W5="Low"</formula>
    </cfRule>
  </conditionalFormatting>
  <dataValidations count="5">
    <dataValidation allowBlank="true" error="Pick a value from the list (edit the Lists tab to change options)." errorStyle="stop" errorTitle="Invalid entry" operator="between" showDropDown="false" showErrorMessage="true" showInputMessage="false" sqref="P5:P300" type="list">
      <formula1>lst_status</formula1>
      <formula2>0</formula2>
    </dataValidation>
    <dataValidation allowBlank="true" error="Pick a value from the list (edit the Lists tab to change options)." errorStyle="stop" errorTitle="Invalid entry" operator="between" showDropDown="false" showErrorMessage="true" showInputMessage="false" sqref="R5:R300" type="list">
      <formula1>lst_rfx</formula1>
      <formula2>0</formula2>
    </dataValidation>
    <dataValidation allowBlank="true" error="Pick a value from the list (edit the Lists tab to change options)." errorStyle="stop" errorTitle="Invalid entry" operator="between" showDropDown="false" showErrorMessage="true" showInputMessage="false" sqref="T5:T300" type="list">
      <formula1>lst_fin</formula1>
      <formula2>0</formula2>
    </dataValidation>
    <dataValidation allowBlank="true" error="Pick a value from the list (edit the Lists tab to change options)." errorStyle="stop" errorTitle="Invalid entry" operator="between" showDropDown="false" showErrorMessage="true" showInputMessage="false" sqref="W5:W300" type="list">
      <formula1>lst_scr</formula1>
      <formula2>0</formula2>
    </dataValidation>
    <dataValidation allowBlank="true" error="Enter a date (yyyy-mm-dd)." errorStyle="stop" operator="greaterThan" showDropDown="false" showErrorMessage="true" showInputMessage="false" sqref="Q5:Q300" type="date">
      <formula1>DATE(2020,1,1)</formula1>
      <formula2>0</formula2>
    </dataValidation>
  </dataValidations>
  <hyperlinks>
    <hyperlink ref="I5" r:id="rId2" display="https://www.burnsmcd.com"/>
    <hyperlink ref="K5" r:id="rId3" display="https://info.burnsmcd.com/contact-us"/>
    <hyperlink ref="I6" r:id="rId4" display="https://www.sargentlundy.com"/>
    <hyperlink ref="K6" r:id="rId5" display="https://www.sargentlundy.com/contact-us"/>
    <hyperlink ref="I7" r:id="rId6" display="https://www.powereng.com"/>
    <hyperlink ref="I8" r:id="rId7" display="https://www.westwoodps.com"/>
    <hyperlink ref="K8" r:id="rId8" display="https://westwoodps.com/contact-us"/>
    <hyperlink ref="I9" r:id="rId9" display="https://www.bv.com"/>
    <hyperlink ref="K9" r:id="rId10" display="https://www.bv.com/contact-us"/>
    <hyperlink ref="I10" r:id="rId11" display="https://www.kimley-horn.com"/>
    <hyperlink ref="K10" r:id="rId12" display="https://www.kimley-horn.com/contact/submit-a-service-inquiry/"/>
    <hyperlink ref="I11" r:id="rId13" display="https://bowman.com"/>
    <hyperlink ref="K11" r:id="rId14" display="https://bowman.com/contac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5"/>
  <legacyDrawing r:id="rId16"/>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C8A"/>
    <pageSetUpPr fitToPage="false"/>
  </sheetPr>
  <dimension ref="A1:W30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40"/>
    <col collapsed="false" customWidth="true" hidden="false" outlineLevel="0" max="4" min="4" style="0" width="15"/>
    <col collapsed="false" customWidth="true" hidden="false" outlineLevel="0" max="5" min="5" style="0" width="11"/>
    <col collapsed="false" customWidth="true" hidden="false" outlineLevel="0" max="6" min="6" style="0" width="13"/>
    <col collapsed="false" customWidth="true" hidden="false" outlineLevel="0" max="7" min="7" style="0" width="18"/>
    <col collapsed="false" customWidth="true" hidden="false" outlineLevel="0" max="9" min="8" style="0" width="28"/>
    <col collapsed="false" customWidth="true" hidden="false" outlineLevel="0" max="10" min="10" style="0" width="18"/>
    <col collapsed="false" customWidth="true" hidden="false" outlineLevel="0" max="11" min="11" style="0" width="28"/>
    <col collapsed="false" customWidth="true" hidden="false" outlineLevel="0" max="12" min="12" style="0" width="20"/>
    <col collapsed="false" customWidth="true" hidden="false" outlineLevel="0" max="13" min="13" style="0" width="18"/>
    <col collapsed="false" customWidth="true" hidden="false" outlineLevel="0" max="14" min="14" style="0" width="24"/>
    <col collapsed="false" customWidth="true" hidden="false" outlineLevel="0" max="16" min="15" style="0" width="15"/>
    <col collapsed="false" customWidth="true" hidden="false" outlineLevel="0" max="17" min="17" style="0" width="12"/>
    <col collapsed="false" customWidth="true" hidden="false" outlineLevel="0" max="18" min="18" style="0" width="14"/>
    <col collapsed="false" customWidth="true" hidden="false" outlineLevel="0" max="19" min="19" style="0" width="24"/>
    <col collapsed="false" customWidth="true" hidden="false" outlineLevel="0" max="20" min="20" style="0" width="13"/>
    <col collapsed="false" customWidth="true" hidden="false" outlineLevel="0" max="22" min="21" style="0" width="45"/>
    <col collapsed="false" customWidth="true" hidden="false" outlineLevel="0" max="23" min="23" style="0" width="13"/>
  </cols>
  <sheetData>
    <row r="1" customFormat="false" ht="17.35" hidden="false" customHeight="false" outlineLevel="0" collapsed="false">
      <c r="A1" s="16" t="s">
        <v>536</v>
      </c>
    </row>
    <row r="2" customFormat="false" ht="15" hidden="false" customHeight="false" outlineLevel="0" collapsed="false">
      <c r="A2" s="2" t="s">
        <v>87</v>
      </c>
    </row>
    <row r="3" customFormat="false" ht="15" hidden="false" customHeight="false" outlineLevel="0" collapsed="false">
      <c r="A3" s="22" t="s">
        <v>58</v>
      </c>
      <c r="B3" s="22"/>
      <c r="C3" s="22"/>
      <c r="D3" s="23" t="s">
        <v>60</v>
      </c>
      <c r="E3" s="23"/>
      <c r="F3" s="23"/>
      <c r="G3" s="23"/>
      <c r="H3" s="23"/>
      <c r="I3" s="24" t="s">
        <v>61</v>
      </c>
      <c r="J3" s="24"/>
      <c r="K3" s="24"/>
      <c r="L3" s="24"/>
      <c r="M3" s="24"/>
      <c r="N3" s="24"/>
      <c r="O3" s="24"/>
      <c r="P3" s="25" t="s">
        <v>62</v>
      </c>
      <c r="Q3" s="25"/>
      <c r="R3" s="25"/>
      <c r="S3" s="26" t="s">
        <v>32</v>
      </c>
      <c r="T3" s="26"/>
      <c r="U3" s="26"/>
      <c r="V3" s="27" t="s">
        <v>34</v>
      </c>
      <c r="W3" s="27"/>
    </row>
    <row r="4" customFormat="false" ht="31.5" hidden="false" customHeight="true" outlineLevel="0" collapsed="false">
      <c r="A4" s="28" t="s">
        <v>88</v>
      </c>
      <c r="B4" s="28" t="s">
        <v>89</v>
      </c>
      <c r="C4" s="28" t="s">
        <v>537</v>
      </c>
      <c r="D4" s="28" t="s">
        <v>91</v>
      </c>
      <c r="E4" s="28" t="s">
        <v>92</v>
      </c>
      <c r="F4" s="28" t="s">
        <v>93</v>
      </c>
      <c r="G4" s="28" t="s">
        <v>94</v>
      </c>
      <c r="H4" s="28" t="s">
        <v>95</v>
      </c>
      <c r="I4" s="28" t="s">
        <v>96</v>
      </c>
      <c r="J4" s="28" t="s">
        <v>97</v>
      </c>
      <c r="K4" s="28" t="s">
        <v>98</v>
      </c>
      <c r="L4" s="28" t="s">
        <v>99</v>
      </c>
      <c r="M4" s="28" t="s">
        <v>100</v>
      </c>
      <c r="N4" s="28" t="s">
        <v>101</v>
      </c>
      <c r="O4" s="28" t="s">
        <v>102</v>
      </c>
      <c r="P4" s="28" t="s">
        <v>103</v>
      </c>
      <c r="Q4" s="28" t="s">
        <v>104</v>
      </c>
      <c r="R4" s="28" t="s">
        <v>105</v>
      </c>
      <c r="S4" s="28" t="s">
        <v>106</v>
      </c>
      <c r="T4" s="28" t="s">
        <v>41</v>
      </c>
      <c r="U4" s="28" t="s">
        <v>107</v>
      </c>
      <c r="V4" s="28" t="s">
        <v>108</v>
      </c>
      <c r="W4" s="28" t="s">
        <v>109</v>
      </c>
    </row>
    <row r="5" customFormat="false" ht="43.25" hidden="false" customHeight="false" outlineLevel="0" collapsed="false">
      <c r="A5" s="29" t="s">
        <v>538</v>
      </c>
      <c r="B5" s="29" t="s">
        <v>405</v>
      </c>
      <c r="C5" s="29" t="s">
        <v>539</v>
      </c>
      <c r="D5" s="29" t="s">
        <v>439</v>
      </c>
      <c r="E5" s="29"/>
      <c r="F5" s="29" t="s">
        <v>408</v>
      </c>
      <c r="G5" s="29"/>
      <c r="H5" s="29" t="s">
        <v>440</v>
      </c>
      <c r="I5" s="30" t="s">
        <v>441</v>
      </c>
      <c r="J5" s="29" t="s">
        <v>442</v>
      </c>
      <c r="K5" s="30" t="s">
        <v>411</v>
      </c>
      <c r="L5" s="31"/>
      <c r="M5" s="31"/>
      <c r="N5" s="31"/>
      <c r="O5" s="31"/>
      <c r="P5" s="29" t="s">
        <v>19</v>
      </c>
      <c r="Q5" s="32" t="n">
        <v>46300</v>
      </c>
      <c r="R5" s="29" t="s">
        <v>117</v>
      </c>
      <c r="S5" s="29" t="s">
        <v>443</v>
      </c>
      <c r="T5" s="29" t="s">
        <v>119</v>
      </c>
      <c r="U5" s="29" t="s">
        <v>540</v>
      </c>
      <c r="V5" s="29" t="s">
        <v>541</v>
      </c>
      <c r="W5" s="29" t="s">
        <v>119</v>
      </c>
    </row>
    <row r="6" customFormat="false" ht="43.25" hidden="false" customHeight="false" outlineLevel="0" collapsed="false">
      <c r="A6" s="29" t="s">
        <v>542</v>
      </c>
      <c r="B6" s="29" t="s">
        <v>447</v>
      </c>
      <c r="C6" s="29" t="s">
        <v>543</v>
      </c>
      <c r="D6" s="29" t="s">
        <v>449</v>
      </c>
      <c r="E6" s="29"/>
      <c r="F6" s="29" t="s">
        <v>450</v>
      </c>
      <c r="G6" s="29"/>
      <c r="H6" s="29"/>
      <c r="I6" s="30" t="s">
        <v>451</v>
      </c>
      <c r="J6" s="29" t="s">
        <v>544</v>
      </c>
      <c r="K6" s="30" t="s">
        <v>453</v>
      </c>
      <c r="L6" s="31"/>
      <c r="M6" s="31"/>
      <c r="N6" s="31"/>
      <c r="O6" s="31"/>
      <c r="P6" s="29" t="s">
        <v>19</v>
      </c>
      <c r="Q6" s="32" t="n">
        <v>46300</v>
      </c>
      <c r="R6" s="29" t="s">
        <v>117</v>
      </c>
      <c r="S6" s="29" t="s">
        <v>545</v>
      </c>
      <c r="T6" s="29" t="s">
        <v>119</v>
      </c>
      <c r="U6" s="29" t="s">
        <v>546</v>
      </c>
      <c r="V6" s="29" t="s">
        <v>547</v>
      </c>
      <c r="W6" s="29" t="s">
        <v>119</v>
      </c>
    </row>
    <row r="7" customFormat="false" ht="32.8" hidden="false" customHeight="false" outlineLevel="0" collapsed="false">
      <c r="A7" s="29" t="s">
        <v>548</v>
      </c>
      <c r="B7" s="29" t="s">
        <v>549</v>
      </c>
      <c r="C7" s="29" t="s">
        <v>550</v>
      </c>
      <c r="D7" s="29" t="s">
        <v>243</v>
      </c>
      <c r="E7" s="29" t="s">
        <v>244</v>
      </c>
      <c r="F7" s="29" t="s">
        <v>127</v>
      </c>
      <c r="G7" s="29"/>
      <c r="H7" s="29"/>
      <c r="I7" s="30" t="s">
        <v>551</v>
      </c>
      <c r="J7" s="29" t="s">
        <v>552</v>
      </c>
      <c r="K7" s="30" t="s">
        <v>553</v>
      </c>
      <c r="L7" s="31"/>
      <c r="M7" s="31"/>
      <c r="N7" s="31"/>
      <c r="O7" s="31"/>
      <c r="P7" s="29" t="s">
        <v>19</v>
      </c>
      <c r="Q7" s="32" t="n">
        <v>46300</v>
      </c>
      <c r="R7" s="29" t="s">
        <v>117</v>
      </c>
      <c r="S7" s="29" t="s">
        <v>362</v>
      </c>
      <c r="T7" s="29" t="s">
        <v>119</v>
      </c>
      <c r="U7" s="29" t="s">
        <v>554</v>
      </c>
      <c r="V7" s="29"/>
      <c r="W7" s="29" t="s">
        <v>119</v>
      </c>
    </row>
    <row r="8" customFormat="false" ht="32.8" hidden="false" customHeight="false" outlineLevel="0" collapsed="false">
      <c r="A8" s="29" t="s">
        <v>555</v>
      </c>
      <c r="B8" s="29" t="s">
        <v>279</v>
      </c>
      <c r="C8" s="29" t="s">
        <v>556</v>
      </c>
      <c r="D8" s="29" t="s">
        <v>281</v>
      </c>
      <c r="E8" s="29" t="s">
        <v>282</v>
      </c>
      <c r="F8" s="29" t="s">
        <v>127</v>
      </c>
      <c r="G8" s="29"/>
      <c r="H8" s="29" t="s">
        <v>466</v>
      </c>
      <c r="I8" s="30" t="s">
        <v>467</v>
      </c>
      <c r="J8" s="29" t="s">
        <v>468</v>
      </c>
      <c r="K8" s="30" t="s">
        <v>285</v>
      </c>
      <c r="L8" s="31"/>
      <c r="M8" s="31"/>
      <c r="N8" s="31"/>
      <c r="O8" s="31"/>
      <c r="P8" s="29" t="s">
        <v>19</v>
      </c>
      <c r="Q8" s="32" t="n">
        <v>46300</v>
      </c>
      <c r="R8" s="29" t="s">
        <v>117</v>
      </c>
      <c r="S8" s="29" t="s">
        <v>469</v>
      </c>
      <c r="T8" s="29" t="s">
        <v>119</v>
      </c>
      <c r="U8" s="29" t="s">
        <v>557</v>
      </c>
      <c r="V8" s="29"/>
      <c r="W8" s="29" t="s">
        <v>119</v>
      </c>
    </row>
    <row r="9" customFormat="false" ht="32.8" hidden="false" customHeight="false" outlineLevel="0" collapsed="false">
      <c r="A9" s="29" t="s">
        <v>558</v>
      </c>
      <c r="B9" s="29" t="s">
        <v>487</v>
      </c>
      <c r="C9" s="29" t="s">
        <v>559</v>
      </c>
      <c r="D9" s="29" t="s">
        <v>489</v>
      </c>
      <c r="E9" s="29" t="s">
        <v>490</v>
      </c>
      <c r="F9" s="29" t="s">
        <v>491</v>
      </c>
      <c r="G9" s="29"/>
      <c r="H9" s="29"/>
      <c r="I9" s="30" t="s">
        <v>492</v>
      </c>
      <c r="J9" s="29" t="s">
        <v>493</v>
      </c>
      <c r="K9" s="30" t="s">
        <v>494</v>
      </c>
      <c r="L9" s="31"/>
      <c r="M9" s="31"/>
      <c r="N9" s="31"/>
      <c r="O9" s="31"/>
      <c r="P9" s="29" t="s">
        <v>19</v>
      </c>
      <c r="Q9" s="32" t="n">
        <v>46300</v>
      </c>
      <c r="R9" s="29" t="s">
        <v>117</v>
      </c>
      <c r="S9" s="29" t="s">
        <v>495</v>
      </c>
      <c r="T9" s="29" t="s">
        <v>119</v>
      </c>
      <c r="U9" s="29" t="s">
        <v>560</v>
      </c>
      <c r="V9" s="29" t="s">
        <v>497</v>
      </c>
      <c r="W9" s="29" t="s">
        <v>119</v>
      </c>
    </row>
    <row r="10" customFormat="false" ht="43.25" hidden="false" customHeight="false" outlineLevel="0" collapsed="false">
      <c r="A10" s="29" t="s">
        <v>561</v>
      </c>
      <c r="B10" s="29" t="s">
        <v>562</v>
      </c>
      <c r="C10" s="29" t="s">
        <v>563</v>
      </c>
      <c r="D10" s="29" t="s">
        <v>418</v>
      </c>
      <c r="E10" s="29" t="s">
        <v>282</v>
      </c>
      <c r="F10" s="29" t="s">
        <v>127</v>
      </c>
      <c r="G10" s="29"/>
      <c r="H10" s="29"/>
      <c r="I10" s="30" t="s">
        <v>564</v>
      </c>
      <c r="J10" s="29" t="s">
        <v>565</v>
      </c>
      <c r="K10" s="29"/>
      <c r="L10" s="31"/>
      <c r="M10" s="31"/>
      <c r="N10" s="31"/>
      <c r="O10" s="31"/>
      <c r="P10" s="29" t="s">
        <v>19</v>
      </c>
      <c r="Q10" s="32" t="n">
        <v>46300</v>
      </c>
      <c r="R10" s="29" t="s">
        <v>117</v>
      </c>
      <c r="S10" s="29" t="s">
        <v>566</v>
      </c>
      <c r="T10" s="29" t="s">
        <v>119</v>
      </c>
      <c r="U10" s="29" t="s">
        <v>567</v>
      </c>
      <c r="V10" s="29"/>
      <c r="W10" s="29" t="s">
        <v>119</v>
      </c>
    </row>
    <row r="11" customFormat="false" ht="15" hidden="false" customHeight="false" outlineLevel="0" collapsed="false">
      <c r="A11" s="29"/>
      <c r="B11" s="29"/>
      <c r="C11" s="29"/>
      <c r="D11" s="29"/>
      <c r="E11" s="29"/>
      <c r="F11" s="29"/>
      <c r="G11" s="29"/>
      <c r="H11" s="29"/>
      <c r="I11" s="29"/>
      <c r="J11" s="29"/>
      <c r="K11" s="29"/>
      <c r="L11" s="31"/>
      <c r="M11" s="31"/>
      <c r="N11" s="31"/>
      <c r="O11" s="31"/>
      <c r="P11" s="29"/>
      <c r="Q11" s="32"/>
      <c r="R11" s="29"/>
      <c r="S11" s="29"/>
      <c r="T11" s="29"/>
      <c r="U11" s="29"/>
      <c r="V11" s="29"/>
      <c r="W11" s="29"/>
    </row>
    <row r="12" customFormat="false" ht="15" hidden="false" customHeight="false" outlineLevel="0" collapsed="false">
      <c r="A12" s="29"/>
      <c r="B12" s="29"/>
      <c r="C12" s="29"/>
      <c r="D12" s="29"/>
      <c r="E12" s="29"/>
      <c r="F12" s="29"/>
      <c r="G12" s="29"/>
      <c r="H12" s="29"/>
      <c r="I12" s="29"/>
      <c r="J12" s="29"/>
      <c r="K12" s="29"/>
      <c r="L12" s="31"/>
      <c r="M12" s="31"/>
      <c r="N12" s="31"/>
      <c r="O12" s="31"/>
      <c r="P12" s="29"/>
      <c r="Q12" s="32"/>
      <c r="R12" s="29"/>
      <c r="S12" s="29"/>
      <c r="T12" s="29"/>
      <c r="U12" s="29"/>
      <c r="V12" s="29"/>
      <c r="W12" s="29"/>
    </row>
    <row r="13" customFormat="false" ht="15" hidden="false" customHeight="false" outlineLevel="0" collapsed="false">
      <c r="A13" s="29"/>
      <c r="B13" s="29"/>
      <c r="C13" s="29"/>
      <c r="D13" s="29"/>
      <c r="E13" s="29"/>
      <c r="F13" s="29"/>
      <c r="G13" s="29"/>
      <c r="H13" s="29"/>
      <c r="I13" s="29"/>
      <c r="J13" s="29"/>
      <c r="K13" s="29"/>
      <c r="L13" s="31"/>
      <c r="M13" s="31"/>
      <c r="N13" s="31"/>
      <c r="O13" s="31"/>
      <c r="P13" s="29"/>
      <c r="Q13" s="32"/>
      <c r="R13" s="29"/>
      <c r="S13" s="29"/>
      <c r="T13" s="29"/>
      <c r="U13" s="29"/>
      <c r="V13" s="29"/>
      <c r="W13" s="29"/>
    </row>
    <row r="14" customFormat="false" ht="15" hidden="false" customHeight="false" outlineLevel="0" collapsed="false">
      <c r="A14" s="29"/>
      <c r="B14" s="29"/>
      <c r="C14" s="29"/>
      <c r="D14" s="29"/>
      <c r="E14" s="29"/>
      <c r="F14" s="29"/>
      <c r="G14" s="29"/>
      <c r="H14" s="29"/>
      <c r="I14" s="29"/>
      <c r="J14" s="29"/>
      <c r="K14" s="29"/>
      <c r="L14" s="31"/>
      <c r="M14" s="31"/>
      <c r="N14" s="31"/>
      <c r="O14" s="31"/>
      <c r="P14" s="29"/>
      <c r="Q14" s="32"/>
      <c r="R14" s="29"/>
      <c r="S14" s="29"/>
      <c r="T14" s="29"/>
      <c r="U14" s="29"/>
      <c r="V14" s="29"/>
      <c r="W14" s="29"/>
    </row>
    <row r="15" customFormat="false" ht="15" hidden="false" customHeight="false" outlineLevel="0" collapsed="false">
      <c r="A15" s="29"/>
      <c r="B15" s="29"/>
      <c r="C15" s="29"/>
      <c r="D15" s="29"/>
      <c r="E15" s="29"/>
      <c r="F15" s="29"/>
      <c r="G15" s="29"/>
      <c r="H15" s="29"/>
      <c r="I15" s="29"/>
      <c r="J15" s="29"/>
      <c r="K15" s="29"/>
      <c r="L15" s="31"/>
      <c r="M15" s="31"/>
      <c r="N15" s="31"/>
      <c r="O15" s="31"/>
      <c r="P15" s="29"/>
      <c r="Q15" s="32"/>
      <c r="R15" s="29"/>
      <c r="S15" s="29"/>
      <c r="T15" s="29"/>
      <c r="U15" s="29"/>
      <c r="V15" s="29"/>
      <c r="W15" s="29"/>
    </row>
    <row r="16" customFormat="false" ht="15" hidden="false" customHeight="false" outlineLevel="0" collapsed="false">
      <c r="A16" s="29"/>
      <c r="B16" s="29"/>
      <c r="C16" s="29"/>
      <c r="D16" s="29"/>
      <c r="E16" s="29"/>
      <c r="F16" s="29"/>
      <c r="G16" s="29"/>
      <c r="H16" s="29"/>
      <c r="I16" s="29"/>
      <c r="J16" s="29"/>
      <c r="K16" s="29"/>
      <c r="L16" s="31"/>
      <c r="M16" s="31"/>
      <c r="N16" s="31"/>
      <c r="O16" s="31"/>
      <c r="P16" s="29"/>
      <c r="Q16" s="32"/>
      <c r="R16" s="29"/>
      <c r="S16" s="29"/>
      <c r="T16" s="29"/>
      <c r="U16" s="29"/>
      <c r="V16" s="29"/>
      <c r="W16" s="29"/>
    </row>
    <row r="17" customFormat="false" ht="15" hidden="false" customHeight="false" outlineLevel="0" collapsed="false">
      <c r="A17" s="29"/>
      <c r="B17" s="29"/>
      <c r="C17" s="29"/>
      <c r="D17" s="29"/>
      <c r="E17" s="29"/>
      <c r="F17" s="29"/>
      <c r="G17" s="29"/>
      <c r="H17" s="29"/>
      <c r="I17" s="29"/>
      <c r="J17" s="29"/>
      <c r="K17" s="29"/>
      <c r="L17" s="31"/>
      <c r="M17" s="31"/>
      <c r="N17" s="31"/>
      <c r="O17" s="31"/>
      <c r="P17" s="29"/>
      <c r="Q17" s="32"/>
      <c r="R17" s="29"/>
      <c r="S17" s="29"/>
      <c r="T17" s="29"/>
      <c r="U17" s="29"/>
      <c r="V17" s="29"/>
      <c r="W17" s="29"/>
    </row>
    <row r="18" customFormat="false" ht="15" hidden="false" customHeight="false" outlineLevel="0" collapsed="false">
      <c r="A18" s="29"/>
      <c r="B18" s="29"/>
      <c r="C18" s="29"/>
      <c r="D18" s="29"/>
      <c r="E18" s="29"/>
      <c r="F18" s="29"/>
      <c r="G18" s="29"/>
      <c r="H18" s="29"/>
      <c r="I18" s="29"/>
      <c r="J18" s="29"/>
      <c r="K18" s="29"/>
      <c r="L18" s="31"/>
      <c r="M18" s="31"/>
      <c r="N18" s="31"/>
      <c r="O18" s="31"/>
      <c r="P18" s="29"/>
      <c r="Q18" s="32"/>
      <c r="R18" s="29"/>
      <c r="S18" s="29"/>
      <c r="T18" s="29"/>
      <c r="U18" s="29"/>
      <c r="V18" s="29"/>
      <c r="W18" s="29"/>
    </row>
    <row r="19" customFormat="false" ht="15" hidden="false" customHeight="false" outlineLevel="0" collapsed="false">
      <c r="A19" s="29"/>
      <c r="B19" s="29"/>
      <c r="C19" s="29"/>
      <c r="D19" s="29"/>
      <c r="E19" s="29"/>
      <c r="F19" s="29"/>
      <c r="G19" s="29"/>
      <c r="H19" s="29"/>
      <c r="I19" s="29"/>
      <c r="J19" s="29"/>
      <c r="K19" s="29"/>
      <c r="L19" s="31"/>
      <c r="M19" s="31"/>
      <c r="N19" s="31"/>
      <c r="O19" s="31"/>
      <c r="P19" s="29"/>
      <c r="Q19" s="32"/>
      <c r="R19" s="29"/>
      <c r="S19" s="29"/>
      <c r="T19" s="29"/>
      <c r="U19" s="29"/>
      <c r="V19" s="29"/>
      <c r="W19" s="29"/>
    </row>
    <row r="20" customFormat="false" ht="15" hidden="false" customHeight="false" outlineLevel="0" collapsed="false">
      <c r="A20" s="29"/>
      <c r="B20" s="29"/>
      <c r="C20" s="29"/>
      <c r="D20" s="29"/>
      <c r="E20" s="29"/>
      <c r="F20" s="29"/>
      <c r="G20" s="29"/>
      <c r="H20" s="29"/>
      <c r="I20" s="29"/>
      <c r="J20" s="29"/>
      <c r="K20" s="29"/>
      <c r="L20" s="31"/>
      <c r="M20" s="31"/>
      <c r="N20" s="31"/>
      <c r="O20" s="31"/>
      <c r="P20" s="29"/>
      <c r="Q20" s="32"/>
      <c r="R20" s="29"/>
      <c r="S20" s="29"/>
      <c r="T20" s="29"/>
      <c r="U20" s="29"/>
      <c r="V20" s="29"/>
      <c r="W20" s="29"/>
    </row>
    <row r="21" customFormat="false" ht="15" hidden="false" customHeight="false" outlineLevel="0" collapsed="false">
      <c r="A21" s="29"/>
      <c r="B21" s="29"/>
      <c r="C21" s="29"/>
      <c r="D21" s="29"/>
      <c r="E21" s="29"/>
      <c r="F21" s="29"/>
      <c r="G21" s="29"/>
      <c r="H21" s="29"/>
      <c r="I21" s="29"/>
      <c r="J21" s="29"/>
      <c r="K21" s="29"/>
      <c r="L21" s="31"/>
      <c r="M21" s="31"/>
      <c r="N21" s="31"/>
      <c r="O21" s="31"/>
      <c r="P21" s="29"/>
      <c r="Q21" s="32"/>
      <c r="R21" s="29"/>
      <c r="S21" s="29"/>
      <c r="T21" s="29"/>
      <c r="U21" s="29"/>
      <c r="V21" s="29"/>
      <c r="W21" s="29"/>
    </row>
    <row r="22" customFormat="false" ht="15" hidden="false" customHeight="false" outlineLevel="0" collapsed="false">
      <c r="A22" s="29"/>
      <c r="B22" s="29"/>
      <c r="C22" s="29"/>
      <c r="D22" s="29"/>
      <c r="E22" s="29"/>
      <c r="F22" s="29"/>
      <c r="G22" s="29"/>
      <c r="H22" s="29"/>
      <c r="I22" s="29"/>
      <c r="J22" s="29"/>
      <c r="K22" s="29"/>
      <c r="L22" s="31"/>
      <c r="M22" s="31"/>
      <c r="N22" s="31"/>
      <c r="O22" s="31"/>
      <c r="P22" s="29"/>
      <c r="Q22" s="32"/>
      <c r="R22" s="29"/>
      <c r="S22" s="29"/>
      <c r="T22" s="29"/>
      <c r="U22" s="29"/>
      <c r="V22" s="29"/>
      <c r="W22" s="29"/>
    </row>
    <row r="23" customFormat="false" ht="15" hidden="false" customHeight="false" outlineLevel="0" collapsed="false">
      <c r="A23" s="29"/>
      <c r="B23" s="29"/>
      <c r="C23" s="29"/>
      <c r="D23" s="29"/>
      <c r="E23" s="29"/>
      <c r="F23" s="29"/>
      <c r="G23" s="29"/>
      <c r="H23" s="29"/>
      <c r="I23" s="29"/>
      <c r="J23" s="29"/>
      <c r="K23" s="29"/>
      <c r="L23" s="31"/>
      <c r="M23" s="31"/>
      <c r="N23" s="31"/>
      <c r="O23" s="31"/>
      <c r="P23" s="29"/>
      <c r="Q23" s="32"/>
      <c r="R23" s="29"/>
      <c r="S23" s="29"/>
      <c r="T23" s="29"/>
      <c r="U23" s="29"/>
      <c r="V23" s="29"/>
      <c r="W23" s="29"/>
    </row>
    <row r="24" customFormat="false" ht="15" hidden="false" customHeight="false" outlineLevel="0" collapsed="false">
      <c r="A24" s="29"/>
      <c r="B24" s="29"/>
      <c r="C24" s="29"/>
      <c r="D24" s="29"/>
      <c r="E24" s="29"/>
      <c r="F24" s="29"/>
      <c r="G24" s="29"/>
      <c r="H24" s="29"/>
      <c r="I24" s="29"/>
      <c r="J24" s="29"/>
      <c r="K24" s="29"/>
      <c r="L24" s="31"/>
      <c r="M24" s="31"/>
      <c r="N24" s="31"/>
      <c r="O24" s="31"/>
      <c r="P24" s="29"/>
      <c r="Q24" s="32"/>
      <c r="R24" s="29"/>
      <c r="S24" s="29"/>
      <c r="T24" s="29"/>
      <c r="U24" s="29"/>
      <c r="V24" s="29"/>
      <c r="W24" s="29"/>
    </row>
    <row r="25" customFormat="false" ht="15" hidden="false" customHeight="false" outlineLevel="0" collapsed="false">
      <c r="A25" s="29"/>
      <c r="B25" s="29"/>
      <c r="C25" s="29"/>
      <c r="D25" s="29"/>
      <c r="E25" s="29"/>
      <c r="F25" s="29"/>
      <c r="G25" s="29"/>
      <c r="H25" s="29"/>
      <c r="I25" s="29"/>
      <c r="J25" s="29"/>
      <c r="K25" s="29"/>
      <c r="L25" s="31"/>
      <c r="M25" s="31"/>
      <c r="N25" s="31"/>
      <c r="O25" s="31"/>
      <c r="P25" s="29"/>
      <c r="Q25" s="32"/>
      <c r="R25" s="29"/>
      <c r="S25" s="29"/>
      <c r="T25" s="29"/>
      <c r="U25" s="29"/>
      <c r="V25" s="29"/>
      <c r="W25" s="29"/>
    </row>
    <row r="26" customFormat="false" ht="15" hidden="false" customHeight="false" outlineLevel="0" collapsed="false">
      <c r="A26" s="33"/>
      <c r="B26" s="33"/>
      <c r="C26" s="33"/>
      <c r="D26" s="33"/>
      <c r="E26" s="33"/>
      <c r="F26" s="33"/>
      <c r="G26" s="33"/>
      <c r="H26" s="33"/>
      <c r="I26" s="33"/>
      <c r="J26" s="33"/>
      <c r="K26" s="33"/>
      <c r="L26" s="34"/>
      <c r="M26" s="34"/>
      <c r="N26" s="34"/>
      <c r="O26" s="34"/>
      <c r="P26" s="33"/>
      <c r="Q26" s="35"/>
      <c r="R26" s="33"/>
      <c r="S26" s="33"/>
      <c r="T26" s="33"/>
      <c r="U26" s="33"/>
      <c r="V26" s="33"/>
      <c r="W26" s="33"/>
    </row>
    <row r="27" customFormat="false" ht="15" hidden="false" customHeight="false" outlineLevel="0" collapsed="false">
      <c r="A27" s="33"/>
      <c r="B27" s="33"/>
      <c r="C27" s="33"/>
      <c r="D27" s="33"/>
      <c r="E27" s="33"/>
      <c r="F27" s="33"/>
      <c r="G27" s="33"/>
      <c r="H27" s="33"/>
      <c r="I27" s="33"/>
      <c r="J27" s="33"/>
      <c r="K27" s="33"/>
      <c r="L27" s="34"/>
      <c r="M27" s="34"/>
      <c r="N27" s="34"/>
      <c r="O27" s="34"/>
      <c r="P27" s="33"/>
      <c r="Q27" s="35"/>
      <c r="R27" s="33"/>
      <c r="S27" s="33"/>
      <c r="T27" s="33"/>
      <c r="U27" s="33"/>
      <c r="V27" s="33"/>
      <c r="W27" s="33"/>
    </row>
    <row r="28" customFormat="false" ht="15" hidden="false" customHeight="false" outlineLevel="0" collapsed="false">
      <c r="A28" s="33"/>
      <c r="B28" s="33"/>
      <c r="C28" s="33"/>
      <c r="D28" s="33"/>
      <c r="E28" s="33"/>
      <c r="F28" s="33"/>
      <c r="G28" s="33"/>
      <c r="H28" s="33"/>
      <c r="I28" s="33"/>
      <c r="J28" s="33"/>
      <c r="K28" s="33"/>
      <c r="L28" s="34"/>
      <c r="M28" s="34"/>
      <c r="N28" s="34"/>
      <c r="O28" s="34"/>
      <c r="P28" s="33"/>
      <c r="Q28" s="35"/>
      <c r="R28" s="33"/>
      <c r="S28" s="33"/>
      <c r="T28" s="33"/>
      <c r="U28" s="33"/>
      <c r="V28" s="33"/>
      <c r="W28" s="33"/>
    </row>
    <row r="29" customFormat="false" ht="15" hidden="false" customHeight="false" outlineLevel="0" collapsed="false">
      <c r="A29" s="33"/>
      <c r="B29" s="33"/>
      <c r="C29" s="33"/>
      <c r="D29" s="33"/>
      <c r="E29" s="33"/>
      <c r="F29" s="33"/>
      <c r="G29" s="33"/>
      <c r="H29" s="33"/>
      <c r="I29" s="33"/>
      <c r="J29" s="33"/>
      <c r="K29" s="33"/>
      <c r="L29" s="34"/>
      <c r="M29" s="34"/>
      <c r="N29" s="34"/>
      <c r="O29" s="34"/>
      <c r="P29" s="33"/>
      <c r="Q29" s="35"/>
      <c r="R29" s="33"/>
      <c r="S29" s="33"/>
      <c r="T29" s="33"/>
      <c r="U29" s="33"/>
      <c r="V29" s="33"/>
      <c r="W29" s="33"/>
    </row>
    <row r="30" customFormat="false" ht="15" hidden="false" customHeight="false" outlineLevel="0" collapsed="false">
      <c r="A30" s="33"/>
      <c r="B30" s="33"/>
      <c r="C30" s="33"/>
      <c r="D30" s="33"/>
      <c r="E30" s="33"/>
      <c r="F30" s="33"/>
      <c r="G30" s="33"/>
      <c r="H30" s="33"/>
      <c r="I30" s="33"/>
      <c r="J30" s="33"/>
      <c r="K30" s="33"/>
      <c r="L30" s="34"/>
      <c r="M30" s="34"/>
      <c r="N30" s="34"/>
      <c r="O30" s="34"/>
      <c r="P30" s="33"/>
      <c r="Q30" s="35"/>
      <c r="R30" s="33"/>
      <c r="S30" s="33"/>
      <c r="T30" s="33"/>
      <c r="U30" s="33"/>
      <c r="V30" s="33"/>
      <c r="W30" s="33"/>
    </row>
    <row r="31" customFormat="false" ht="15" hidden="false" customHeight="false" outlineLevel="0" collapsed="false">
      <c r="A31" s="33"/>
      <c r="B31" s="33"/>
      <c r="C31" s="33"/>
      <c r="D31" s="33"/>
      <c r="E31" s="33"/>
      <c r="F31" s="33"/>
      <c r="G31" s="33"/>
      <c r="H31" s="33"/>
      <c r="I31" s="33"/>
      <c r="J31" s="33"/>
      <c r="K31" s="33"/>
      <c r="L31" s="34"/>
      <c r="M31" s="34"/>
      <c r="N31" s="34"/>
      <c r="O31" s="34"/>
      <c r="P31" s="33"/>
      <c r="Q31" s="35"/>
      <c r="R31" s="33"/>
      <c r="S31" s="33"/>
      <c r="T31" s="33"/>
      <c r="U31" s="33"/>
      <c r="V31" s="33"/>
      <c r="W31" s="33"/>
    </row>
    <row r="32" customFormat="false" ht="15" hidden="false" customHeight="false" outlineLevel="0" collapsed="false">
      <c r="A32" s="33"/>
      <c r="B32" s="33"/>
      <c r="C32" s="33"/>
      <c r="D32" s="33"/>
      <c r="E32" s="33"/>
      <c r="F32" s="33"/>
      <c r="G32" s="33"/>
      <c r="H32" s="33"/>
      <c r="I32" s="33"/>
      <c r="J32" s="33"/>
      <c r="K32" s="33"/>
      <c r="L32" s="34"/>
      <c r="M32" s="34"/>
      <c r="N32" s="34"/>
      <c r="O32" s="34"/>
      <c r="P32" s="33"/>
      <c r="Q32" s="35"/>
      <c r="R32" s="33"/>
      <c r="S32" s="33"/>
      <c r="T32" s="33"/>
      <c r="U32" s="33"/>
      <c r="V32" s="33"/>
      <c r="W32" s="33"/>
    </row>
    <row r="33" customFormat="false" ht="15" hidden="false" customHeight="false" outlineLevel="0" collapsed="false">
      <c r="A33" s="33"/>
      <c r="B33" s="33"/>
      <c r="C33" s="33"/>
      <c r="D33" s="33"/>
      <c r="E33" s="33"/>
      <c r="F33" s="33"/>
      <c r="G33" s="33"/>
      <c r="H33" s="33"/>
      <c r="I33" s="33"/>
      <c r="J33" s="33"/>
      <c r="K33" s="33"/>
      <c r="L33" s="34"/>
      <c r="M33" s="34"/>
      <c r="N33" s="34"/>
      <c r="O33" s="34"/>
      <c r="P33" s="33"/>
      <c r="Q33" s="35"/>
      <c r="R33" s="33"/>
      <c r="S33" s="33"/>
      <c r="T33" s="33"/>
      <c r="U33" s="33"/>
      <c r="V33" s="33"/>
      <c r="W33" s="33"/>
    </row>
    <row r="34" customFormat="false" ht="15" hidden="false" customHeight="false" outlineLevel="0" collapsed="false">
      <c r="A34" s="33"/>
      <c r="B34" s="33"/>
      <c r="C34" s="33"/>
      <c r="D34" s="33"/>
      <c r="E34" s="33"/>
      <c r="F34" s="33"/>
      <c r="G34" s="33"/>
      <c r="H34" s="33"/>
      <c r="I34" s="33"/>
      <c r="J34" s="33"/>
      <c r="K34" s="33"/>
      <c r="L34" s="34"/>
      <c r="M34" s="34"/>
      <c r="N34" s="34"/>
      <c r="O34" s="34"/>
      <c r="P34" s="33"/>
      <c r="Q34" s="35"/>
      <c r="R34" s="33"/>
      <c r="S34" s="33"/>
      <c r="T34" s="33"/>
      <c r="U34" s="33"/>
      <c r="V34" s="33"/>
      <c r="W34" s="33"/>
    </row>
    <row r="35" customFormat="false" ht="15" hidden="false" customHeight="false" outlineLevel="0" collapsed="false">
      <c r="A35" s="33"/>
      <c r="B35" s="33"/>
      <c r="C35" s="33"/>
      <c r="D35" s="33"/>
      <c r="E35" s="33"/>
      <c r="F35" s="33"/>
      <c r="G35" s="33"/>
      <c r="H35" s="33"/>
      <c r="I35" s="33"/>
      <c r="J35" s="33"/>
      <c r="K35" s="33"/>
      <c r="L35" s="34"/>
      <c r="M35" s="34"/>
      <c r="N35" s="34"/>
      <c r="O35" s="34"/>
      <c r="P35" s="33"/>
      <c r="Q35" s="35"/>
      <c r="R35" s="33"/>
      <c r="S35" s="33"/>
      <c r="T35" s="33"/>
      <c r="U35" s="33"/>
      <c r="V35" s="33"/>
      <c r="W35" s="33"/>
    </row>
    <row r="36" customFormat="false" ht="15" hidden="false" customHeight="false" outlineLevel="0" collapsed="false">
      <c r="A36" s="33"/>
      <c r="B36" s="33"/>
      <c r="C36" s="33"/>
      <c r="D36" s="33"/>
      <c r="E36" s="33"/>
      <c r="F36" s="33"/>
      <c r="G36" s="33"/>
      <c r="H36" s="33"/>
      <c r="I36" s="33"/>
      <c r="J36" s="33"/>
      <c r="K36" s="33"/>
      <c r="L36" s="34"/>
      <c r="M36" s="34"/>
      <c r="N36" s="34"/>
      <c r="O36" s="34"/>
      <c r="P36" s="33"/>
      <c r="Q36" s="35"/>
      <c r="R36" s="33"/>
      <c r="S36" s="33"/>
      <c r="T36" s="33"/>
      <c r="U36" s="33"/>
      <c r="V36" s="33"/>
      <c r="W36" s="33"/>
    </row>
    <row r="37" customFormat="false" ht="15" hidden="false" customHeight="false" outlineLevel="0" collapsed="false">
      <c r="A37" s="33"/>
      <c r="B37" s="33"/>
      <c r="C37" s="33"/>
      <c r="D37" s="33"/>
      <c r="E37" s="33"/>
      <c r="F37" s="33"/>
      <c r="G37" s="33"/>
      <c r="H37" s="33"/>
      <c r="I37" s="33"/>
      <c r="J37" s="33"/>
      <c r="K37" s="33"/>
      <c r="L37" s="34"/>
      <c r="M37" s="34"/>
      <c r="N37" s="34"/>
      <c r="O37" s="34"/>
      <c r="P37" s="33"/>
      <c r="Q37" s="35"/>
      <c r="R37" s="33"/>
      <c r="S37" s="33"/>
      <c r="T37" s="33"/>
      <c r="U37" s="33"/>
      <c r="V37" s="33"/>
      <c r="W37" s="33"/>
    </row>
    <row r="38" customFormat="false" ht="15" hidden="false" customHeight="false" outlineLevel="0" collapsed="false">
      <c r="A38" s="33"/>
      <c r="B38" s="33"/>
      <c r="C38" s="33"/>
      <c r="D38" s="33"/>
      <c r="E38" s="33"/>
      <c r="F38" s="33"/>
      <c r="G38" s="33"/>
      <c r="H38" s="33"/>
      <c r="I38" s="33"/>
      <c r="J38" s="33"/>
      <c r="K38" s="33"/>
      <c r="L38" s="34"/>
      <c r="M38" s="34"/>
      <c r="N38" s="34"/>
      <c r="O38" s="34"/>
      <c r="P38" s="33"/>
      <c r="Q38" s="35"/>
      <c r="R38" s="33"/>
      <c r="S38" s="33"/>
      <c r="T38" s="33"/>
      <c r="U38" s="33"/>
      <c r="V38" s="33"/>
      <c r="W38" s="33"/>
    </row>
    <row r="39" customFormat="false" ht="15" hidden="false" customHeight="false" outlineLevel="0" collapsed="false">
      <c r="A39" s="33"/>
      <c r="B39" s="33"/>
      <c r="C39" s="33"/>
      <c r="D39" s="33"/>
      <c r="E39" s="33"/>
      <c r="F39" s="33"/>
      <c r="G39" s="33"/>
      <c r="H39" s="33"/>
      <c r="I39" s="33"/>
      <c r="J39" s="33"/>
      <c r="K39" s="33"/>
      <c r="L39" s="34"/>
      <c r="M39" s="34"/>
      <c r="N39" s="34"/>
      <c r="O39" s="34"/>
      <c r="P39" s="33"/>
      <c r="Q39" s="35"/>
      <c r="R39" s="33"/>
      <c r="S39" s="33"/>
      <c r="T39" s="33"/>
      <c r="U39" s="33"/>
      <c r="V39" s="33"/>
      <c r="W39" s="33"/>
    </row>
    <row r="40" customFormat="false" ht="15" hidden="false" customHeight="false" outlineLevel="0" collapsed="false">
      <c r="A40" s="33"/>
      <c r="B40" s="33"/>
      <c r="C40" s="33"/>
      <c r="D40" s="33"/>
      <c r="E40" s="33"/>
      <c r="F40" s="33"/>
      <c r="G40" s="33"/>
      <c r="H40" s="33"/>
      <c r="I40" s="33"/>
      <c r="J40" s="33"/>
      <c r="K40" s="33"/>
      <c r="L40" s="34"/>
      <c r="M40" s="34"/>
      <c r="N40" s="34"/>
      <c r="O40" s="34"/>
      <c r="P40" s="33"/>
      <c r="Q40" s="35"/>
      <c r="R40" s="33"/>
      <c r="S40" s="33"/>
      <c r="T40" s="33"/>
      <c r="U40" s="33"/>
      <c r="V40" s="33"/>
      <c r="W40" s="33"/>
    </row>
    <row r="41" customFormat="false" ht="15" hidden="false" customHeight="false" outlineLevel="0" collapsed="false">
      <c r="A41" s="33"/>
      <c r="B41" s="33"/>
      <c r="C41" s="33"/>
      <c r="D41" s="33"/>
      <c r="E41" s="33"/>
      <c r="F41" s="33"/>
      <c r="G41" s="33"/>
      <c r="H41" s="33"/>
      <c r="I41" s="33"/>
      <c r="J41" s="33"/>
      <c r="K41" s="33"/>
      <c r="L41" s="34"/>
      <c r="M41" s="34"/>
      <c r="N41" s="34"/>
      <c r="O41" s="34"/>
      <c r="P41" s="33"/>
      <c r="Q41" s="35"/>
      <c r="R41" s="33"/>
      <c r="S41" s="33"/>
      <c r="T41" s="33"/>
      <c r="U41" s="33"/>
      <c r="V41" s="33"/>
      <c r="W41" s="33"/>
    </row>
    <row r="42" customFormat="false" ht="15" hidden="false" customHeight="false" outlineLevel="0" collapsed="false">
      <c r="A42" s="33"/>
      <c r="B42" s="33"/>
      <c r="C42" s="33"/>
      <c r="D42" s="33"/>
      <c r="E42" s="33"/>
      <c r="F42" s="33"/>
      <c r="G42" s="33"/>
      <c r="H42" s="33"/>
      <c r="I42" s="33"/>
      <c r="J42" s="33"/>
      <c r="K42" s="33"/>
      <c r="L42" s="34"/>
      <c r="M42" s="34"/>
      <c r="N42" s="34"/>
      <c r="O42" s="34"/>
      <c r="P42" s="33"/>
      <c r="Q42" s="35"/>
      <c r="R42" s="33"/>
      <c r="S42" s="33"/>
      <c r="T42" s="33"/>
      <c r="U42" s="33"/>
      <c r="V42" s="33"/>
      <c r="W42" s="33"/>
    </row>
    <row r="43" customFormat="false" ht="15" hidden="false" customHeight="false" outlineLevel="0" collapsed="false">
      <c r="A43" s="33"/>
      <c r="B43" s="33"/>
      <c r="C43" s="33"/>
      <c r="D43" s="33"/>
      <c r="E43" s="33"/>
      <c r="F43" s="33"/>
      <c r="G43" s="33"/>
      <c r="H43" s="33"/>
      <c r="I43" s="33"/>
      <c r="J43" s="33"/>
      <c r="K43" s="33"/>
      <c r="L43" s="34"/>
      <c r="M43" s="34"/>
      <c r="N43" s="34"/>
      <c r="O43" s="34"/>
      <c r="P43" s="33"/>
      <c r="Q43" s="35"/>
      <c r="R43" s="33"/>
      <c r="S43" s="33"/>
      <c r="T43" s="33"/>
      <c r="U43" s="33"/>
      <c r="V43" s="33"/>
      <c r="W43" s="33"/>
    </row>
    <row r="44" customFormat="false" ht="15" hidden="false" customHeight="false" outlineLevel="0" collapsed="false">
      <c r="A44" s="33"/>
      <c r="B44" s="33"/>
      <c r="C44" s="33"/>
      <c r="D44" s="33"/>
      <c r="E44" s="33"/>
      <c r="F44" s="33"/>
      <c r="G44" s="33"/>
      <c r="H44" s="33"/>
      <c r="I44" s="33"/>
      <c r="J44" s="33"/>
      <c r="K44" s="33"/>
      <c r="L44" s="34"/>
      <c r="M44" s="34"/>
      <c r="N44" s="34"/>
      <c r="O44" s="34"/>
      <c r="P44" s="33"/>
      <c r="Q44" s="35"/>
      <c r="R44" s="33"/>
      <c r="S44" s="33"/>
      <c r="T44" s="33"/>
      <c r="U44" s="33"/>
      <c r="V44" s="33"/>
      <c r="W44" s="33"/>
    </row>
    <row r="45" customFormat="false" ht="15" hidden="false" customHeight="false" outlineLevel="0" collapsed="false">
      <c r="A45" s="33"/>
      <c r="B45" s="33"/>
      <c r="C45" s="33"/>
      <c r="D45" s="33"/>
      <c r="E45" s="33"/>
      <c r="F45" s="33"/>
      <c r="G45" s="33"/>
      <c r="H45" s="33"/>
      <c r="I45" s="33"/>
      <c r="J45" s="33"/>
      <c r="K45" s="33"/>
      <c r="L45" s="34"/>
      <c r="M45" s="34"/>
      <c r="N45" s="34"/>
      <c r="O45" s="34"/>
      <c r="P45" s="33"/>
      <c r="Q45" s="35"/>
      <c r="R45" s="33"/>
      <c r="S45" s="33"/>
      <c r="T45" s="33"/>
      <c r="U45" s="33"/>
      <c r="V45" s="33"/>
      <c r="W45" s="33"/>
    </row>
    <row r="46" customFormat="false" ht="15" hidden="false" customHeight="false" outlineLevel="0" collapsed="false">
      <c r="A46" s="33"/>
      <c r="B46" s="33"/>
      <c r="C46" s="33"/>
      <c r="D46" s="33"/>
      <c r="E46" s="33"/>
      <c r="F46" s="33"/>
      <c r="G46" s="33"/>
      <c r="H46" s="33"/>
      <c r="I46" s="33"/>
      <c r="J46" s="33"/>
      <c r="K46" s="33"/>
      <c r="L46" s="34"/>
      <c r="M46" s="34"/>
      <c r="N46" s="34"/>
      <c r="O46" s="34"/>
      <c r="P46" s="33"/>
      <c r="Q46" s="35"/>
      <c r="R46" s="33"/>
      <c r="S46" s="33"/>
      <c r="T46" s="33"/>
      <c r="U46" s="33"/>
      <c r="V46" s="33"/>
      <c r="W46" s="33"/>
    </row>
    <row r="47" customFormat="false" ht="15" hidden="false" customHeight="false" outlineLevel="0" collapsed="false">
      <c r="A47" s="33"/>
      <c r="B47" s="33"/>
      <c r="C47" s="33"/>
      <c r="D47" s="33"/>
      <c r="E47" s="33"/>
      <c r="F47" s="33"/>
      <c r="G47" s="33"/>
      <c r="H47" s="33"/>
      <c r="I47" s="33"/>
      <c r="J47" s="33"/>
      <c r="K47" s="33"/>
      <c r="L47" s="34"/>
      <c r="M47" s="34"/>
      <c r="N47" s="34"/>
      <c r="O47" s="34"/>
      <c r="P47" s="33"/>
      <c r="Q47" s="35"/>
      <c r="R47" s="33"/>
      <c r="S47" s="33"/>
      <c r="T47" s="33"/>
      <c r="U47" s="33"/>
      <c r="V47" s="33"/>
      <c r="W47" s="33"/>
    </row>
    <row r="48" customFormat="false" ht="15" hidden="false" customHeight="false" outlineLevel="0" collapsed="false">
      <c r="A48" s="33"/>
      <c r="B48" s="33"/>
      <c r="C48" s="33"/>
      <c r="D48" s="33"/>
      <c r="E48" s="33"/>
      <c r="F48" s="33"/>
      <c r="G48" s="33"/>
      <c r="H48" s="33"/>
      <c r="I48" s="33"/>
      <c r="J48" s="33"/>
      <c r="K48" s="33"/>
      <c r="L48" s="34"/>
      <c r="M48" s="34"/>
      <c r="N48" s="34"/>
      <c r="O48" s="34"/>
      <c r="P48" s="33"/>
      <c r="Q48" s="35"/>
      <c r="R48" s="33"/>
      <c r="S48" s="33"/>
      <c r="T48" s="33"/>
      <c r="U48" s="33"/>
      <c r="V48" s="33"/>
      <c r="W48" s="33"/>
    </row>
    <row r="49" customFormat="false" ht="15" hidden="false" customHeight="false" outlineLevel="0" collapsed="false">
      <c r="A49" s="33"/>
      <c r="B49" s="33"/>
      <c r="C49" s="33"/>
      <c r="D49" s="33"/>
      <c r="E49" s="33"/>
      <c r="F49" s="33"/>
      <c r="G49" s="33"/>
      <c r="H49" s="33"/>
      <c r="I49" s="33"/>
      <c r="J49" s="33"/>
      <c r="K49" s="33"/>
      <c r="L49" s="34"/>
      <c r="M49" s="34"/>
      <c r="N49" s="34"/>
      <c r="O49" s="34"/>
      <c r="P49" s="33"/>
      <c r="Q49" s="35"/>
      <c r="R49" s="33"/>
      <c r="S49" s="33"/>
      <c r="T49" s="33"/>
      <c r="U49" s="33"/>
      <c r="V49" s="33"/>
      <c r="W49" s="33"/>
    </row>
    <row r="50" customFormat="false" ht="15" hidden="false" customHeight="false" outlineLevel="0" collapsed="false">
      <c r="A50" s="33"/>
      <c r="B50" s="33"/>
      <c r="C50" s="33"/>
      <c r="D50" s="33"/>
      <c r="E50" s="33"/>
      <c r="F50" s="33"/>
      <c r="G50" s="33"/>
      <c r="H50" s="33"/>
      <c r="I50" s="33"/>
      <c r="J50" s="33"/>
      <c r="K50" s="33"/>
      <c r="L50" s="34"/>
      <c r="M50" s="34"/>
      <c r="N50" s="34"/>
      <c r="O50" s="34"/>
      <c r="P50" s="33"/>
      <c r="Q50" s="35"/>
      <c r="R50" s="33"/>
      <c r="S50" s="33"/>
      <c r="T50" s="33"/>
      <c r="U50" s="33"/>
      <c r="V50" s="33"/>
      <c r="W50" s="33"/>
    </row>
    <row r="51" customFormat="false" ht="15" hidden="false" customHeight="false" outlineLevel="0" collapsed="false">
      <c r="A51" s="33"/>
      <c r="B51" s="33"/>
      <c r="C51" s="33"/>
      <c r="D51" s="33"/>
      <c r="E51" s="33"/>
      <c r="F51" s="33"/>
      <c r="G51" s="33"/>
      <c r="H51" s="33"/>
      <c r="I51" s="33"/>
      <c r="J51" s="33"/>
      <c r="K51" s="33"/>
      <c r="L51" s="34"/>
      <c r="M51" s="34"/>
      <c r="N51" s="34"/>
      <c r="O51" s="34"/>
      <c r="P51" s="33"/>
      <c r="Q51" s="35"/>
      <c r="R51" s="33"/>
      <c r="S51" s="33"/>
      <c r="T51" s="33"/>
      <c r="U51" s="33"/>
      <c r="V51" s="33"/>
      <c r="W51" s="33"/>
    </row>
    <row r="52" customFormat="false" ht="15" hidden="false" customHeight="false" outlineLevel="0" collapsed="false">
      <c r="A52" s="33"/>
      <c r="B52" s="33"/>
      <c r="C52" s="33"/>
      <c r="D52" s="33"/>
      <c r="E52" s="33"/>
      <c r="F52" s="33"/>
      <c r="G52" s="33"/>
      <c r="H52" s="33"/>
      <c r="I52" s="33"/>
      <c r="J52" s="33"/>
      <c r="K52" s="33"/>
      <c r="L52" s="34"/>
      <c r="M52" s="34"/>
      <c r="N52" s="34"/>
      <c r="O52" s="34"/>
      <c r="P52" s="33"/>
      <c r="Q52" s="35"/>
      <c r="R52" s="33"/>
      <c r="S52" s="33"/>
      <c r="T52" s="33"/>
      <c r="U52" s="33"/>
      <c r="V52" s="33"/>
      <c r="W52" s="33"/>
    </row>
    <row r="53" customFormat="false" ht="15" hidden="false" customHeight="false" outlineLevel="0" collapsed="false">
      <c r="A53" s="33"/>
      <c r="B53" s="33"/>
      <c r="C53" s="33"/>
      <c r="D53" s="33"/>
      <c r="E53" s="33"/>
      <c r="F53" s="33"/>
      <c r="G53" s="33"/>
      <c r="H53" s="33"/>
      <c r="I53" s="33"/>
      <c r="J53" s="33"/>
      <c r="K53" s="33"/>
      <c r="L53" s="34"/>
      <c r="M53" s="34"/>
      <c r="N53" s="34"/>
      <c r="O53" s="34"/>
      <c r="P53" s="33"/>
      <c r="Q53" s="35"/>
      <c r="R53" s="33"/>
      <c r="S53" s="33"/>
      <c r="T53" s="33"/>
      <c r="U53" s="33"/>
      <c r="V53" s="33"/>
      <c r="W53" s="33"/>
    </row>
    <row r="54" customFormat="false" ht="15" hidden="false" customHeight="false" outlineLevel="0" collapsed="false">
      <c r="A54" s="33"/>
      <c r="B54" s="33"/>
      <c r="C54" s="33"/>
      <c r="D54" s="33"/>
      <c r="E54" s="33"/>
      <c r="F54" s="33"/>
      <c r="G54" s="33"/>
      <c r="H54" s="33"/>
      <c r="I54" s="33"/>
      <c r="J54" s="33"/>
      <c r="K54" s="33"/>
      <c r="L54" s="34"/>
      <c r="M54" s="34"/>
      <c r="N54" s="34"/>
      <c r="O54" s="34"/>
      <c r="P54" s="33"/>
      <c r="Q54" s="35"/>
      <c r="R54" s="33"/>
      <c r="S54" s="33"/>
      <c r="T54" s="33"/>
      <c r="U54" s="33"/>
      <c r="V54" s="33"/>
      <c r="W54" s="33"/>
    </row>
    <row r="55" customFormat="false" ht="15" hidden="false" customHeight="false" outlineLevel="0" collapsed="false">
      <c r="A55" s="33"/>
      <c r="B55" s="33"/>
      <c r="C55" s="33"/>
      <c r="D55" s="33"/>
      <c r="E55" s="33"/>
      <c r="F55" s="33"/>
      <c r="G55" s="33"/>
      <c r="H55" s="33"/>
      <c r="I55" s="33"/>
      <c r="J55" s="33"/>
      <c r="K55" s="33"/>
      <c r="L55" s="34"/>
      <c r="M55" s="34"/>
      <c r="N55" s="34"/>
      <c r="O55" s="34"/>
      <c r="P55" s="33"/>
      <c r="Q55" s="35"/>
      <c r="R55" s="33"/>
      <c r="S55" s="33"/>
      <c r="T55" s="33"/>
      <c r="U55" s="33"/>
      <c r="V55" s="33"/>
      <c r="W55" s="33"/>
    </row>
    <row r="56" customFormat="false" ht="15" hidden="false" customHeight="false" outlineLevel="0" collapsed="false">
      <c r="A56" s="33"/>
      <c r="B56" s="33"/>
      <c r="C56" s="33"/>
      <c r="D56" s="33"/>
      <c r="E56" s="33"/>
      <c r="F56" s="33"/>
      <c r="G56" s="33"/>
      <c r="H56" s="33"/>
      <c r="I56" s="33"/>
      <c r="J56" s="33"/>
      <c r="K56" s="33"/>
      <c r="L56" s="34"/>
      <c r="M56" s="34"/>
      <c r="N56" s="34"/>
      <c r="O56" s="34"/>
      <c r="P56" s="33"/>
      <c r="Q56" s="35"/>
      <c r="R56" s="33"/>
      <c r="S56" s="33"/>
      <c r="T56" s="33"/>
      <c r="U56" s="33"/>
      <c r="V56" s="33"/>
      <c r="W56" s="33"/>
    </row>
    <row r="57" customFormat="false" ht="15" hidden="false" customHeight="false" outlineLevel="0" collapsed="false">
      <c r="A57" s="33"/>
      <c r="B57" s="33"/>
      <c r="C57" s="33"/>
      <c r="D57" s="33"/>
      <c r="E57" s="33"/>
      <c r="F57" s="33"/>
      <c r="G57" s="33"/>
      <c r="H57" s="33"/>
      <c r="I57" s="33"/>
      <c r="J57" s="33"/>
      <c r="K57" s="33"/>
      <c r="L57" s="34"/>
      <c r="M57" s="34"/>
      <c r="N57" s="34"/>
      <c r="O57" s="34"/>
      <c r="P57" s="33"/>
      <c r="Q57" s="35"/>
      <c r="R57" s="33"/>
      <c r="S57" s="33"/>
      <c r="T57" s="33"/>
      <c r="U57" s="33"/>
      <c r="V57" s="33"/>
      <c r="W57" s="33"/>
    </row>
    <row r="58" customFormat="false" ht="15" hidden="false" customHeight="false" outlineLevel="0" collapsed="false">
      <c r="A58" s="33"/>
      <c r="B58" s="33"/>
      <c r="C58" s="33"/>
      <c r="D58" s="33"/>
      <c r="E58" s="33"/>
      <c r="F58" s="33"/>
      <c r="G58" s="33"/>
      <c r="H58" s="33"/>
      <c r="I58" s="33"/>
      <c r="J58" s="33"/>
      <c r="K58" s="33"/>
      <c r="L58" s="34"/>
      <c r="M58" s="34"/>
      <c r="N58" s="34"/>
      <c r="O58" s="34"/>
      <c r="P58" s="33"/>
      <c r="Q58" s="35"/>
      <c r="R58" s="33"/>
      <c r="S58" s="33"/>
      <c r="T58" s="33"/>
      <c r="U58" s="33"/>
      <c r="V58" s="33"/>
      <c r="W58" s="33"/>
    </row>
    <row r="59" customFormat="false" ht="15" hidden="false" customHeight="false" outlineLevel="0" collapsed="false">
      <c r="A59" s="33"/>
      <c r="B59" s="33"/>
      <c r="C59" s="33"/>
      <c r="D59" s="33"/>
      <c r="E59" s="33"/>
      <c r="F59" s="33"/>
      <c r="G59" s="33"/>
      <c r="H59" s="33"/>
      <c r="I59" s="33"/>
      <c r="J59" s="33"/>
      <c r="K59" s="33"/>
      <c r="L59" s="34"/>
      <c r="M59" s="34"/>
      <c r="N59" s="34"/>
      <c r="O59" s="34"/>
      <c r="P59" s="33"/>
      <c r="Q59" s="35"/>
      <c r="R59" s="33"/>
      <c r="S59" s="33"/>
      <c r="T59" s="33"/>
      <c r="U59" s="33"/>
      <c r="V59" s="33"/>
      <c r="W59" s="33"/>
    </row>
    <row r="60" customFormat="false" ht="15" hidden="false" customHeight="false" outlineLevel="0" collapsed="false">
      <c r="A60" s="33"/>
      <c r="B60" s="33"/>
      <c r="C60" s="33"/>
      <c r="D60" s="33"/>
      <c r="E60" s="33"/>
      <c r="F60" s="33"/>
      <c r="G60" s="33"/>
      <c r="H60" s="33"/>
      <c r="I60" s="33"/>
      <c r="J60" s="33"/>
      <c r="K60" s="33"/>
      <c r="L60" s="34"/>
      <c r="M60" s="34"/>
      <c r="N60" s="34"/>
      <c r="O60" s="34"/>
      <c r="P60" s="33"/>
      <c r="Q60" s="35"/>
      <c r="R60" s="33"/>
      <c r="S60" s="33"/>
      <c r="T60" s="33"/>
      <c r="U60" s="33"/>
      <c r="V60" s="33"/>
      <c r="W60" s="33"/>
    </row>
    <row r="61" customFormat="false" ht="15" hidden="false" customHeight="false" outlineLevel="0" collapsed="false">
      <c r="A61" s="33"/>
      <c r="B61" s="33"/>
      <c r="C61" s="33"/>
      <c r="D61" s="33"/>
      <c r="E61" s="33"/>
      <c r="F61" s="33"/>
      <c r="G61" s="33"/>
      <c r="H61" s="33"/>
      <c r="I61" s="33"/>
      <c r="J61" s="33"/>
      <c r="K61" s="33"/>
      <c r="L61" s="34"/>
      <c r="M61" s="34"/>
      <c r="N61" s="34"/>
      <c r="O61" s="34"/>
      <c r="P61" s="33"/>
      <c r="Q61" s="35"/>
      <c r="R61" s="33"/>
      <c r="S61" s="33"/>
      <c r="T61" s="33"/>
      <c r="U61" s="33"/>
      <c r="V61" s="33"/>
      <c r="W61" s="33"/>
    </row>
    <row r="62" customFormat="false" ht="15" hidden="false" customHeight="false" outlineLevel="0" collapsed="false">
      <c r="A62" s="33"/>
      <c r="B62" s="33"/>
      <c r="C62" s="33"/>
      <c r="D62" s="33"/>
      <c r="E62" s="33"/>
      <c r="F62" s="33"/>
      <c r="G62" s="33"/>
      <c r="H62" s="33"/>
      <c r="I62" s="33"/>
      <c r="J62" s="33"/>
      <c r="K62" s="33"/>
      <c r="L62" s="34"/>
      <c r="M62" s="34"/>
      <c r="N62" s="34"/>
      <c r="O62" s="34"/>
      <c r="P62" s="33"/>
      <c r="Q62" s="35"/>
      <c r="R62" s="33"/>
      <c r="S62" s="33"/>
      <c r="T62" s="33"/>
      <c r="U62" s="33"/>
      <c r="V62" s="33"/>
      <c r="W62" s="33"/>
    </row>
    <row r="63" customFormat="false" ht="15" hidden="false" customHeight="false" outlineLevel="0" collapsed="false">
      <c r="A63" s="33"/>
      <c r="B63" s="33"/>
      <c r="C63" s="33"/>
      <c r="D63" s="33"/>
      <c r="E63" s="33"/>
      <c r="F63" s="33"/>
      <c r="G63" s="33"/>
      <c r="H63" s="33"/>
      <c r="I63" s="33"/>
      <c r="J63" s="33"/>
      <c r="K63" s="33"/>
      <c r="L63" s="34"/>
      <c r="M63" s="34"/>
      <c r="N63" s="34"/>
      <c r="O63" s="34"/>
      <c r="P63" s="33"/>
      <c r="Q63" s="35"/>
      <c r="R63" s="33"/>
      <c r="S63" s="33"/>
      <c r="T63" s="33"/>
      <c r="U63" s="33"/>
      <c r="V63" s="33"/>
      <c r="W63" s="33"/>
    </row>
    <row r="64" customFormat="false" ht="15" hidden="false" customHeight="false" outlineLevel="0" collapsed="false">
      <c r="A64" s="33"/>
      <c r="B64" s="33"/>
      <c r="C64" s="33"/>
      <c r="D64" s="33"/>
      <c r="E64" s="33"/>
      <c r="F64" s="33"/>
      <c r="G64" s="33"/>
      <c r="H64" s="33"/>
      <c r="I64" s="33"/>
      <c r="J64" s="33"/>
      <c r="K64" s="33"/>
      <c r="L64" s="34"/>
      <c r="M64" s="34"/>
      <c r="N64" s="34"/>
      <c r="O64" s="34"/>
      <c r="P64" s="33"/>
      <c r="Q64" s="35"/>
      <c r="R64" s="33"/>
      <c r="S64" s="33"/>
      <c r="T64" s="33"/>
      <c r="U64" s="33"/>
      <c r="V64" s="33"/>
      <c r="W64" s="33"/>
    </row>
    <row r="65" customFormat="false" ht="15" hidden="false" customHeight="false" outlineLevel="0" collapsed="false">
      <c r="A65" s="33"/>
      <c r="B65" s="33"/>
      <c r="C65" s="33"/>
      <c r="D65" s="33"/>
      <c r="E65" s="33"/>
      <c r="F65" s="33"/>
      <c r="G65" s="33"/>
      <c r="H65" s="33"/>
      <c r="I65" s="33"/>
      <c r="J65" s="33"/>
      <c r="K65" s="33"/>
      <c r="L65" s="34"/>
      <c r="M65" s="34"/>
      <c r="N65" s="34"/>
      <c r="O65" s="34"/>
      <c r="P65" s="33"/>
      <c r="Q65" s="35"/>
      <c r="R65" s="33"/>
      <c r="S65" s="33"/>
      <c r="T65" s="33"/>
      <c r="U65" s="33"/>
      <c r="V65" s="33"/>
      <c r="W65" s="33"/>
    </row>
    <row r="66" customFormat="false" ht="15" hidden="false" customHeight="false" outlineLevel="0" collapsed="false">
      <c r="A66" s="33"/>
      <c r="B66" s="33"/>
      <c r="C66" s="33"/>
      <c r="D66" s="33"/>
      <c r="E66" s="33"/>
      <c r="F66" s="33"/>
      <c r="G66" s="33"/>
      <c r="H66" s="33"/>
      <c r="I66" s="33"/>
      <c r="J66" s="33"/>
      <c r="K66" s="33"/>
      <c r="L66" s="34"/>
      <c r="M66" s="34"/>
      <c r="N66" s="34"/>
      <c r="O66" s="34"/>
      <c r="P66" s="33"/>
      <c r="Q66" s="35"/>
      <c r="R66" s="33"/>
      <c r="S66" s="33"/>
      <c r="T66" s="33"/>
      <c r="U66" s="33"/>
      <c r="V66" s="33"/>
      <c r="W66" s="33"/>
    </row>
    <row r="67" customFormat="false" ht="15" hidden="false" customHeight="false" outlineLevel="0" collapsed="false">
      <c r="A67" s="33"/>
      <c r="B67" s="33"/>
      <c r="C67" s="33"/>
      <c r="D67" s="33"/>
      <c r="E67" s="33"/>
      <c r="F67" s="33"/>
      <c r="G67" s="33"/>
      <c r="H67" s="33"/>
      <c r="I67" s="33"/>
      <c r="J67" s="33"/>
      <c r="K67" s="33"/>
      <c r="L67" s="34"/>
      <c r="M67" s="34"/>
      <c r="N67" s="34"/>
      <c r="O67" s="34"/>
      <c r="P67" s="33"/>
      <c r="Q67" s="35"/>
      <c r="R67" s="33"/>
      <c r="S67" s="33"/>
      <c r="T67" s="33"/>
      <c r="U67" s="33"/>
      <c r="V67" s="33"/>
      <c r="W67" s="33"/>
    </row>
    <row r="68" customFormat="false" ht="15" hidden="false" customHeight="false" outlineLevel="0" collapsed="false">
      <c r="A68" s="33"/>
      <c r="B68" s="33"/>
      <c r="C68" s="33"/>
      <c r="D68" s="33"/>
      <c r="E68" s="33"/>
      <c r="F68" s="33"/>
      <c r="G68" s="33"/>
      <c r="H68" s="33"/>
      <c r="I68" s="33"/>
      <c r="J68" s="33"/>
      <c r="K68" s="33"/>
      <c r="L68" s="34"/>
      <c r="M68" s="34"/>
      <c r="N68" s="34"/>
      <c r="O68" s="34"/>
      <c r="P68" s="33"/>
      <c r="Q68" s="35"/>
      <c r="R68" s="33"/>
      <c r="S68" s="33"/>
      <c r="T68" s="33"/>
      <c r="U68" s="33"/>
      <c r="V68" s="33"/>
      <c r="W68" s="33"/>
    </row>
    <row r="69" customFormat="false" ht="15" hidden="false" customHeight="false" outlineLevel="0" collapsed="false">
      <c r="A69" s="33"/>
      <c r="B69" s="33"/>
      <c r="C69" s="33"/>
      <c r="D69" s="33"/>
      <c r="E69" s="33"/>
      <c r="F69" s="33"/>
      <c r="G69" s="33"/>
      <c r="H69" s="33"/>
      <c r="I69" s="33"/>
      <c r="J69" s="33"/>
      <c r="K69" s="33"/>
      <c r="L69" s="34"/>
      <c r="M69" s="34"/>
      <c r="N69" s="34"/>
      <c r="O69" s="34"/>
      <c r="P69" s="33"/>
      <c r="Q69" s="35"/>
      <c r="R69" s="33"/>
      <c r="S69" s="33"/>
      <c r="T69" s="33"/>
      <c r="U69" s="33"/>
      <c r="V69" s="33"/>
      <c r="W69" s="33"/>
    </row>
    <row r="70" customFormat="false" ht="15" hidden="false" customHeight="false" outlineLevel="0" collapsed="false">
      <c r="A70" s="33"/>
      <c r="B70" s="33"/>
      <c r="C70" s="33"/>
      <c r="D70" s="33"/>
      <c r="E70" s="33"/>
      <c r="F70" s="33"/>
      <c r="G70" s="33"/>
      <c r="H70" s="33"/>
      <c r="I70" s="33"/>
      <c r="J70" s="33"/>
      <c r="K70" s="33"/>
      <c r="L70" s="34"/>
      <c r="M70" s="34"/>
      <c r="N70" s="34"/>
      <c r="O70" s="34"/>
      <c r="P70" s="33"/>
      <c r="Q70" s="35"/>
      <c r="R70" s="33"/>
      <c r="S70" s="33"/>
      <c r="T70" s="33"/>
      <c r="U70" s="33"/>
      <c r="V70" s="33"/>
      <c r="W70" s="33"/>
    </row>
    <row r="71" customFormat="false" ht="15" hidden="false" customHeight="false" outlineLevel="0" collapsed="false">
      <c r="A71" s="33"/>
      <c r="B71" s="33"/>
      <c r="C71" s="33"/>
      <c r="D71" s="33"/>
      <c r="E71" s="33"/>
      <c r="F71" s="33"/>
      <c r="G71" s="33"/>
      <c r="H71" s="33"/>
      <c r="I71" s="33"/>
      <c r="J71" s="33"/>
      <c r="K71" s="33"/>
      <c r="L71" s="34"/>
      <c r="M71" s="34"/>
      <c r="N71" s="34"/>
      <c r="O71" s="34"/>
      <c r="P71" s="33"/>
      <c r="Q71" s="35"/>
      <c r="R71" s="33"/>
      <c r="S71" s="33"/>
      <c r="T71" s="33"/>
      <c r="U71" s="33"/>
      <c r="V71" s="33"/>
      <c r="W71" s="33"/>
    </row>
    <row r="72" customFormat="false" ht="15" hidden="false" customHeight="false" outlineLevel="0" collapsed="false">
      <c r="A72" s="33"/>
      <c r="B72" s="33"/>
      <c r="C72" s="33"/>
      <c r="D72" s="33"/>
      <c r="E72" s="33"/>
      <c r="F72" s="33"/>
      <c r="G72" s="33"/>
      <c r="H72" s="33"/>
      <c r="I72" s="33"/>
      <c r="J72" s="33"/>
      <c r="K72" s="33"/>
      <c r="L72" s="34"/>
      <c r="M72" s="34"/>
      <c r="N72" s="34"/>
      <c r="O72" s="34"/>
      <c r="P72" s="33"/>
      <c r="Q72" s="35"/>
      <c r="R72" s="33"/>
      <c r="S72" s="33"/>
      <c r="T72" s="33"/>
      <c r="U72" s="33"/>
      <c r="V72" s="33"/>
      <c r="W72" s="33"/>
    </row>
    <row r="73" customFormat="false" ht="15" hidden="false" customHeight="false" outlineLevel="0" collapsed="false">
      <c r="A73" s="33"/>
      <c r="B73" s="33"/>
      <c r="C73" s="33"/>
      <c r="D73" s="33"/>
      <c r="E73" s="33"/>
      <c r="F73" s="33"/>
      <c r="G73" s="33"/>
      <c r="H73" s="33"/>
      <c r="I73" s="33"/>
      <c r="J73" s="33"/>
      <c r="K73" s="33"/>
      <c r="L73" s="34"/>
      <c r="M73" s="34"/>
      <c r="N73" s="34"/>
      <c r="O73" s="34"/>
      <c r="P73" s="33"/>
      <c r="Q73" s="35"/>
      <c r="R73" s="33"/>
      <c r="S73" s="33"/>
      <c r="T73" s="33"/>
      <c r="U73" s="33"/>
      <c r="V73" s="33"/>
      <c r="W73" s="33"/>
    </row>
    <row r="74" customFormat="false" ht="15" hidden="false" customHeight="false" outlineLevel="0" collapsed="false">
      <c r="A74" s="33"/>
      <c r="B74" s="33"/>
      <c r="C74" s="33"/>
      <c r="D74" s="33"/>
      <c r="E74" s="33"/>
      <c r="F74" s="33"/>
      <c r="G74" s="33"/>
      <c r="H74" s="33"/>
      <c r="I74" s="33"/>
      <c r="J74" s="33"/>
      <c r="K74" s="33"/>
      <c r="L74" s="34"/>
      <c r="M74" s="34"/>
      <c r="N74" s="34"/>
      <c r="O74" s="34"/>
      <c r="P74" s="33"/>
      <c r="Q74" s="35"/>
      <c r="R74" s="33"/>
      <c r="S74" s="33"/>
      <c r="T74" s="33"/>
      <c r="U74" s="33"/>
      <c r="V74" s="33"/>
      <c r="W74" s="33"/>
    </row>
    <row r="75" customFormat="false" ht="15" hidden="false" customHeight="false" outlineLevel="0" collapsed="false">
      <c r="A75" s="33"/>
      <c r="B75" s="33"/>
      <c r="C75" s="33"/>
      <c r="D75" s="33"/>
      <c r="E75" s="33"/>
      <c r="F75" s="33"/>
      <c r="G75" s="33"/>
      <c r="H75" s="33"/>
      <c r="I75" s="33"/>
      <c r="J75" s="33"/>
      <c r="K75" s="33"/>
      <c r="L75" s="34"/>
      <c r="M75" s="34"/>
      <c r="N75" s="34"/>
      <c r="O75" s="34"/>
      <c r="P75" s="33"/>
      <c r="Q75" s="35"/>
      <c r="R75" s="33"/>
      <c r="S75" s="33"/>
      <c r="T75" s="33"/>
      <c r="U75" s="33"/>
      <c r="V75" s="33"/>
      <c r="W75" s="33"/>
    </row>
    <row r="76" customFormat="false" ht="15" hidden="false" customHeight="false" outlineLevel="0" collapsed="false">
      <c r="A76" s="33"/>
      <c r="B76" s="33"/>
      <c r="C76" s="33"/>
      <c r="D76" s="33"/>
      <c r="E76" s="33"/>
      <c r="F76" s="33"/>
      <c r="G76" s="33"/>
      <c r="H76" s="33"/>
      <c r="I76" s="33"/>
      <c r="J76" s="33"/>
      <c r="K76" s="33"/>
      <c r="L76" s="34"/>
      <c r="M76" s="34"/>
      <c r="N76" s="34"/>
      <c r="O76" s="34"/>
      <c r="P76" s="33"/>
      <c r="Q76" s="35"/>
      <c r="R76" s="33"/>
      <c r="S76" s="33"/>
      <c r="T76" s="33"/>
      <c r="U76" s="33"/>
      <c r="V76" s="33"/>
      <c r="W76" s="33"/>
    </row>
    <row r="77" customFormat="false" ht="15" hidden="false" customHeight="false" outlineLevel="0" collapsed="false">
      <c r="A77" s="33"/>
      <c r="B77" s="33"/>
      <c r="C77" s="33"/>
      <c r="D77" s="33"/>
      <c r="E77" s="33"/>
      <c r="F77" s="33"/>
      <c r="G77" s="33"/>
      <c r="H77" s="33"/>
      <c r="I77" s="33"/>
      <c r="J77" s="33"/>
      <c r="K77" s="33"/>
      <c r="L77" s="34"/>
      <c r="M77" s="34"/>
      <c r="N77" s="34"/>
      <c r="O77" s="34"/>
      <c r="P77" s="33"/>
      <c r="Q77" s="35"/>
      <c r="R77" s="33"/>
      <c r="S77" s="33"/>
      <c r="T77" s="33"/>
      <c r="U77" s="33"/>
      <c r="V77" s="33"/>
      <c r="W77" s="33"/>
    </row>
    <row r="78" customFormat="false" ht="15" hidden="false" customHeight="false" outlineLevel="0" collapsed="false">
      <c r="A78" s="33"/>
      <c r="B78" s="33"/>
      <c r="C78" s="33"/>
      <c r="D78" s="33"/>
      <c r="E78" s="33"/>
      <c r="F78" s="33"/>
      <c r="G78" s="33"/>
      <c r="H78" s="33"/>
      <c r="I78" s="33"/>
      <c r="J78" s="33"/>
      <c r="K78" s="33"/>
      <c r="L78" s="34"/>
      <c r="M78" s="34"/>
      <c r="N78" s="34"/>
      <c r="O78" s="34"/>
      <c r="P78" s="33"/>
      <c r="Q78" s="35"/>
      <c r="R78" s="33"/>
      <c r="S78" s="33"/>
      <c r="T78" s="33"/>
      <c r="U78" s="33"/>
      <c r="V78" s="33"/>
      <c r="W78" s="33"/>
    </row>
    <row r="79" customFormat="false" ht="15" hidden="false" customHeight="false" outlineLevel="0" collapsed="false">
      <c r="A79" s="33"/>
      <c r="B79" s="33"/>
      <c r="C79" s="33"/>
      <c r="D79" s="33"/>
      <c r="E79" s="33"/>
      <c r="F79" s="33"/>
      <c r="G79" s="33"/>
      <c r="H79" s="33"/>
      <c r="I79" s="33"/>
      <c r="J79" s="33"/>
      <c r="K79" s="33"/>
      <c r="L79" s="34"/>
      <c r="M79" s="34"/>
      <c r="N79" s="34"/>
      <c r="O79" s="34"/>
      <c r="P79" s="33"/>
      <c r="Q79" s="35"/>
      <c r="R79" s="33"/>
      <c r="S79" s="33"/>
      <c r="T79" s="33"/>
      <c r="U79" s="33"/>
      <c r="V79" s="33"/>
      <c r="W79" s="33"/>
    </row>
    <row r="80" customFormat="false" ht="15" hidden="false" customHeight="false" outlineLevel="0" collapsed="false">
      <c r="A80" s="33"/>
      <c r="B80" s="33"/>
      <c r="C80" s="33"/>
      <c r="D80" s="33"/>
      <c r="E80" s="33"/>
      <c r="F80" s="33"/>
      <c r="G80" s="33"/>
      <c r="H80" s="33"/>
      <c r="I80" s="33"/>
      <c r="J80" s="33"/>
      <c r="K80" s="33"/>
      <c r="L80" s="34"/>
      <c r="M80" s="34"/>
      <c r="N80" s="34"/>
      <c r="O80" s="34"/>
      <c r="P80" s="33"/>
      <c r="Q80" s="35"/>
      <c r="R80" s="33"/>
      <c r="S80" s="33"/>
      <c r="T80" s="33"/>
      <c r="U80" s="33"/>
      <c r="V80" s="33"/>
      <c r="W80" s="33"/>
    </row>
    <row r="81" customFormat="false" ht="15" hidden="false" customHeight="false" outlineLevel="0" collapsed="false">
      <c r="A81" s="33"/>
      <c r="B81" s="33"/>
      <c r="C81" s="33"/>
      <c r="D81" s="33"/>
      <c r="E81" s="33"/>
      <c r="F81" s="33"/>
      <c r="G81" s="33"/>
      <c r="H81" s="33"/>
      <c r="I81" s="33"/>
      <c r="J81" s="33"/>
      <c r="K81" s="33"/>
      <c r="L81" s="34"/>
      <c r="M81" s="34"/>
      <c r="N81" s="34"/>
      <c r="O81" s="34"/>
      <c r="P81" s="33"/>
      <c r="Q81" s="35"/>
      <c r="R81" s="33"/>
      <c r="S81" s="33"/>
      <c r="T81" s="33"/>
      <c r="U81" s="33"/>
      <c r="V81" s="33"/>
      <c r="W81" s="33"/>
    </row>
    <row r="82" customFormat="false" ht="15" hidden="false" customHeight="false" outlineLevel="0" collapsed="false">
      <c r="A82" s="33"/>
      <c r="B82" s="33"/>
      <c r="C82" s="33"/>
      <c r="D82" s="33"/>
      <c r="E82" s="33"/>
      <c r="F82" s="33"/>
      <c r="G82" s="33"/>
      <c r="H82" s="33"/>
      <c r="I82" s="33"/>
      <c r="J82" s="33"/>
      <c r="K82" s="33"/>
      <c r="L82" s="34"/>
      <c r="M82" s="34"/>
      <c r="N82" s="34"/>
      <c r="O82" s="34"/>
      <c r="P82" s="33"/>
      <c r="Q82" s="35"/>
      <c r="R82" s="33"/>
      <c r="S82" s="33"/>
      <c r="T82" s="33"/>
      <c r="U82" s="33"/>
      <c r="V82" s="33"/>
      <c r="W82" s="33"/>
    </row>
    <row r="83" customFormat="false" ht="15" hidden="false" customHeight="false" outlineLevel="0" collapsed="false">
      <c r="A83" s="33"/>
      <c r="B83" s="33"/>
      <c r="C83" s="33"/>
      <c r="D83" s="33"/>
      <c r="E83" s="33"/>
      <c r="F83" s="33"/>
      <c r="G83" s="33"/>
      <c r="H83" s="33"/>
      <c r="I83" s="33"/>
      <c r="J83" s="33"/>
      <c r="K83" s="33"/>
      <c r="L83" s="34"/>
      <c r="M83" s="34"/>
      <c r="N83" s="34"/>
      <c r="O83" s="34"/>
      <c r="P83" s="33"/>
      <c r="Q83" s="35"/>
      <c r="R83" s="33"/>
      <c r="S83" s="33"/>
      <c r="T83" s="33"/>
      <c r="U83" s="33"/>
      <c r="V83" s="33"/>
      <c r="W83" s="33"/>
    </row>
    <row r="84" customFormat="false" ht="15" hidden="false" customHeight="false" outlineLevel="0" collapsed="false">
      <c r="A84" s="33"/>
      <c r="B84" s="33"/>
      <c r="C84" s="33"/>
      <c r="D84" s="33"/>
      <c r="E84" s="33"/>
      <c r="F84" s="33"/>
      <c r="G84" s="33"/>
      <c r="H84" s="33"/>
      <c r="I84" s="33"/>
      <c r="J84" s="33"/>
      <c r="K84" s="33"/>
      <c r="L84" s="34"/>
      <c r="M84" s="34"/>
      <c r="N84" s="34"/>
      <c r="O84" s="34"/>
      <c r="P84" s="33"/>
      <c r="Q84" s="35"/>
      <c r="R84" s="33"/>
      <c r="S84" s="33"/>
      <c r="T84" s="33"/>
      <c r="U84" s="33"/>
      <c r="V84" s="33"/>
      <c r="W84" s="33"/>
    </row>
    <row r="85" customFormat="false" ht="15" hidden="false" customHeight="false" outlineLevel="0" collapsed="false">
      <c r="A85" s="33"/>
      <c r="B85" s="33"/>
      <c r="C85" s="33"/>
      <c r="D85" s="33"/>
      <c r="E85" s="33"/>
      <c r="F85" s="33"/>
      <c r="G85" s="33"/>
      <c r="H85" s="33"/>
      <c r="I85" s="33"/>
      <c r="J85" s="33"/>
      <c r="K85" s="33"/>
      <c r="L85" s="34"/>
      <c r="M85" s="34"/>
      <c r="N85" s="34"/>
      <c r="O85" s="34"/>
      <c r="P85" s="33"/>
      <c r="Q85" s="35"/>
      <c r="R85" s="33"/>
      <c r="S85" s="33"/>
      <c r="T85" s="33"/>
      <c r="U85" s="33"/>
      <c r="V85" s="33"/>
      <c r="W85" s="33"/>
    </row>
    <row r="86" customFormat="false" ht="15" hidden="false" customHeight="false" outlineLevel="0" collapsed="false">
      <c r="A86" s="33"/>
      <c r="B86" s="33"/>
      <c r="C86" s="33"/>
      <c r="D86" s="33"/>
      <c r="E86" s="33"/>
      <c r="F86" s="33"/>
      <c r="G86" s="33"/>
      <c r="H86" s="33"/>
      <c r="I86" s="33"/>
      <c r="J86" s="33"/>
      <c r="K86" s="33"/>
      <c r="L86" s="34"/>
      <c r="M86" s="34"/>
      <c r="N86" s="34"/>
      <c r="O86" s="34"/>
      <c r="P86" s="33"/>
      <c r="Q86" s="35"/>
      <c r="R86" s="33"/>
      <c r="S86" s="33"/>
      <c r="T86" s="33"/>
      <c r="U86" s="33"/>
      <c r="V86" s="33"/>
      <c r="W86" s="33"/>
    </row>
    <row r="87" customFormat="false" ht="15" hidden="false" customHeight="false" outlineLevel="0" collapsed="false">
      <c r="A87" s="33"/>
      <c r="B87" s="33"/>
      <c r="C87" s="33"/>
      <c r="D87" s="33"/>
      <c r="E87" s="33"/>
      <c r="F87" s="33"/>
      <c r="G87" s="33"/>
      <c r="H87" s="33"/>
      <c r="I87" s="33"/>
      <c r="J87" s="33"/>
      <c r="K87" s="33"/>
      <c r="L87" s="34"/>
      <c r="M87" s="34"/>
      <c r="N87" s="34"/>
      <c r="O87" s="34"/>
      <c r="P87" s="33"/>
      <c r="Q87" s="35"/>
      <c r="R87" s="33"/>
      <c r="S87" s="33"/>
      <c r="T87" s="33"/>
      <c r="U87" s="33"/>
      <c r="V87" s="33"/>
      <c r="W87" s="33"/>
    </row>
    <row r="88" customFormat="false" ht="15" hidden="false" customHeight="false" outlineLevel="0" collapsed="false">
      <c r="A88" s="33"/>
      <c r="B88" s="33"/>
      <c r="C88" s="33"/>
      <c r="D88" s="33"/>
      <c r="E88" s="33"/>
      <c r="F88" s="33"/>
      <c r="G88" s="33"/>
      <c r="H88" s="33"/>
      <c r="I88" s="33"/>
      <c r="J88" s="33"/>
      <c r="K88" s="33"/>
      <c r="L88" s="34"/>
      <c r="M88" s="34"/>
      <c r="N88" s="34"/>
      <c r="O88" s="34"/>
      <c r="P88" s="33"/>
      <c r="Q88" s="35"/>
      <c r="R88" s="33"/>
      <c r="S88" s="33"/>
      <c r="T88" s="33"/>
      <c r="U88" s="33"/>
      <c r="V88" s="33"/>
      <c r="W88" s="33"/>
    </row>
    <row r="89" customFormat="false" ht="15" hidden="false" customHeight="false" outlineLevel="0" collapsed="false">
      <c r="A89" s="33"/>
      <c r="B89" s="33"/>
      <c r="C89" s="33"/>
      <c r="D89" s="33"/>
      <c r="E89" s="33"/>
      <c r="F89" s="33"/>
      <c r="G89" s="33"/>
      <c r="H89" s="33"/>
      <c r="I89" s="33"/>
      <c r="J89" s="33"/>
      <c r="K89" s="33"/>
      <c r="L89" s="34"/>
      <c r="M89" s="34"/>
      <c r="N89" s="34"/>
      <c r="O89" s="34"/>
      <c r="P89" s="33"/>
      <c r="Q89" s="35"/>
      <c r="R89" s="33"/>
      <c r="S89" s="33"/>
      <c r="T89" s="33"/>
      <c r="U89" s="33"/>
      <c r="V89" s="33"/>
      <c r="W89" s="33"/>
    </row>
    <row r="90" customFormat="false" ht="15" hidden="false" customHeight="false" outlineLevel="0" collapsed="false">
      <c r="A90" s="33"/>
      <c r="B90" s="33"/>
      <c r="C90" s="33"/>
      <c r="D90" s="33"/>
      <c r="E90" s="33"/>
      <c r="F90" s="33"/>
      <c r="G90" s="33"/>
      <c r="H90" s="33"/>
      <c r="I90" s="33"/>
      <c r="J90" s="33"/>
      <c r="K90" s="33"/>
      <c r="L90" s="34"/>
      <c r="M90" s="34"/>
      <c r="N90" s="34"/>
      <c r="O90" s="34"/>
      <c r="P90" s="33"/>
      <c r="Q90" s="35"/>
      <c r="R90" s="33"/>
      <c r="S90" s="33"/>
      <c r="T90" s="33"/>
      <c r="U90" s="33"/>
      <c r="V90" s="33"/>
      <c r="W90" s="33"/>
    </row>
    <row r="91" customFormat="false" ht="15" hidden="false" customHeight="false" outlineLevel="0" collapsed="false">
      <c r="A91" s="33"/>
      <c r="B91" s="33"/>
      <c r="C91" s="33"/>
      <c r="D91" s="33"/>
      <c r="E91" s="33"/>
      <c r="F91" s="33"/>
      <c r="G91" s="33"/>
      <c r="H91" s="33"/>
      <c r="I91" s="33"/>
      <c r="J91" s="33"/>
      <c r="K91" s="33"/>
      <c r="L91" s="34"/>
      <c r="M91" s="34"/>
      <c r="N91" s="34"/>
      <c r="O91" s="34"/>
      <c r="P91" s="33"/>
      <c r="Q91" s="35"/>
      <c r="R91" s="33"/>
      <c r="S91" s="33"/>
      <c r="T91" s="33"/>
      <c r="U91" s="33"/>
      <c r="V91" s="33"/>
      <c r="W91" s="33"/>
    </row>
    <row r="92" customFormat="false" ht="15" hidden="false" customHeight="false" outlineLevel="0" collapsed="false">
      <c r="A92" s="33"/>
      <c r="B92" s="33"/>
      <c r="C92" s="33"/>
      <c r="D92" s="33"/>
      <c r="E92" s="33"/>
      <c r="F92" s="33"/>
      <c r="G92" s="33"/>
      <c r="H92" s="33"/>
      <c r="I92" s="33"/>
      <c r="J92" s="33"/>
      <c r="K92" s="33"/>
      <c r="L92" s="34"/>
      <c r="M92" s="34"/>
      <c r="N92" s="34"/>
      <c r="O92" s="34"/>
      <c r="P92" s="33"/>
      <c r="Q92" s="35"/>
      <c r="R92" s="33"/>
      <c r="S92" s="33"/>
      <c r="T92" s="33"/>
      <c r="U92" s="33"/>
      <c r="V92" s="33"/>
      <c r="W92" s="33"/>
    </row>
    <row r="93" customFormat="false" ht="15" hidden="false" customHeight="false" outlineLevel="0" collapsed="false">
      <c r="A93" s="33"/>
      <c r="B93" s="33"/>
      <c r="C93" s="33"/>
      <c r="D93" s="33"/>
      <c r="E93" s="33"/>
      <c r="F93" s="33"/>
      <c r="G93" s="33"/>
      <c r="H93" s="33"/>
      <c r="I93" s="33"/>
      <c r="J93" s="33"/>
      <c r="K93" s="33"/>
      <c r="L93" s="34"/>
      <c r="M93" s="34"/>
      <c r="N93" s="34"/>
      <c r="O93" s="34"/>
      <c r="P93" s="33"/>
      <c r="Q93" s="35"/>
      <c r="R93" s="33"/>
      <c r="S93" s="33"/>
      <c r="T93" s="33"/>
      <c r="U93" s="33"/>
      <c r="V93" s="33"/>
      <c r="W93" s="33"/>
    </row>
    <row r="94" customFormat="false" ht="15" hidden="false" customHeight="false" outlineLevel="0" collapsed="false">
      <c r="A94" s="33"/>
      <c r="B94" s="33"/>
      <c r="C94" s="33"/>
      <c r="D94" s="33"/>
      <c r="E94" s="33"/>
      <c r="F94" s="33"/>
      <c r="G94" s="33"/>
      <c r="H94" s="33"/>
      <c r="I94" s="33"/>
      <c r="J94" s="33"/>
      <c r="K94" s="33"/>
      <c r="L94" s="34"/>
      <c r="M94" s="34"/>
      <c r="N94" s="34"/>
      <c r="O94" s="34"/>
      <c r="P94" s="33"/>
      <c r="Q94" s="35"/>
      <c r="R94" s="33"/>
      <c r="S94" s="33"/>
      <c r="T94" s="33"/>
      <c r="U94" s="33"/>
      <c r="V94" s="33"/>
      <c r="W94" s="33"/>
    </row>
    <row r="95" customFormat="false" ht="15" hidden="false" customHeight="false" outlineLevel="0" collapsed="false">
      <c r="A95" s="33"/>
      <c r="B95" s="33"/>
      <c r="C95" s="33"/>
      <c r="D95" s="33"/>
      <c r="E95" s="33"/>
      <c r="F95" s="33"/>
      <c r="G95" s="33"/>
      <c r="H95" s="33"/>
      <c r="I95" s="33"/>
      <c r="J95" s="33"/>
      <c r="K95" s="33"/>
      <c r="L95" s="34"/>
      <c r="M95" s="34"/>
      <c r="N95" s="34"/>
      <c r="O95" s="34"/>
      <c r="P95" s="33"/>
      <c r="Q95" s="35"/>
      <c r="R95" s="33"/>
      <c r="S95" s="33"/>
      <c r="T95" s="33"/>
      <c r="U95" s="33"/>
      <c r="V95" s="33"/>
      <c r="W95" s="33"/>
    </row>
    <row r="96" customFormat="false" ht="15" hidden="false" customHeight="false" outlineLevel="0" collapsed="false">
      <c r="A96" s="33"/>
      <c r="B96" s="33"/>
      <c r="C96" s="33"/>
      <c r="D96" s="33"/>
      <c r="E96" s="33"/>
      <c r="F96" s="33"/>
      <c r="G96" s="33"/>
      <c r="H96" s="33"/>
      <c r="I96" s="33"/>
      <c r="J96" s="33"/>
      <c r="K96" s="33"/>
      <c r="L96" s="34"/>
      <c r="M96" s="34"/>
      <c r="N96" s="34"/>
      <c r="O96" s="34"/>
      <c r="P96" s="33"/>
      <c r="Q96" s="35"/>
      <c r="R96" s="33"/>
      <c r="S96" s="33"/>
      <c r="T96" s="33"/>
      <c r="U96" s="33"/>
      <c r="V96" s="33"/>
      <c r="W96" s="33"/>
    </row>
    <row r="97" customFormat="false" ht="15" hidden="false" customHeight="false" outlineLevel="0" collapsed="false">
      <c r="A97" s="33"/>
      <c r="B97" s="33"/>
      <c r="C97" s="33"/>
      <c r="D97" s="33"/>
      <c r="E97" s="33"/>
      <c r="F97" s="33"/>
      <c r="G97" s="33"/>
      <c r="H97" s="33"/>
      <c r="I97" s="33"/>
      <c r="J97" s="33"/>
      <c r="K97" s="33"/>
      <c r="L97" s="34"/>
      <c r="M97" s="34"/>
      <c r="N97" s="34"/>
      <c r="O97" s="34"/>
      <c r="P97" s="33"/>
      <c r="Q97" s="35"/>
      <c r="R97" s="33"/>
      <c r="S97" s="33"/>
      <c r="T97" s="33"/>
      <c r="U97" s="33"/>
      <c r="V97" s="33"/>
      <c r="W97" s="33"/>
    </row>
    <row r="98" customFormat="false" ht="15" hidden="false" customHeight="false" outlineLevel="0" collapsed="false">
      <c r="A98" s="33"/>
      <c r="B98" s="33"/>
      <c r="C98" s="33"/>
      <c r="D98" s="33"/>
      <c r="E98" s="33"/>
      <c r="F98" s="33"/>
      <c r="G98" s="33"/>
      <c r="H98" s="33"/>
      <c r="I98" s="33"/>
      <c r="J98" s="33"/>
      <c r="K98" s="33"/>
      <c r="L98" s="34"/>
      <c r="M98" s="34"/>
      <c r="N98" s="34"/>
      <c r="O98" s="34"/>
      <c r="P98" s="33"/>
      <c r="Q98" s="35"/>
      <c r="R98" s="33"/>
      <c r="S98" s="33"/>
      <c r="T98" s="33"/>
      <c r="U98" s="33"/>
      <c r="V98" s="33"/>
      <c r="W98" s="33"/>
    </row>
    <row r="99" customFormat="false" ht="15" hidden="false" customHeight="false" outlineLevel="0" collapsed="false">
      <c r="A99" s="33"/>
      <c r="B99" s="33"/>
      <c r="C99" s="33"/>
      <c r="D99" s="33"/>
      <c r="E99" s="33"/>
      <c r="F99" s="33"/>
      <c r="G99" s="33"/>
      <c r="H99" s="33"/>
      <c r="I99" s="33"/>
      <c r="J99" s="33"/>
      <c r="K99" s="33"/>
      <c r="L99" s="34"/>
      <c r="M99" s="34"/>
      <c r="N99" s="34"/>
      <c r="O99" s="34"/>
      <c r="P99" s="33"/>
      <c r="Q99" s="35"/>
      <c r="R99" s="33"/>
      <c r="S99" s="33"/>
      <c r="T99" s="33"/>
      <c r="U99" s="33"/>
      <c r="V99" s="33"/>
      <c r="W99" s="33"/>
    </row>
    <row r="100" customFormat="false" ht="15" hidden="false" customHeight="false" outlineLevel="0" collapsed="false">
      <c r="A100" s="33"/>
      <c r="B100" s="33"/>
      <c r="C100" s="33"/>
      <c r="D100" s="33"/>
      <c r="E100" s="33"/>
      <c r="F100" s="33"/>
      <c r="G100" s="33"/>
      <c r="H100" s="33"/>
      <c r="I100" s="33"/>
      <c r="J100" s="33"/>
      <c r="K100" s="33"/>
      <c r="L100" s="34"/>
      <c r="M100" s="34"/>
      <c r="N100" s="34"/>
      <c r="O100" s="34"/>
      <c r="P100" s="33"/>
      <c r="Q100" s="35"/>
      <c r="R100" s="33"/>
      <c r="S100" s="33"/>
      <c r="T100" s="33"/>
      <c r="U100" s="33"/>
      <c r="V100" s="33"/>
      <c r="W100" s="33"/>
    </row>
    <row r="101" customFormat="false" ht="15" hidden="false" customHeight="false" outlineLevel="0" collapsed="false">
      <c r="A101" s="33"/>
      <c r="B101" s="33"/>
      <c r="C101" s="33"/>
      <c r="D101" s="33"/>
      <c r="E101" s="33"/>
      <c r="F101" s="33"/>
      <c r="G101" s="33"/>
      <c r="H101" s="33"/>
      <c r="I101" s="33"/>
      <c r="J101" s="33"/>
      <c r="K101" s="33"/>
      <c r="L101" s="34"/>
      <c r="M101" s="34"/>
      <c r="N101" s="34"/>
      <c r="O101" s="34"/>
      <c r="P101" s="33"/>
      <c r="Q101" s="35"/>
      <c r="R101" s="33"/>
      <c r="S101" s="33"/>
      <c r="T101" s="33"/>
      <c r="U101" s="33"/>
      <c r="V101" s="33"/>
      <c r="W101" s="33"/>
    </row>
    <row r="102" customFormat="false" ht="15" hidden="false" customHeight="false" outlineLevel="0" collapsed="false">
      <c r="A102" s="33"/>
      <c r="B102" s="33"/>
      <c r="C102" s="33"/>
      <c r="D102" s="33"/>
      <c r="E102" s="33"/>
      <c r="F102" s="33"/>
      <c r="G102" s="33"/>
      <c r="H102" s="33"/>
      <c r="I102" s="33"/>
      <c r="J102" s="33"/>
      <c r="K102" s="33"/>
      <c r="L102" s="34"/>
      <c r="M102" s="34"/>
      <c r="N102" s="34"/>
      <c r="O102" s="34"/>
      <c r="P102" s="33"/>
      <c r="Q102" s="35"/>
      <c r="R102" s="33"/>
      <c r="S102" s="33"/>
      <c r="T102" s="33"/>
      <c r="U102" s="33"/>
      <c r="V102" s="33"/>
      <c r="W102" s="33"/>
    </row>
    <row r="103" customFormat="false" ht="15" hidden="false" customHeight="false" outlineLevel="0" collapsed="false">
      <c r="A103" s="33"/>
      <c r="B103" s="33"/>
      <c r="C103" s="33"/>
      <c r="D103" s="33"/>
      <c r="E103" s="33"/>
      <c r="F103" s="33"/>
      <c r="G103" s="33"/>
      <c r="H103" s="33"/>
      <c r="I103" s="33"/>
      <c r="J103" s="33"/>
      <c r="K103" s="33"/>
      <c r="L103" s="34"/>
      <c r="M103" s="34"/>
      <c r="N103" s="34"/>
      <c r="O103" s="34"/>
      <c r="P103" s="33"/>
      <c r="Q103" s="35"/>
      <c r="R103" s="33"/>
      <c r="S103" s="33"/>
      <c r="T103" s="33"/>
      <c r="U103" s="33"/>
      <c r="V103" s="33"/>
      <c r="W103" s="33"/>
    </row>
    <row r="104" customFormat="false" ht="15" hidden="false" customHeight="false" outlineLevel="0" collapsed="false">
      <c r="A104" s="33"/>
      <c r="B104" s="33"/>
      <c r="C104" s="33"/>
      <c r="D104" s="33"/>
      <c r="E104" s="33"/>
      <c r="F104" s="33"/>
      <c r="G104" s="33"/>
      <c r="H104" s="33"/>
      <c r="I104" s="33"/>
      <c r="J104" s="33"/>
      <c r="K104" s="33"/>
      <c r="L104" s="34"/>
      <c r="M104" s="34"/>
      <c r="N104" s="34"/>
      <c r="O104" s="34"/>
      <c r="P104" s="33"/>
      <c r="Q104" s="35"/>
      <c r="R104" s="33"/>
      <c r="S104" s="33"/>
      <c r="T104" s="33"/>
      <c r="U104" s="33"/>
      <c r="V104" s="33"/>
      <c r="W104" s="33"/>
    </row>
    <row r="105" customFormat="false" ht="15" hidden="false" customHeight="false" outlineLevel="0" collapsed="false">
      <c r="A105" s="33"/>
      <c r="B105" s="33"/>
      <c r="C105" s="33"/>
      <c r="D105" s="33"/>
      <c r="E105" s="33"/>
      <c r="F105" s="33"/>
      <c r="G105" s="33"/>
      <c r="H105" s="33"/>
      <c r="I105" s="33"/>
      <c r="J105" s="33"/>
      <c r="K105" s="33"/>
      <c r="L105" s="34"/>
      <c r="M105" s="34"/>
      <c r="N105" s="34"/>
      <c r="O105" s="34"/>
      <c r="P105" s="33"/>
      <c r="Q105" s="35"/>
      <c r="R105" s="33"/>
      <c r="S105" s="33"/>
      <c r="T105" s="33"/>
      <c r="U105" s="33"/>
      <c r="V105" s="33"/>
      <c r="W105" s="33"/>
    </row>
    <row r="106" customFormat="false" ht="15" hidden="false" customHeight="false" outlineLevel="0" collapsed="false">
      <c r="A106" s="33"/>
      <c r="B106" s="33"/>
      <c r="C106" s="33"/>
      <c r="D106" s="33"/>
      <c r="E106" s="33"/>
      <c r="F106" s="33"/>
      <c r="G106" s="33"/>
      <c r="H106" s="33"/>
      <c r="I106" s="33"/>
      <c r="J106" s="33"/>
      <c r="K106" s="33"/>
      <c r="L106" s="34"/>
      <c r="M106" s="34"/>
      <c r="N106" s="34"/>
      <c r="O106" s="34"/>
      <c r="P106" s="33"/>
      <c r="Q106" s="35"/>
      <c r="R106" s="33"/>
      <c r="S106" s="33"/>
      <c r="T106" s="33"/>
      <c r="U106" s="33"/>
      <c r="V106" s="33"/>
      <c r="W106" s="33"/>
    </row>
    <row r="107" customFormat="false" ht="15" hidden="false" customHeight="false" outlineLevel="0" collapsed="false">
      <c r="A107" s="33"/>
      <c r="B107" s="33"/>
      <c r="C107" s="33"/>
      <c r="D107" s="33"/>
      <c r="E107" s="33"/>
      <c r="F107" s="33"/>
      <c r="G107" s="33"/>
      <c r="H107" s="33"/>
      <c r="I107" s="33"/>
      <c r="J107" s="33"/>
      <c r="K107" s="33"/>
      <c r="L107" s="34"/>
      <c r="M107" s="34"/>
      <c r="N107" s="34"/>
      <c r="O107" s="34"/>
      <c r="P107" s="33"/>
      <c r="Q107" s="35"/>
      <c r="R107" s="33"/>
      <c r="S107" s="33"/>
      <c r="T107" s="33"/>
      <c r="U107" s="33"/>
      <c r="V107" s="33"/>
      <c r="W107" s="33"/>
    </row>
    <row r="108" customFormat="false" ht="15" hidden="false" customHeight="false" outlineLevel="0" collapsed="false">
      <c r="A108" s="33"/>
      <c r="B108" s="33"/>
      <c r="C108" s="33"/>
      <c r="D108" s="33"/>
      <c r="E108" s="33"/>
      <c r="F108" s="33"/>
      <c r="G108" s="33"/>
      <c r="H108" s="33"/>
      <c r="I108" s="33"/>
      <c r="J108" s="33"/>
      <c r="K108" s="33"/>
      <c r="L108" s="34"/>
      <c r="M108" s="34"/>
      <c r="N108" s="34"/>
      <c r="O108" s="34"/>
      <c r="P108" s="33"/>
      <c r="Q108" s="35"/>
      <c r="R108" s="33"/>
      <c r="S108" s="33"/>
      <c r="T108" s="33"/>
      <c r="U108" s="33"/>
      <c r="V108" s="33"/>
      <c r="W108" s="33"/>
    </row>
    <row r="109" customFormat="false" ht="15" hidden="false" customHeight="false" outlineLevel="0" collapsed="false">
      <c r="A109" s="33"/>
      <c r="B109" s="33"/>
      <c r="C109" s="33"/>
      <c r="D109" s="33"/>
      <c r="E109" s="33"/>
      <c r="F109" s="33"/>
      <c r="G109" s="33"/>
      <c r="H109" s="33"/>
      <c r="I109" s="33"/>
      <c r="J109" s="33"/>
      <c r="K109" s="33"/>
      <c r="L109" s="34"/>
      <c r="M109" s="34"/>
      <c r="N109" s="34"/>
      <c r="O109" s="34"/>
      <c r="P109" s="33"/>
      <c r="Q109" s="35"/>
      <c r="R109" s="33"/>
      <c r="S109" s="33"/>
      <c r="T109" s="33"/>
      <c r="U109" s="33"/>
      <c r="V109" s="33"/>
      <c r="W109" s="33"/>
    </row>
    <row r="110" customFormat="false" ht="15" hidden="false" customHeight="false" outlineLevel="0" collapsed="false">
      <c r="A110" s="33"/>
      <c r="B110" s="33"/>
      <c r="C110" s="33"/>
      <c r="D110" s="33"/>
      <c r="E110" s="33"/>
      <c r="F110" s="33"/>
      <c r="G110" s="33"/>
      <c r="H110" s="33"/>
      <c r="I110" s="33"/>
      <c r="J110" s="33"/>
      <c r="K110" s="33"/>
      <c r="L110" s="34"/>
      <c r="M110" s="34"/>
      <c r="N110" s="34"/>
      <c r="O110" s="34"/>
      <c r="P110" s="33"/>
      <c r="Q110" s="35"/>
      <c r="R110" s="33"/>
      <c r="S110" s="33"/>
      <c r="T110" s="33"/>
      <c r="U110" s="33"/>
      <c r="V110" s="33"/>
      <c r="W110" s="33"/>
    </row>
    <row r="111" customFormat="false" ht="15" hidden="false" customHeight="false" outlineLevel="0" collapsed="false">
      <c r="A111" s="33"/>
      <c r="B111" s="33"/>
      <c r="C111" s="33"/>
      <c r="D111" s="33"/>
      <c r="E111" s="33"/>
      <c r="F111" s="33"/>
      <c r="G111" s="33"/>
      <c r="H111" s="33"/>
      <c r="I111" s="33"/>
      <c r="J111" s="33"/>
      <c r="K111" s="33"/>
      <c r="L111" s="34"/>
      <c r="M111" s="34"/>
      <c r="N111" s="34"/>
      <c r="O111" s="34"/>
      <c r="P111" s="33"/>
      <c r="Q111" s="35"/>
      <c r="R111" s="33"/>
      <c r="S111" s="33"/>
      <c r="T111" s="33"/>
      <c r="U111" s="33"/>
      <c r="V111" s="33"/>
      <c r="W111" s="33"/>
    </row>
    <row r="112" customFormat="false" ht="15" hidden="false" customHeight="false" outlineLevel="0" collapsed="false">
      <c r="A112" s="33"/>
      <c r="B112" s="33"/>
      <c r="C112" s="33"/>
      <c r="D112" s="33"/>
      <c r="E112" s="33"/>
      <c r="F112" s="33"/>
      <c r="G112" s="33"/>
      <c r="H112" s="33"/>
      <c r="I112" s="33"/>
      <c r="J112" s="33"/>
      <c r="K112" s="33"/>
      <c r="L112" s="34"/>
      <c r="M112" s="34"/>
      <c r="N112" s="34"/>
      <c r="O112" s="34"/>
      <c r="P112" s="33"/>
      <c r="Q112" s="35"/>
      <c r="R112" s="33"/>
      <c r="S112" s="33"/>
      <c r="T112" s="33"/>
      <c r="U112" s="33"/>
      <c r="V112" s="33"/>
      <c r="W112" s="33"/>
    </row>
    <row r="113" customFormat="false" ht="15" hidden="false" customHeight="false" outlineLevel="0" collapsed="false">
      <c r="A113" s="33"/>
      <c r="B113" s="33"/>
      <c r="C113" s="33"/>
      <c r="D113" s="33"/>
      <c r="E113" s="33"/>
      <c r="F113" s="33"/>
      <c r="G113" s="33"/>
      <c r="H113" s="33"/>
      <c r="I113" s="33"/>
      <c r="J113" s="33"/>
      <c r="K113" s="33"/>
      <c r="L113" s="34"/>
      <c r="M113" s="34"/>
      <c r="N113" s="34"/>
      <c r="O113" s="34"/>
      <c r="P113" s="33"/>
      <c r="Q113" s="35"/>
      <c r="R113" s="33"/>
      <c r="S113" s="33"/>
      <c r="T113" s="33"/>
      <c r="U113" s="33"/>
      <c r="V113" s="33"/>
      <c r="W113" s="33"/>
    </row>
    <row r="114" customFormat="false" ht="15" hidden="false" customHeight="false" outlineLevel="0" collapsed="false">
      <c r="A114" s="33"/>
      <c r="B114" s="33"/>
      <c r="C114" s="33"/>
      <c r="D114" s="33"/>
      <c r="E114" s="33"/>
      <c r="F114" s="33"/>
      <c r="G114" s="33"/>
      <c r="H114" s="33"/>
      <c r="I114" s="33"/>
      <c r="J114" s="33"/>
      <c r="K114" s="33"/>
      <c r="L114" s="34"/>
      <c r="M114" s="34"/>
      <c r="N114" s="34"/>
      <c r="O114" s="34"/>
      <c r="P114" s="33"/>
      <c r="Q114" s="35"/>
      <c r="R114" s="33"/>
      <c r="S114" s="33"/>
      <c r="T114" s="33"/>
      <c r="U114" s="33"/>
      <c r="V114" s="33"/>
      <c r="W114" s="33"/>
    </row>
    <row r="115" customFormat="false" ht="15" hidden="false" customHeight="false" outlineLevel="0" collapsed="false">
      <c r="A115" s="33"/>
      <c r="B115" s="33"/>
      <c r="C115" s="33"/>
      <c r="D115" s="33"/>
      <c r="E115" s="33"/>
      <c r="F115" s="33"/>
      <c r="G115" s="33"/>
      <c r="H115" s="33"/>
      <c r="I115" s="33"/>
      <c r="J115" s="33"/>
      <c r="K115" s="33"/>
      <c r="L115" s="34"/>
      <c r="M115" s="34"/>
      <c r="N115" s="34"/>
      <c r="O115" s="34"/>
      <c r="P115" s="33"/>
      <c r="Q115" s="35"/>
      <c r="R115" s="33"/>
      <c r="S115" s="33"/>
      <c r="T115" s="33"/>
      <c r="U115" s="33"/>
      <c r="V115" s="33"/>
      <c r="W115" s="33"/>
    </row>
    <row r="116" customFormat="false" ht="15" hidden="false" customHeight="false" outlineLevel="0" collapsed="false">
      <c r="A116" s="33"/>
      <c r="B116" s="33"/>
      <c r="C116" s="33"/>
      <c r="D116" s="33"/>
      <c r="E116" s="33"/>
      <c r="F116" s="33"/>
      <c r="G116" s="33"/>
      <c r="H116" s="33"/>
      <c r="I116" s="33"/>
      <c r="J116" s="33"/>
      <c r="K116" s="33"/>
      <c r="L116" s="34"/>
      <c r="M116" s="34"/>
      <c r="N116" s="34"/>
      <c r="O116" s="34"/>
      <c r="P116" s="33"/>
      <c r="Q116" s="35"/>
      <c r="R116" s="33"/>
      <c r="S116" s="33"/>
      <c r="T116" s="33"/>
      <c r="U116" s="33"/>
      <c r="V116" s="33"/>
      <c r="W116" s="33"/>
    </row>
    <row r="117" customFormat="false" ht="15" hidden="false" customHeight="false" outlineLevel="0" collapsed="false">
      <c r="A117" s="33"/>
      <c r="B117" s="33"/>
      <c r="C117" s="33"/>
      <c r="D117" s="33"/>
      <c r="E117" s="33"/>
      <c r="F117" s="33"/>
      <c r="G117" s="33"/>
      <c r="H117" s="33"/>
      <c r="I117" s="33"/>
      <c r="J117" s="33"/>
      <c r="K117" s="33"/>
      <c r="L117" s="34"/>
      <c r="M117" s="34"/>
      <c r="N117" s="34"/>
      <c r="O117" s="34"/>
      <c r="P117" s="33"/>
      <c r="Q117" s="35"/>
      <c r="R117" s="33"/>
      <c r="S117" s="33"/>
      <c r="T117" s="33"/>
      <c r="U117" s="33"/>
      <c r="V117" s="33"/>
      <c r="W117" s="33"/>
    </row>
    <row r="118" customFormat="false" ht="15" hidden="false" customHeight="false" outlineLevel="0" collapsed="false">
      <c r="A118" s="33"/>
      <c r="B118" s="33"/>
      <c r="C118" s="33"/>
      <c r="D118" s="33"/>
      <c r="E118" s="33"/>
      <c r="F118" s="33"/>
      <c r="G118" s="33"/>
      <c r="H118" s="33"/>
      <c r="I118" s="33"/>
      <c r="J118" s="33"/>
      <c r="K118" s="33"/>
      <c r="L118" s="34"/>
      <c r="M118" s="34"/>
      <c r="N118" s="34"/>
      <c r="O118" s="34"/>
      <c r="P118" s="33"/>
      <c r="Q118" s="35"/>
      <c r="R118" s="33"/>
      <c r="S118" s="33"/>
      <c r="T118" s="33"/>
      <c r="U118" s="33"/>
      <c r="V118" s="33"/>
      <c r="W118" s="33"/>
    </row>
    <row r="119" customFormat="false" ht="15" hidden="false" customHeight="false" outlineLevel="0" collapsed="false">
      <c r="A119" s="33"/>
      <c r="B119" s="33"/>
      <c r="C119" s="33"/>
      <c r="D119" s="33"/>
      <c r="E119" s="33"/>
      <c r="F119" s="33"/>
      <c r="G119" s="33"/>
      <c r="H119" s="33"/>
      <c r="I119" s="33"/>
      <c r="J119" s="33"/>
      <c r="K119" s="33"/>
      <c r="L119" s="34"/>
      <c r="M119" s="34"/>
      <c r="N119" s="34"/>
      <c r="O119" s="34"/>
      <c r="P119" s="33"/>
      <c r="Q119" s="35"/>
      <c r="R119" s="33"/>
      <c r="S119" s="33"/>
      <c r="T119" s="33"/>
      <c r="U119" s="33"/>
      <c r="V119" s="33"/>
      <c r="W119" s="33"/>
    </row>
    <row r="120" customFormat="false" ht="15" hidden="false" customHeight="false" outlineLevel="0" collapsed="false">
      <c r="A120" s="33"/>
      <c r="B120" s="33"/>
      <c r="C120" s="33"/>
      <c r="D120" s="33"/>
      <c r="E120" s="33"/>
      <c r="F120" s="33"/>
      <c r="G120" s="33"/>
      <c r="H120" s="33"/>
      <c r="I120" s="33"/>
      <c r="J120" s="33"/>
      <c r="K120" s="33"/>
      <c r="L120" s="34"/>
      <c r="M120" s="34"/>
      <c r="N120" s="34"/>
      <c r="O120" s="34"/>
      <c r="P120" s="33"/>
      <c r="Q120" s="35"/>
      <c r="R120" s="33"/>
      <c r="S120" s="33"/>
      <c r="T120" s="33"/>
      <c r="U120" s="33"/>
      <c r="V120" s="33"/>
      <c r="W120" s="33"/>
    </row>
    <row r="121" customFormat="false" ht="15" hidden="false" customHeight="false" outlineLevel="0" collapsed="false">
      <c r="A121" s="33"/>
      <c r="B121" s="33"/>
      <c r="C121" s="33"/>
      <c r="D121" s="33"/>
      <c r="E121" s="33"/>
      <c r="F121" s="33"/>
      <c r="G121" s="33"/>
      <c r="H121" s="33"/>
      <c r="I121" s="33"/>
      <c r="J121" s="33"/>
      <c r="K121" s="33"/>
      <c r="L121" s="34"/>
      <c r="M121" s="34"/>
      <c r="N121" s="34"/>
      <c r="O121" s="34"/>
      <c r="P121" s="33"/>
      <c r="Q121" s="35"/>
      <c r="R121" s="33"/>
      <c r="S121" s="33"/>
      <c r="T121" s="33"/>
      <c r="U121" s="33"/>
      <c r="V121" s="33"/>
      <c r="W121" s="33"/>
    </row>
    <row r="122" customFormat="false" ht="15" hidden="false" customHeight="false" outlineLevel="0" collapsed="false">
      <c r="A122" s="33"/>
      <c r="B122" s="33"/>
      <c r="C122" s="33"/>
      <c r="D122" s="33"/>
      <c r="E122" s="33"/>
      <c r="F122" s="33"/>
      <c r="G122" s="33"/>
      <c r="H122" s="33"/>
      <c r="I122" s="33"/>
      <c r="J122" s="33"/>
      <c r="K122" s="33"/>
      <c r="L122" s="34"/>
      <c r="M122" s="34"/>
      <c r="N122" s="34"/>
      <c r="O122" s="34"/>
      <c r="P122" s="33"/>
      <c r="Q122" s="35"/>
      <c r="R122" s="33"/>
      <c r="S122" s="33"/>
      <c r="T122" s="33"/>
      <c r="U122" s="33"/>
      <c r="V122" s="33"/>
      <c r="W122" s="33"/>
    </row>
    <row r="123" customFormat="false" ht="15" hidden="false" customHeight="false" outlineLevel="0" collapsed="false">
      <c r="A123" s="33"/>
      <c r="B123" s="33"/>
      <c r="C123" s="33"/>
      <c r="D123" s="33"/>
      <c r="E123" s="33"/>
      <c r="F123" s="33"/>
      <c r="G123" s="33"/>
      <c r="H123" s="33"/>
      <c r="I123" s="33"/>
      <c r="J123" s="33"/>
      <c r="K123" s="33"/>
      <c r="L123" s="34"/>
      <c r="M123" s="34"/>
      <c r="N123" s="34"/>
      <c r="O123" s="34"/>
      <c r="P123" s="33"/>
      <c r="Q123" s="35"/>
      <c r="R123" s="33"/>
      <c r="S123" s="33"/>
      <c r="T123" s="33"/>
      <c r="U123" s="33"/>
      <c r="V123" s="33"/>
      <c r="W123" s="33"/>
    </row>
    <row r="124" customFormat="false" ht="15" hidden="false" customHeight="false" outlineLevel="0" collapsed="false">
      <c r="A124" s="33"/>
      <c r="B124" s="33"/>
      <c r="C124" s="33"/>
      <c r="D124" s="33"/>
      <c r="E124" s="33"/>
      <c r="F124" s="33"/>
      <c r="G124" s="33"/>
      <c r="H124" s="33"/>
      <c r="I124" s="33"/>
      <c r="J124" s="33"/>
      <c r="K124" s="33"/>
      <c r="L124" s="34"/>
      <c r="M124" s="34"/>
      <c r="N124" s="34"/>
      <c r="O124" s="34"/>
      <c r="P124" s="33"/>
      <c r="Q124" s="35"/>
      <c r="R124" s="33"/>
      <c r="S124" s="33"/>
      <c r="T124" s="33"/>
      <c r="U124" s="33"/>
      <c r="V124" s="33"/>
      <c r="W124" s="33"/>
    </row>
    <row r="125" customFormat="false" ht="15" hidden="false" customHeight="false" outlineLevel="0" collapsed="false">
      <c r="A125" s="33"/>
      <c r="B125" s="33"/>
      <c r="C125" s="33"/>
      <c r="D125" s="33"/>
      <c r="E125" s="33"/>
      <c r="F125" s="33"/>
      <c r="G125" s="33"/>
      <c r="H125" s="33"/>
      <c r="I125" s="33"/>
      <c r="J125" s="33"/>
      <c r="K125" s="33"/>
      <c r="L125" s="34"/>
      <c r="M125" s="34"/>
      <c r="N125" s="34"/>
      <c r="O125" s="34"/>
      <c r="P125" s="33"/>
      <c r="Q125" s="35"/>
      <c r="R125" s="33"/>
      <c r="S125" s="33"/>
      <c r="T125" s="33"/>
      <c r="U125" s="33"/>
      <c r="V125" s="33"/>
      <c r="W125" s="33"/>
    </row>
    <row r="126" customFormat="false" ht="15" hidden="false" customHeight="false" outlineLevel="0" collapsed="false">
      <c r="A126" s="33"/>
      <c r="B126" s="33"/>
      <c r="C126" s="33"/>
      <c r="D126" s="33"/>
      <c r="E126" s="33"/>
      <c r="F126" s="33"/>
      <c r="G126" s="33"/>
      <c r="H126" s="33"/>
      <c r="I126" s="33"/>
      <c r="J126" s="33"/>
      <c r="K126" s="33"/>
      <c r="L126" s="34"/>
      <c r="M126" s="34"/>
      <c r="N126" s="34"/>
      <c r="O126" s="34"/>
      <c r="P126" s="33"/>
      <c r="Q126" s="35"/>
      <c r="R126" s="33"/>
      <c r="S126" s="33"/>
      <c r="T126" s="33"/>
      <c r="U126" s="33"/>
      <c r="V126" s="33"/>
      <c r="W126" s="33"/>
    </row>
    <row r="127" customFormat="false" ht="15" hidden="false" customHeight="false" outlineLevel="0" collapsed="false">
      <c r="A127" s="33"/>
      <c r="B127" s="33"/>
      <c r="C127" s="33"/>
      <c r="D127" s="33"/>
      <c r="E127" s="33"/>
      <c r="F127" s="33"/>
      <c r="G127" s="33"/>
      <c r="H127" s="33"/>
      <c r="I127" s="33"/>
      <c r="J127" s="33"/>
      <c r="K127" s="33"/>
      <c r="L127" s="34"/>
      <c r="M127" s="34"/>
      <c r="N127" s="34"/>
      <c r="O127" s="34"/>
      <c r="P127" s="33"/>
      <c r="Q127" s="35"/>
      <c r="R127" s="33"/>
      <c r="S127" s="33"/>
      <c r="T127" s="33"/>
      <c r="U127" s="33"/>
      <c r="V127" s="33"/>
      <c r="W127" s="33"/>
    </row>
    <row r="128" customFormat="false" ht="15" hidden="false" customHeight="false" outlineLevel="0" collapsed="false">
      <c r="A128" s="33"/>
      <c r="B128" s="33"/>
      <c r="C128" s="33"/>
      <c r="D128" s="33"/>
      <c r="E128" s="33"/>
      <c r="F128" s="33"/>
      <c r="G128" s="33"/>
      <c r="H128" s="33"/>
      <c r="I128" s="33"/>
      <c r="J128" s="33"/>
      <c r="K128" s="33"/>
      <c r="L128" s="34"/>
      <c r="M128" s="34"/>
      <c r="N128" s="34"/>
      <c r="O128" s="34"/>
      <c r="P128" s="33"/>
      <c r="Q128" s="35"/>
      <c r="R128" s="33"/>
      <c r="S128" s="33"/>
      <c r="T128" s="33"/>
      <c r="U128" s="33"/>
      <c r="V128" s="33"/>
      <c r="W128" s="33"/>
    </row>
    <row r="129" customFormat="false" ht="15" hidden="false" customHeight="false" outlineLevel="0" collapsed="false">
      <c r="A129" s="33"/>
      <c r="B129" s="33"/>
      <c r="C129" s="33"/>
      <c r="D129" s="33"/>
      <c r="E129" s="33"/>
      <c r="F129" s="33"/>
      <c r="G129" s="33"/>
      <c r="H129" s="33"/>
      <c r="I129" s="33"/>
      <c r="J129" s="33"/>
      <c r="K129" s="33"/>
      <c r="L129" s="34"/>
      <c r="M129" s="34"/>
      <c r="N129" s="34"/>
      <c r="O129" s="34"/>
      <c r="P129" s="33"/>
      <c r="Q129" s="35"/>
      <c r="R129" s="33"/>
      <c r="S129" s="33"/>
      <c r="T129" s="33"/>
      <c r="U129" s="33"/>
      <c r="V129" s="33"/>
      <c r="W129" s="33"/>
    </row>
    <row r="130" customFormat="false" ht="15" hidden="false" customHeight="false" outlineLevel="0" collapsed="false">
      <c r="A130" s="33"/>
      <c r="B130" s="33"/>
      <c r="C130" s="33"/>
      <c r="D130" s="33"/>
      <c r="E130" s="33"/>
      <c r="F130" s="33"/>
      <c r="G130" s="33"/>
      <c r="H130" s="33"/>
      <c r="I130" s="33"/>
      <c r="J130" s="33"/>
      <c r="K130" s="33"/>
      <c r="L130" s="34"/>
      <c r="M130" s="34"/>
      <c r="N130" s="34"/>
      <c r="O130" s="34"/>
      <c r="P130" s="33"/>
      <c r="Q130" s="35"/>
      <c r="R130" s="33"/>
      <c r="S130" s="33"/>
      <c r="T130" s="33"/>
      <c r="U130" s="33"/>
      <c r="V130" s="33"/>
      <c r="W130" s="33"/>
    </row>
    <row r="131" customFormat="false" ht="15" hidden="false" customHeight="false" outlineLevel="0" collapsed="false">
      <c r="A131" s="33"/>
      <c r="B131" s="33"/>
      <c r="C131" s="33"/>
      <c r="D131" s="33"/>
      <c r="E131" s="33"/>
      <c r="F131" s="33"/>
      <c r="G131" s="33"/>
      <c r="H131" s="33"/>
      <c r="I131" s="33"/>
      <c r="J131" s="33"/>
      <c r="K131" s="33"/>
      <c r="L131" s="34"/>
      <c r="M131" s="34"/>
      <c r="N131" s="34"/>
      <c r="O131" s="34"/>
      <c r="P131" s="33"/>
      <c r="Q131" s="35"/>
      <c r="R131" s="33"/>
      <c r="S131" s="33"/>
      <c r="T131" s="33"/>
      <c r="U131" s="33"/>
      <c r="V131" s="33"/>
      <c r="W131" s="33"/>
    </row>
    <row r="132" customFormat="false" ht="15" hidden="false" customHeight="false" outlineLevel="0" collapsed="false">
      <c r="A132" s="33"/>
      <c r="B132" s="33"/>
      <c r="C132" s="33"/>
      <c r="D132" s="33"/>
      <c r="E132" s="33"/>
      <c r="F132" s="33"/>
      <c r="G132" s="33"/>
      <c r="H132" s="33"/>
      <c r="I132" s="33"/>
      <c r="J132" s="33"/>
      <c r="K132" s="33"/>
      <c r="L132" s="34"/>
      <c r="M132" s="34"/>
      <c r="N132" s="34"/>
      <c r="O132" s="34"/>
      <c r="P132" s="33"/>
      <c r="Q132" s="35"/>
      <c r="R132" s="33"/>
      <c r="S132" s="33"/>
      <c r="T132" s="33"/>
      <c r="U132" s="33"/>
      <c r="V132" s="33"/>
      <c r="W132" s="33"/>
    </row>
    <row r="133" customFormat="false" ht="15" hidden="false" customHeight="false" outlineLevel="0" collapsed="false">
      <c r="A133" s="33"/>
      <c r="B133" s="33"/>
      <c r="C133" s="33"/>
      <c r="D133" s="33"/>
      <c r="E133" s="33"/>
      <c r="F133" s="33"/>
      <c r="G133" s="33"/>
      <c r="H133" s="33"/>
      <c r="I133" s="33"/>
      <c r="J133" s="33"/>
      <c r="K133" s="33"/>
      <c r="L133" s="34"/>
      <c r="M133" s="34"/>
      <c r="N133" s="34"/>
      <c r="O133" s="34"/>
      <c r="P133" s="33"/>
      <c r="Q133" s="35"/>
      <c r="R133" s="33"/>
      <c r="S133" s="33"/>
      <c r="T133" s="33"/>
      <c r="U133" s="33"/>
      <c r="V133" s="33"/>
      <c r="W133" s="33"/>
    </row>
    <row r="134" customFormat="false" ht="15" hidden="false" customHeight="false" outlineLevel="0" collapsed="false">
      <c r="A134" s="33"/>
      <c r="B134" s="33"/>
      <c r="C134" s="33"/>
      <c r="D134" s="33"/>
      <c r="E134" s="33"/>
      <c r="F134" s="33"/>
      <c r="G134" s="33"/>
      <c r="H134" s="33"/>
      <c r="I134" s="33"/>
      <c r="J134" s="33"/>
      <c r="K134" s="33"/>
      <c r="L134" s="34"/>
      <c r="M134" s="34"/>
      <c r="N134" s="34"/>
      <c r="O134" s="34"/>
      <c r="P134" s="33"/>
      <c r="Q134" s="35"/>
      <c r="R134" s="33"/>
      <c r="S134" s="33"/>
      <c r="T134" s="33"/>
      <c r="U134" s="33"/>
      <c r="V134" s="33"/>
      <c r="W134" s="33"/>
    </row>
    <row r="135" customFormat="false" ht="15" hidden="false" customHeight="false" outlineLevel="0" collapsed="false">
      <c r="A135" s="33"/>
      <c r="B135" s="33"/>
      <c r="C135" s="33"/>
      <c r="D135" s="33"/>
      <c r="E135" s="33"/>
      <c r="F135" s="33"/>
      <c r="G135" s="33"/>
      <c r="H135" s="33"/>
      <c r="I135" s="33"/>
      <c r="J135" s="33"/>
      <c r="K135" s="33"/>
      <c r="L135" s="34"/>
      <c r="M135" s="34"/>
      <c r="N135" s="34"/>
      <c r="O135" s="34"/>
      <c r="P135" s="33"/>
      <c r="Q135" s="35"/>
      <c r="R135" s="33"/>
      <c r="S135" s="33"/>
      <c r="T135" s="33"/>
      <c r="U135" s="33"/>
      <c r="V135" s="33"/>
      <c r="W135" s="33"/>
    </row>
    <row r="136" customFormat="false" ht="15" hidden="false" customHeight="false" outlineLevel="0" collapsed="false">
      <c r="A136" s="33"/>
      <c r="B136" s="33"/>
      <c r="C136" s="33"/>
      <c r="D136" s="33"/>
      <c r="E136" s="33"/>
      <c r="F136" s="33"/>
      <c r="G136" s="33"/>
      <c r="H136" s="33"/>
      <c r="I136" s="33"/>
      <c r="J136" s="33"/>
      <c r="K136" s="33"/>
      <c r="L136" s="34"/>
      <c r="M136" s="34"/>
      <c r="N136" s="34"/>
      <c r="O136" s="34"/>
      <c r="P136" s="33"/>
      <c r="Q136" s="35"/>
      <c r="R136" s="33"/>
      <c r="S136" s="33"/>
      <c r="T136" s="33"/>
      <c r="U136" s="33"/>
      <c r="V136" s="33"/>
      <c r="W136" s="33"/>
    </row>
    <row r="137" customFormat="false" ht="15" hidden="false" customHeight="false" outlineLevel="0" collapsed="false">
      <c r="A137" s="33"/>
      <c r="B137" s="33"/>
      <c r="C137" s="33"/>
      <c r="D137" s="33"/>
      <c r="E137" s="33"/>
      <c r="F137" s="33"/>
      <c r="G137" s="33"/>
      <c r="H137" s="33"/>
      <c r="I137" s="33"/>
      <c r="J137" s="33"/>
      <c r="K137" s="33"/>
      <c r="L137" s="34"/>
      <c r="M137" s="34"/>
      <c r="N137" s="34"/>
      <c r="O137" s="34"/>
      <c r="P137" s="33"/>
      <c r="Q137" s="35"/>
      <c r="R137" s="33"/>
      <c r="S137" s="33"/>
      <c r="T137" s="33"/>
      <c r="U137" s="33"/>
      <c r="V137" s="33"/>
      <c r="W137" s="33"/>
    </row>
    <row r="138" customFormat="false" ht="15" hidden="false" customHeight="false" outlineLevel="0" collapsed="false">
      <c r="A138" s="33"/>
      <c r="B138" s="33"/>
      <c r="C138" s="33"/>
      <c r="D138" s="33"/>
      <c r="E138" s="33"/>
      <c r="F138" s="33"/>
      <c r="G138" s="33"/>
      <c r="H138" s="33"/>
      <c r="I138" s="33"/>
      <c r="J138" s="33"/>
      <c r="K138" s="33"/>
      <c r="L138" s="34"/>
      <c r="M138" s="34"/>
      <c r="N138" s="34"/>
      <c r="O138" s="34"/>
      <c r="P138" s="33"/>
      <c r="Q138" s="35"/>
      <c r="R138" s="33"/>
      <c r="S138" s="33"/>
      <c r="T138" s="33"/>
      <c r="U138" s="33"/>
      <c r="V138" s="33"/>
      <c r="W138" s="33"/>
    </row>
    <row r="139" customFormat="false" ht="15" hidden="false" customHeight="false" outlineLevel="0" collapsed="false">
      <c r="A139" s="33"/>
      <c r="B139" s="33"/>
      <c r="C139" s="33"/>
      <c r="D139" s="33"/>
      <c r="E139" s="33"/>
      <c r="F139" s="33"/>
      <c r="G139" s="33"/>
      <c r="H139" s="33"/>
      <c r="I139" s="33"/>
      <c r="J139" s="33"/>
      <c r="K139" s="33"/>
      <c r="L139" s="34"/>
      <c r="M139" s="34"/>
      <c r="N139" s="34"/>
      <c r="O139" s="34"/>
      <c r="P139" s="33"/>
      <c r="Q139" s="35"/>
      <c r="R139" s="33"/>
      <c r="S139" s="33"/>
      <c r="T139" s="33"/>
      <c r="U139" s="33"/>
      <c r="V139" s="33"/>
      <c r="W139" s="33"/>
    </row>
    <row r="140" customFormat="false" ht="15" hidden="false" customHeight="false" outlineLevel="0" collapsed="false">
      <c r="A140" s="33"/>
      <c r="B140" s="33"/>
      <c r="C140" s="33"/>
      <c r="D140" s="33"/>
      <c r="E140" s="33"/>
      <c r="F140" s="33"/>
      <c r="G140" s="33"/>
      <c r="H140" s="33"/>
      <c r="I140" s="33"/>
      <c r="J140" s="33"/>
      <c r="K140" s="33"/>
      <c r="L140" s="34"/>
      <c r="M140" s="34"/>
      <c r="N140" s="34"/>
      <c r="O140" s="34"/>
      <c r="P140" s="33"/>
      <c r="Q140" s="35"/>
      <c r="R140" s="33"/>
      <c r="S140" s="33"/>
      <c r="T140" s="33"/>
      <c r="U140" s="33"/>
      <c r="V140" s="33"/>
      <c r="W140" s="33"/>
    </row>
    <row r="141" customFormat="false" ht="15" hidden="false" customHeight="false" outlineLevel="0" collapsed="false">
      <c r="A141" s="33"/>
      <c r="B141" s="33"/>
      <c r="C141" s="33"/>
      <c r="D141" s="33"/>
      <c r="E141" s="33"/>
      <c r="F141" s="33"/>
      <c r="G141" s="33"/>
      <c r="H141" s="33"/>
      <c r="I141" s="33"/>
      <c r="J141" s="33"/>
      <c r="K141" s="33"/>
      <c r="L141" s="34"/>
      <c r="M141" s="34"/>
      <c r="N141" s="34"/>
      <c r="O141" s="34"/>
      <c r="P141" s="33"/>
      <c r="Q141" s="35"/>
      <c r="R141" s="33"/>
      <c r="S141" s="33"/>
      <c r="T141" s="33"/>
      <c r="U141" s="33"/>
      <c r="V141" s="33"/>
      <c r="W141" s="33"/>
    </row>
    <row r="142" customFormat="false" ht="15" hidden="false" customHeight="false" outlineLevel="0" collapsed="false">
      <c r="A142" s="33"/>
      <c r="B142" s="33"/>
      <c r="C142" s="33"/>
      <c r="D142" s="33"/>
      <c r="E142" s="33"/>
      <c r="F142" s="33"/>
      <c r="G142" s="33"/>
      <c r="H142" s="33"/>
      <c r="I142" s="33"/>
      <c r="J142" s="33"/>
      <c r="K142" s="33"/>
      <c r="L142" s="34"/>
      <c r="M142" s="34"/>
      <c r="N142" s="34"/>
      <c r="O142" s="34"/>
      <c r="P142" s="33"/>
      <c r="Q142" s="35"/>
      <c r="R142" s="33"/>
      <c r="S142" s="33"/>
      <c r="T142" s="33"/>
      <c r="U142" s="33"/>
      <c r="V142" s="33"/>
      <c r="W142" s="33"/>
    </row>
    <row r="143" customFormat="false" ht="15" hidden="false" customHeight="false" outlineLevel="0" collapsed="false">
      <c r="A143" s="33"/>
      <c r="B143" s="33"/>
      <c r="C143" s="33"/>
      <c r="D143" s="33"/>
      <c r="E143" s="33"/>
      <c r="F143" s="33"/>
      <c r="G143" s="33"/>
      <c r="H143" s="33"/>
      <c r="I143" s="33"/>
      <c r="J143" s="33"/>
      <c r="K143" s="33"/>
      <c r="L143" s="34"/>
      <c r="M143" s="34"/>
      <c r="N143" s="34"/>
      <c r="O143" s="34"/>
      <c r="P143" s="33"/>
      <c r="Q143" s="35"/>
      <c r="R143" s="33"/>
      <c r="S143" s="33"/>
      <c r="T143" s="33"/>
      <c r="U143" s="33"/>
      <c r="V143" s="33"/>
      <c r="W143" s="33"/>
    </row>
    <row r="144" customFormat="false" ht="15" hidden="false" customHeight="false" outlineLevel="0" collapsed="false">
      <c r="A144" s="33"/>
      <c r="B144" s="33"/>
      <c r="C144" s="33"/>
      <c r="D144" s="33"/>
      <c r="E144" s="33"/>
      <c r="F144" s="33"/>
      <c r="G144" s="33"/>
      <c r="H144" s="33"/>
      <c r="I144" s="33"/>
      <c r="J144" s="33"/>
      <c r="K144" s="33"/>
      <c r="L144" s="34"/>
      <c r="M144" s="34"/>
      <c r="N144" s="34"/>
      <c r="O144" s="34"/>
      <c r="P144" s="33"/>
      <c r="Q144" s="35"/>
      <c r="R144" s="33"/>
      <c r="S144" s="33"/>
      <c r="T144" s="33"/>
      <c r="U144" s="33"/>
      <c r="V144" s="33"/>
      <c r="W144" s="33"/>
    </row>
    <row r="145" customFormat="false" ht="15" hidden="false" customHeight="false" outlineLevel="0" collapsed="false">
      <c r="A145" s="33"/>
      <c r="B145" s="33"/>
      <c r="C145" s="33"/>
      <c r="D145" s="33"/>
      <c r="E145" s="33"/>
      <c r="F145" s="33"/>
      <c r="G145" s="33"/>
      <c r="H145" s="33"/>
      <c r="I145" s="33"/>
      <c r="J145" s="33"/>
      <c r="K145" s="33"/>
      <c r="L145" s="34"/>
      <c r="M145" s="34"/>
      <c r="N145" s="34"/>
      <c r="O145" s="34"/>
      <c r="P145" s="33"/>
      <c r="Q145" s="35"/>
      <c r="R145" s="33"/>
      <c r="S145" s="33"/>
      <c r="T145" s="33"/>
      <c r="U145" s="33"/>
      <c r="V145" s="33"/>
      <c r="W145" s="33"/>
    </row>
    <row r="146" customFormat="false" ht="15" hidden="false" customHeight="false" outlineLevel="0" collapsed="false">
      <c r="A146" s="33"/>
      <c r="B146" s="33"/>
      <c r="C146" s="33"/>
      <c r="D146" s="33"/>
      <c r="E146" s="33"/>
      <c r="F146" s="33"/>
      <c r="G146" s="33"/>
      <c r="H146" s="33"/>
      <c r="I146" s="33"/>
      <c r="J146" s="33"/>
      <c r="K146" s="33"/>
      <c r="L146" s="34"/>
      <c r="M146" s="34"/>
      <c r="N146" s="34"/>
      <c r="O146" s="34"/>
      <c r="P146" s="33"/>
      <c r="Q146" s="35"/>
      <c r="R146" s="33"/>
      <c r="S146" s="33"/>
      <c r="T146" s="33"/>
      <c r="U146" s="33"/>
      <c r="V146" s="33"/>
      <c r="W146" s="33"/>
    </row>
    <row r="147" customFormat="false" ht="15" hidden="false" customHeight="false" outlineLevel="0" collapsed="false">
      <c r="A147" s="33"/>
      <c r="B147" s="33"/>
      <c r="C147" s="33"/>
      <c r="D147" s="33"/>
      <c r="E147" s="33"/>
      <c r="F147" s="33"/>
      <c r="G147" s="33"/>
      <c r="H147" s="33"/>
      <c r="I147" s="33"/>
      <c r="J147" s="33"/>
      <c r="K147" s="33"/>
      <c r="L147" s="34"/>
      <c r="M147" s="34"/>
      <c r="N147" s="34"/>
      <c r="O147" s="34"/>
      <c r="P147" s="33"/>
      <c r="Q147" s="35"/>
      <c r="R147" s="33"/>
      <c r="S147" s="33"/>
      <c r="T147" s="33"/>
      <c r="U147" s="33"/>
      <c r="V147" s="33"/>
      <c r="W147" s="33"/>
    </row>
    <row r="148" customFormat="false" ht="15" hidden="false" customHeight="false" outlineLevel="0" collapsed="false">
      <c r="A148" s="33"/>
      <c r="B148" s="33"/>
      <c r="C148" s="33"/>
      <c r="D148" s="33"/>
      <c r="E148" s="33"/>
      <c r="F148" s="33"/>
      <c r="G148" s="33"/>
      <c r="H148" s="33"/>
      <c r="I148" s="33"/>
      <c r="J148" s="33"/>
      <c r="K148" s="33"/>
      <c r="L148" s="34"/>
      <c r="M148" s="34"/>
      <c r="N148" s="34"/>
      <c r="O148" s="34"/>
      <c r="P148" s="33"/>
      <c r="Q148" s="35"/>
      <c r="R148" s="33"/>
      <c r="S148" s="33"/>
      <c r="T148" s="33"/>
      <c r="U148" s="33"/>
      <c r="V148" s="33"/>
      <c r="W148" s="33"/>
    </row>
    <row r="149" customFormat="false" ht="15" hidden="false" customHeight="false" outlineLevel="0" collapsed="false">
      <c r="A149" s="33"/>
      <c r="B149" s="33"/>
      <c r="C149" s="33"/>
      <c r="D149" s="33"/>
      <c r="E149" s="33"/>
      <c r="F149" s="33"/>
      <c r="G149" s="33"/>
      <c r="H149" s="33"/>
      <c r="I149" s="33"/>
      <c r="J149" s="33"/>
      <c r="K149" s="33"/>
      <c r="L149" s="34"/>
      <c r="M149" s="34"/>
      <c r="N149" s="34"/>
      <c r="O149" s="34"/>
      <c r="P149" s="33"/>
      <c r="Q149" s="35"/>
      <c r="R149" s="33"/>
      <c r="S149" s="33"/>
      <c r="T149" s="33"/>
      <c r="U149" s="33"/>
      <c r="V149" s="33"/>
      <c r="W149" s="33"/>
    </row>
    <row r="150" customFormat="false" ht="15" hidden="false" customHeight="false" outlineLevel="0" collapsed="false">
      <c r="A150" s="33"/>
      <c r="B150" s="33"/>
      <c r="C150" s="33"/>
      <c r="D150" s="33"/>
      <c r="E150" s="33"/>
      <c r="F150" s="33"/>
      <c r="G150" s="33"/>
      <c r="H150" s="33"/>
      <c r="I150" s="33"/>
      <c r="J150" s="33"/>
      <c r="K150" s="33"/>
      <c r="L150" s="34"/>
      <c r="M150" s="34"/>
      <c r="N150" s="34"/>
      <c r="O150" s="34"/>
      <c r="P150" s="33"/>
      <c r="Q150" s="35"/>
      <c r="R150" s="33"/>
      <c r="S150" s="33"/>
      <c r="T150" s="33"/>
      <c r="U150" s="33"/>
      <c r="V150" s="33"/>
      <c r="W150" s="33"/>
    </row>
    <row r="151" customFormat="false" ht="15" hidden="false" customHeight="false" outlineLevel="0" collapsed="false">
      <c r="A151" s="33"/>
      <c r="B151" s="33"/>
      <c r="C151" s="33"/>
      <c r="D151" s="33"/>
      <c r="E151" s="33"/>
      <c r="F151" s="33"/>
      <c r="G151" s="33"/>
      <c r="H151" s="33"/>
      <c r="I151" s="33"/>
      <c r="J151" s="33"/>
      <c r="K151" s="33"/>
      <c r="L151" s="34"/>
      <c r="M151" s="34"/>
      <c r="N151" s="34"/>
      <c r="O151" s="34"/>
      <c r="P151" s="33"/>
      <c r="Q151" s="35"/>
      <c r="R151" s="33"/>
      <c r="S151" s="33"/>
      <c r="T151" s="33"/>
      <c r="U151" s="33"/>
      <c r="V151" s="33"/>
      <c r="W151" s="33"/>
    </row>
    <row r="152" customFormat="false" ht="15" hidden="false" customHeight="false" outlineLevel="0" collapsed="false">
      <c r="A152" s="33"/>
      <c r="B152" s="33"/>
      <c r="C152" s="33"/>
      <c r="D152" s="33"/>
      <c r="E152" s="33"/>
      <c r="F152" s="33"/>
      <c r="G152" s="33"/>
      <c r="H152" s="33"/>
      <c r="I152" s="33"/>
      <c r="J152" s="33"/>
      <c r="K152" s="33"/>
      <c r="L152" s="34"/>
      <c r="M152" s="34"/>
      <c r="N152" s="34"/>
      <c r="O152" s="34"/>
      <c r="P152" s="33"/>
      <c r="Q152" s="35"/>
      <c r="R152" s="33"/>
      <c r="S152" s="33"/>
      <c r="T152" s="33"/>
      <c r="U152" s="33"/>
      <c r="V152" s="33"/>
      <c r="W152" s="33"/>
    </row>
    <row r="153" customFormat="false" ht="15" hidden="false" customHeight="false" outlineLevel="0" collapsed="false">
      <c r="A153" s="33"/>
      <c r="B153" s="33"/>
      <c r="C153" s="33"/>
      <c r="D153" s="33"/>
      <c r="E153" s="33"/>
      <c r="F153" s="33"/>
      <c r="G153" s="33"/>
      <c r="H153" s="33"/>
      <c r="I153" s="33"/>
      <c r="J153" s="33"/>
      <c r="K153" s="33"/>
      <c r="L153" s="34"/>
      <c r="M153" s="34"/>
      <c r="N153" s="34"/>
      <c r="O153" s="34"/>
      <c r="P153" s="33"/>
      <c r="Q153" s="35"/>
      <c r="R153" s="33"/>
      <c r="S153" s="33"/>
      <c r="T153" s="33"/>
      <c r="U153" s="33"/>
      <c r="V153" s="33"/>
      <c r="W153" s="33"/>
    </row>
    <row r="154" customFormat="false" ht="15" hidden="false" customHeight="false" outlineLevel="0" collapsed="false">
      <c r="A154" s="33"/>
      <c r="B154" s="33"/>
      <c r="C154" s="33"/>
      <c r="D154" s="33"/>
      <c r="E154" s="33"/>
      <c r="F154" s="33"/>
      <c r="G154" s="33"/>
      <c r="H154" s="33"/>
      <c r="I154" s="33"/>
      <c r="J154" s="33"/>
      <c r="K154" s="33"/>
      <c r="L154" s="34"/>
      <c r="M154" s="34"/>
      <c r="N154" s="34"/>
      <c r="O154" s="34"/>
      <c r="P154" s="33"/>
      <c r="Q154" s="35"/>
      <c r="R154" s="33"/>
      <c r="S154" s="33"/>
      <c r="T154" s="33"/>
      <c r="U154" s="33"/>
      <c r="V154" s="33"/>
      <c r="W154" s="33"/>
    </row>
    <row r="155" customFormat="false" ht="15" hidden="false" customHeight="false" outlineLevel="0" collapsed="false">
      <c r="A155" s="33"/>
      <c r="B155" s="33"/>
      <c r="C155" s="33"/>
      <c r="D155" s="33"/>
      <c r="E155" s="33"/>
      <c r="F155" s="33"/>
      <c r="G155" s="33"/>
      <c r="H155" s="33"/>
      <c r="I155" s="33"/>
      <c r="J155" s="33"/>
      <c r="K155" s="33"/>
      <c r="L155" s="34"/>
      <c r="M155" s="34"/>
      <c r="N155" s="34"/>
      <c r="O155" s="34"/>
      <c r="P155" s="33"/>
      <c r="Q155" s="35"/>
      <c r="R155" s="33"/>
      <c r="S155" s="33"/>
      <c r="T155" s="33"/>
      <c r="U155" s="33"/>
      <c r="V155" s="33"/>
      <c r="W155" s="33"/>
    </row>
    <row r="156" customFormat="false" ht="15" hidden="false" customHeight="false" outlineLevel="0" collapsed="false">
      <c r="A156" s="33"/>
      <c r="B156" s="33"/>
      <c r="C156" s="33"/>
      <c r="D156" s="33"/>
      <c r="E156" s="33"/>
      <c r="F156" s="33"/>
      <c r="G156" s="33"/>
      <c r="H156" s="33"/>
      <c r="I156" s="33"/>
      <c r="J156" s="33"/>
      <c r="K156" s="33"/>
      <c r="L156" s="34"/>
      <c r="M156" s="34"/>
      <c r="N156" s="34"/>
      <c r="O156" s="34"/>
      <c r="P156" s="33"/>
      <c r="Q156" s="35"/>
      <c r="R156" s="33"/>
      <c r="S156" s="33"/>
      <c r="T156" s="33"/>
      <c r="U156" s="33"/>
      <c r="V156" s="33"/>
      <c r="W156" s="33"/>
    </row>
    <row r="157" customFormat="false" ht="15" hidden="false" customHeight="false" outlineLevel="0" collapsed="false">
      <c r="A157" s="33"/>
      <c r="B157" s="33"/>
      <c r="C157" s="33"/>
      <c r="D157" s="33"/>
      <c r="E157" s="33"/>
      <c r="F157" s="33"/>
      <c r="G157" s="33"/>
      <c r="H157" s="33"/>
      <c r="I157" s="33"/>
      <c r="J157" s="33"/>
      <c r="K157" s="33"/>
      <c r="L157" s="34"/>
      <c r="M157" s="34"/>
      <c r="N157" s="34"/>
      <c r="O157" s="34"/>
      <c r="P157" s="33"/>
      <c r="Q157" s="35"/>
      <c r="R157" s="33"/>
      <c r="S157" s="33"/>
      <c r="T157" s="33"/>
      <c r="U157" s="33"/>
      <c r="V157" s="33"/>
      <c r="W157" s="33"/>
    </row>
    <row r="158" customFormat="false" ht="15" hidden="false" customHeight="false" outlineLevel="0" collapsed="false">
      <c r="A158" s="33"/>
      <c r="B158" s="33"/>
      <c r="C158" s="33"/>
      <c r="D158" s="33"/>
      <c r="E158" s="33"/>
      <c r="F158" s="33"/>
      <c r="G158" s="33"/>
      <c r="H158" s="33"/>
      <c r="I158" s="33"/>
      <c r="J158" s="33"/>
      <c r="K158" s="33"/>
      <c r="L158" s="34"/>
      <c r="M158" s="34"/>
      <c r="N158" s="34"/>
      <c r="O158" s="34"/>
      <c r="P158" s="33"/>
      <c r="Q158" s="35"/>
      <c r="R158" s="33"/>
      <c r="S158" s="33"/>
      <c r="T158" s="33"/>
      <c r="U158" s="33"/>
      <c r="V158" s="33"/>
      <c r="W158" s="33"/>
    </row>
    <row r="159" customFormat="false" ht="15" hidden="false" customHeight="false" outlineLevel="0" collapsed="false">
      <c r="A159" s="33"/>
      <c r="B159" s="33"/>
      <c r="C159" s="33"/>
      <c r="D159" s="33"/>
      <c r="E159" s="33"/>
      <c r="F159" s="33"/>
      <c r="G159" s="33"/>
      <c r="H159" s="33"/>
      <c r="I159" s="33"/>
      <c r="J159" s="33"/>
      <c r="K159" s="33"/>
      <c r="L159" s="34"/>
      <c r="M159" s="34"/>
      <c r="N159" s="34"/>
      <c r="O159" s="34"/>
      <c r="P159" s="33"/>
      <c r="Q159" s="35"/>
      <c r="R159" s="33"/>
      <c r="S159" s="33"/>
      <c r="T159" s="33"/>
      <c r="U159" s="33"/>
      <c r="V159" s="33"/>
      <c r="W159" s="33"/>
    </row>
    <row r="160" customFormat="false" ht="15" hidden="false" customHeight="false" outlineLevel="0" collapsed="false">
      <c r="A160" s="33"/>
      <c r="B160" s="33"/>
      <c r="C160" s="33"/>
      <c r="D160" s="33"/>
      <c r="E160" s="33"/>
      <c r="F160" s="33"/>
      <c r="G160" s="33"/>
      <c r="H160" s="33"/>
      <c r="I160" s="33"/>
      <c r="J160" s="33"/>
      <c r="K160" s="33"/>
      <c r="L160" s="34"/>
      <c r="M160" s="34"/>
      <c r="N160" s="34"/>
      <c r="O160" s="34"/>
      <c r="P160" s="33"/>
      <c r="Q160" s="35"/>
      <c r="R160" s="33"/>
      <c r="S160" s="33"/>
      <c r="T160" s="33"/>
      <c r="U160" s="33"/>
      <c r="V160" s="33"/>
      <c r="W160" s="33"/>
    </row>
    <row r="161" customFormat="false" ht="15" hidden="false" customHeight="false" outlineLevel="0" collapsed="false">
      <c r="A161" s="33"/>
      <c r="B161" s="33"/>
      <c r="C161" s="33"/>
      <c r="D161" s="33"/>
      <c r="E161" s="33"/>
      <c r="F161" s="33"/>
      <c r="G161" s="33"/>
      <c r="H161" s="33"/>
      <c r="I161" s="33"/>
      <c r="J161" s="33"/>
      <c r="K161" s="33"/>
      <c r="L161" s="34"/>
      <c r="M161" s="34"/>
      <c r="N161" s="34"/>
      <c r="O161" s="34"/>
      <c r="P161" s="33"/>
      <c r="Q161" s="35"/>
      <c r="R161" s="33"/>
      <c r="S161" s="33"/>
      <c r="T161" s="33"/>
      <c r="U161" s="33"/>
      <c r="V161" s="33"/>
      <c r="W161" s="33"/>
    </row>
    <row r="162" customFormat="false" ht="15" hidden="false" customHeight="false" outlineLevel="0" collapsed="false">
      <c r="A162" s="33"/>
      <c r="B162" s="33"/>
      <c r="C162" s="33"/>
      <c r="D162" s="33"/>
      <c r="E162" s="33"/>
      <c r="F162" s="33"/>
      <c r="G162" s="33"/>
      <c r="H162" s="33"/>
      <c r="I162" s="33"/>
      <c r="J162" s="33"/>
      <c r="K162" s="33"/>
      <c r="L162" s="34"/>
      <c r="M162" s="34"/>
      <c r="N162" s="34"/>
      <c r="O162" s="34"/>
      <c r="P162" s="33"/>
      <c r="Q162" s="35"/>
      <c r="R162" s="33"/>
      <c r="S162" s="33"/>
      <c r="T162" s="33"/>
      <c r="U162" s="33"/>
      <c r="V162" s="33"/>
      <c r="W162" s="33"/>
    </row>
    <row r="163" customFormat="false" ht="15" hidden="false" customHeight="false" outlineLevel="0" collapsed="false">
      <c r="A163" s="33"/>
      <c r="B163" s="33"/>
      <c r="C163" s="33"/>
      <c r="D163" s="33"/>
      <c r="E163" s="33"/>
      <c r="F163" s="33"/>
      <c r="G163" s="33"/>
      <c r="H163" s="33"/>
      <c r="I163" s="33"/>
      <c r="J163" s="33"/>
      <c r="K163" s="33"/>
      <c r="L163" s="34"/>
      <c r="M163" s="34"/>
      <c r="N163" s="34"/>
      <c r="O163" s="34"/>
      <c r="P163" s="33"/>
      <c r="Q163" s="35"/>
      <c r="R163" s="33"/>
      <c r="S163" s="33"/>
      <c r="T163" s="33"/>
      <c r="U163" s="33"/>
      <c r="V163" s="33"/>
      <c r="W163" s="33"/>
    </row>
    <row r="164" customFormat="false" ht="15" hidden="false" customHeight="false" outlineLevel="0" collapsed="false">
      <c r="A164" s="33"/>
      <c r="B164" s="33"/>
      <c r="C164" s="33"/>
      <c r="D164" s="33"/>
      <c r="E164" s="33"/>
      <c r="F164" s="33"/>
      <c r="G164" s="33"/>
      <c r="H164" s="33"/>
      <c r="I164" s="33"/>
      <c r="J164" s="33"/>
      <c r="K164" s="33"/>
      <c r="L164" s="34"/>
      <c r="M164" s="34"/>
      <c r="N164" s="34"/>
      <c r="O164" s="34"/>
      <c r="P164" s="33"/>
      <c r="Q164" s="35"/>
      <c r="R164" s="33"/>
      <c r="S164" s="33"/>
      <c r="T164" s="33"/>
      <c r="U164" s="33"/>
      <c r="V164" s="33"/>
      <c r="W164" s="33"/>
    </row>
    <row r="165" customFormat="false" ht="15" hidden="false" customHeight="false" outlineLevel="0" collapsed="false">
      <c r="A165" s="33"/>
      <c r="B165" s="33"/>
      <c r="C165" s="33"/>
      <c r="D165" s="33"/>
      <c r="E165" s="33"/>
      <c r="F165" s="33"/>
      <c r="G165" s="33"/>
      <c r="H165" s="33"/>
      <c r="I165" s="33"/>
      <c r="J165" s="33"/>
      <c r="K165" s="33"/>
      <c r="L165" s="34"/>
      <c r="M165" s="34"/>
      <c r="N165" s="34"/>
      <c r="O165" s="34"/>
      <c r="P165" s="33"/>
      <c r="Q165" s="35"/>
      <c r="R165" s="33"/>
      <c r="S165" s="33"/>
      <c r="T165" s="33"/>
      <c r="U165" s="33"/>
      <c r="V165" s="33"/>
      <c r="W165" s="33"/>
    </row>
    <row r="166" customFormat="false" ht="15" hidden="false" customHeight="false" outlineLevel="0" collapsed="false">
      <c r="A166" s="33"/>
      <c r="B166" s="33"/>
      <c r="C166" s="33"/>
      <c r="D166" s="33"/>
      <c r="E166" s="33"/>
      <c r="F166" s="33"/>
      <c r="G166" s="33"/>
      <c r="H166" s="33"/>
      <c r="I166" s="33"/>
      <c r="J166" s="33"/>
      <c r="K166" s="33"/>
      <c r="L166" s="34"/>
      <c r="M166" s="34"/>
      <c r="N166" s="34"/>
      <c r="O166" s="34"/>
      <c r="P166" s="33"/>
      <c r="Q166" s="35"/>
      <c r="R166" s="33"/>
      <c r="S166" s="33"/>
      <c r="T166" s="33"/>
      <c r="U166" s="33"/>
      <c r="V166" s="33"/>
      <c r="W166" s="33"/>
    </row>
    <row r="167" customFormat="false" ht="15" hidden="false" customHeight="false" outlineLevel="0" collapsed="false">
      <c r="A167" s="33"/>
      <c r="B167" s="33"/>
      <c r="C167" s="33"/>
      <c r="D167" s="33"/>
      <c r="E167" s="33"/>
      <c r="F167" s="33"/>
      <c r="G167" s="33"/>
      <c r="H167" s="33"/>
      <c r="I167" s="33"/>
      <c r="J167" s="33"/>
      <c r="K167" s="33"/>
      <c r="L167" s="34"/>
      <c r="M167" s="34"/>
      <c r="N167" s="34"/>
      <c r="O167" s="34"/>
      <c r="P167" s="33"/>
      <c r="Q167" s="35"/>
      <c r="R167" s="33"/>
      <c r="S167" s="33"/>
      <c r="T167" s="33"/>
      <c r="U167" s="33"/>
      <c r="V167" s="33"/>
      <c r="W167" s="33"/>
    </row>
    <row r="168" customFormat="false" ht="15" hidden="false" customHeight="false" outlineLevel="0" collapsed="false">
      <c r="A168" s="33"/>
      <c r="B168" s="33"/>
      <c r="C168" s="33"/>
      <c r="D168" s="33"/>
      <c r="E168" s="33"/>
      <c r="F168" s="33"/>
      <c r="G168" s="33"/>
      <c r="H168" s="33"/>
      <c r="I168" s="33"/>
      <c r="J168" s="33"/>
      <c r="K168" s="33"/>
      <c r="L168" s="34"/>
      <c r="M168" s="34"/>
      <c r="N168" s="34"/>
      <c r="O168" s="34"/>
      <c r="P168" s="33"/>
      <c r="Q168" s="35"/>
      <c r="R168" s="33"/>
      <c r="S168" s="33"/>
      <c r="T168" s="33"/>
      <c r="U168" s="33"/>
      <c r="V168" s="33"/>
      <c r="W168" s="33"/>
    </row>
    <row r="169" customFormat="false" ht="15" hidden="false" customHeight="false" outlineLevel="0" collapsed="false">
      <c r="A169" s="33"/>
      <c r="B169" s="33"/>
      <c r="C169" s="33"/>
      <c r="D169" s="33"/>
      <c r="E169" s="33"/>
      <c r="F169" s="33"/>
      <c r="G169" s="33"/>
      <c r="H169" s="33"/>
      <c r="I169" s="33"/>
      <c r="J169" s="33"/>
      <c r="K169" s="33"/>
      <c r="L169" s="34"/>
      <c r="M169" s="34"/>
      <c r="N169" s="34"/>
      <c r="O169" s="34"/>
      <c r="P169" s="33"/>
      <c r="Q169" s="35"/>
      <c r="R169" s="33"/>
      <c r="S169" s="33"/>
      <c r="T169" s="33"/>
      <c r="U169" s="33"/>
      <c r="V169" s="33"/>
      <c r="W169" s="33"/>
    </row>
    <row r="170" customFormat="false" ht="15" hidden="false" customHeight="false" outlineLevel="0" collapsed="false">
      <c r="A170" s="33"/>
      <c r="B170" s="33"/>
      <c r="C170" s="33"/>
      <c r="D170" s="33"/>
      <c r="E170" s="33"/>
      <c r="F170" s="33"/>
      <c r="G170" s="33"/>
      <c r="H170" s="33"/>
      <c r="I170" s="33"/>
      <c r="J170" s="33"/>
      <c r="K170" s="33"/>
      <c r="L170" s="34"/>
      <c r="M170" s="34"/>
      <c r="N170" s="34"/>
      <c r="O170" s="34"/>
      <c r="P170" s="33"/>
      <c r="Q170" s="35"/>
      <c r="R170" s="33"/>
      <c r="S170" s="33"/>
      <c r="T170" s="33"/>
      <c r="U170" s="33"/>
      <c r="V170" s="33"/>
      <c r="W170" s="33"/>
    </row>
    <row r="171" customFormat="false" ht="15" hidden="false" customHeight="false" outlineLevel="0" collapsed="false">
      <c r="A171" s="33"/>
      <c r="B171" s="33"/>
      <c r="C171" s="33"/>
      <c r="D171" s="33"/>
      <c r="E171" s="33"/>
      <c r="F171" s="33"/>
      <c r="G171" s="33"/>
      <c r="H171" s="33"/>
      <c r="I171" s="33"/>
      <c r="J171" s="33"/>
      <c r="K171" s="33"/>
      <c r="L171" s="34"/>
      <c r="M171" s="34"/>
      <c r="N171" s="34"/>
      <c r="O171" s="34"/>
      <c r="P171" s="33"/>
      <c r="Q171" s="35"/>
      <c r="R171" s="33"/>
      <c r="S171" s="33"/>
      <c r="T171" s="33"/>
      <c r="U171" s="33"/>
      <c r="V171" s="33"/>
      <c r="W171" s="33"/>
    </row>
    <row r="172" customFormat="false" ht="15" hidden="false" customHeight="false" outlineLevel="0" collapsed="false">
      <c r="A172" s="33"/>
      <c r="B172" s="33"/>
      <c r="C172" s="33"/>
      <c r="D172" s="33"/>
      <c r="E172" s="33"/>
      <c r="F172" s="33"/>
      <c r="G172" s="33"/>
      <c r="H172" s="33"/>
      <c r="I172" s="33"/>
      <c r="J172" s="33"/>
      <c r="K172" s="33"/>
      <c r="L172" s="34"/>
      <c r="M172" s="34"/>
      <c r="N172" s="34"/>
      <c r="O172" s="34"/>
      <c r="P172" s="33"/>
      <c r="Q172" s="35"/>
      <c r="R172" s="33"/>
      <c r="S172" s="33"/>
      <c r="T172" s="33"/>
      <c r="U172" s="33"/>
      <c r="V172" s="33"/>
      <c r="W172" s="33"/>
    </row>
    <row r="173" customFormat="false" ht="15" hidden="false" customHeight="false" outlineLevel="0" collapsed="false">
      <c r="A173" s="33"/>
      <c r="B173" s="33"/>
      <c r="C173" s="33"/>
      <c r="D173" s="33"/>
      <c r="E173" s="33"/>
      <c r="F173" s="33"/>
      <c r="G173" s="33"/>
      <c r="H173" s="33"/>
      <c r="I173" s="33"/>
      <c r="J173" s="33"/>
      <c r="K173" s="33"/>
      <c r="L173" s="34"/>
      <c r="M173" s="34"/>
      <c r="N173" s="34"/>
      <c r="O173" s="34"/>
      <c r="P173" s="33"/>
      <c r="Q173" s="35"/>
      <c r="R173" s="33"/>
      <c r="S173" s="33"/>
      <c r="T173" s="33"/>
      <c r="U173" s="33"/>
      <c r="V173" s="33"/>
      <c r="W173" s="33"/>
    </row>
    <row r="174" customFormat="false" ht="15" hidden="false" customHeight="false" outlineLevel="0" collapsed="false">
      <c r="A174" s="33"/>
      <c r="B174" s="33"/>
      <c r="C174" s="33"/>
      <c r="D174" s="33"/>
      <c r="E174" s="33"/>
      <c r="F174" s="33"/>
      <c r="G174" s="33"/>
      <c r="H174" s="33"/>
      <c r="I174" s="33"/>
      <c r="J174" s="33"/>
      <c r="K174" s="33"/>
      <c r="L174" s="34"/>
      <c r="M174" s="34"/>
      <c r="N174" s="34"/>
      <c r="O174" s="34"/>
      <c r="P174" s="33"/>
      <c r="Q174" s="35"/>
      <c r="R174" s="33"/>
      <c r="S174" s="33"/>
      <c r="T174" s="33"/>
      <c r="U174" s="33"/>
      <c r="V174" s="33"/>
      <c r="W174" s="33"/>
    </row>
    <row r="175" customFormat="false" ht="15" hidden="false" customHeight="false" outlineLevel="0" collapsed="false">
      <c r="A175" s="33"/>
      <c r="B175" s="33"/>
      <c r="C175" s="33"/>
      <c r="D175" s="33"/>
      <c r="E175" s="33"/>
      <c r="F175" s="33"/>
      <c r="G175" s="33"/>
      <c r="H175" s="33"/>
      <c r="I175" s="33"/>
      <c r="J175" s="33"/>
      <c r="K175" s="33"/>
      <c r="L175" s="34"/>
      <c r="M175" s="34"/>
      <c r="N175" s="34"/>
      <c r="O175" s="34"/>
      <c r="P175" s="33"/>
      <c r="Q175" s="35"/>
      <c r="R175" s="33"/>
      <c r="S175" s="33"/>
      <c r="T175" s="33"/>
      <c r="U175" s="33"/>
      <c r="V175" s="33"/>
      <c r="W175" s="33"/>
    </row>
    <row r="176" customFormat="false" ht="15" hidden="false" customHeight="false" outlineLevel="0" collapsed="false">
      <c r="A176" s="33"/>
      <c r="B176" s="33"/>
      <c r="C176" s="33"/>
      <c r="D176" s="33"/>
      <c r="E176" s="33"/>
      <c r="F176" s="33"/>
      <c r="G176" s="33"/>
      <c r="H176" s="33"/>
      <c r="I176" s="33"/>
      <c r="J176" s="33"/>
      <c r="K176" s="33"/>
      <c r="L176" s="34"/>
      <c r="M176" s="34"/>
      <c r="N176" s="34"/>
      <c r="O176" s="34"/>
      <c r="P176" s="33"/>
      <c r="Q176" s="35"/>
      <c r="R176" s="33"/>
      <c r="S176" s="33"/>
      <c r="T176" s="33"/>
      <c r="U176" s="33"/>
      <c r="V176" s="33"/>
      <c r="W176" s="33"/>
    </row>
    <row r="177" customFormat="false" ht="15" hidden="false" customHeight="false" outlineLevel="0" collapsed="false">
      <c r="A177" s="33"/>
      <c r="B177" s="33"/>
      <c r="C177" s="33"/>
      <c r="D177" s="33"/>
      <c r="E177" s="33"/>
      <c r="F177" s="33"/>
      <c r="G177" s="33"/>
      <c r="H177" s="33"/>
      <c r="I177" s="33"/>
      <c r="J177" s="33"/>
      <c r="K177" s="33"/>
      <c r="L177" s="34"/>
      <c r="M177" s="34"/>
      <c r="N177" s="34"/>
      <c r="O177" s="34"/>
      <c r="P177" s="33"/>
      <c r="Q177" s="35"/>
      <c r="R177" s="33"/>
      <c r="S177" s="33"/>
      <c r="T177" s="33"/>
      <c r="U177" s="33"/>
      <c r="V177" s="33"/>
      <c r="W177" s="33"/>
    </row>
    <row r="178" customFormat="false" ht="15" hidden="false" customHeight="false" outlineLevel="0" collapsed="false">
      <c r="A178" s="33"/>
      <c r="B178" s="33"/>
      <c r="C178" s="33"/>
      <c r="D178" s="33"/>
      <c r="E178" s="33"/>
      <c r="F178" s="33"/>
      <c r="G178" s="33"/>
      <c r="H178" s="33"/>
      <c r="I178" s="33"/>
      <c r="J178" s="33"/>
      <c r="K178" s="33"/>
      <c r="L178" s="34"/>
      <c r="M178" s="34"/>
      <c r="N178" s="34"/>
      <c r="O178" s="34"/>
      <c r="P178" s="33"/>
      <c r="Q178" s="35"/>
      <c r="R178" s="33"/>
      <c r="S178" s="33"/>
      <c r="T178" s="33"/>
      <c r="U178" s="33"/>
      <c r="V178" s="33"/>
      <c r="W178" s="33"/>
    </row>
    <row r="179" customFormat="false" ht="15" hidden="false" customHeight="false" outlineLevel="0" collapsed="false">
      <c r="A179" s="33"/>
      <c r="B179" s="33"/>
      <c r="C179" s="33"/>
      <c r="D179" s="33"/>
      <c r="E179" s="33"/>
      <c r="F179" s="33"/>
      <c r="G179" s="33"/>
      <c r="H179" s="33"/>
      <c r="I179" s="33"/>
      <c r="J179" s="33"/>
      <c r="K179" s="33"/>
      <c r="L179" s="34"/>
      <c r="M179" s="34"/>
      <c r="N179" s="34"/>
      <c r="O179" s="34"/>
      <c r="P179" s="33"/>
      <c r="Q179" s="35"/>
      <c r="R179" s="33"/>
      <c r="S179" s="33"/>
      <c r="T179" s="33"/>
      <c r="U179" s="33"/>
      <c r="V179" s="33"/>
      <c r="W179" s="33"/>
    </row>
    <row r="180" customFormat="false" ht="15" hidden="false" customHeight="false" outlineLevel="0" collapsed="false">
      <c r="A180" s="33"/>
      <c r="B180" s="33"/>
      <c r="C180" s="33"/>
      <c r="D180" s="33"/>
      <c r="E180" s="33"/>
      <c r="F180" s="33"/>
      <c r="G180" s="33"/>
      <c r="H180" s="33"/>
      <c r="I180" s="33"/>
      <c r="J180" s="33"/>
      <c r="K180" s="33"/>
      <c r="L180" s="34"/>
      <c r="M180" s="34"/>
      <c r="N180" s="34"/>
      <c r="O180" s="34"/>
      <c r="P180" s="33"/>
      <c r="Q180" s="35"/>
      <c r="R180" s="33"/>
      <c r="S180" s="33"/>
      <c r="T180" s="33"/>
      <c r="U180" s="33"/>
      <c r="V180" s="33"/>
      <c r="W180" s="33"/>
    </row>
    <row r="181" customFormat="false" ht="15" hidden="false" customHeight="false" outlineLevel="0" collapsed="false">
      <c r="A181" s="33"/>
      <c r="B181" s="33"/>
      <c r="C181" s="33"/>
      <c r="D181" s="33"/>
      <c r="E181" s="33"/>
      <c r="F181" s="33"/>
      <c r="G181" s="33"/>
      <c r="H181" s="33"/>
      <c r="I181" s="33"/>
      <c r="J181" s="33"/>
      <c r="K181" s="33"/>
      <c r="L181" s="34"/>
      <c r="M181" s="34"/>
      <c r="N181" s="34"/>
      <c r="O181" s="34"/>
      <c r="P181" s="33"/>
      <c r="Q181" s="35"/>
      <c r="R181" s="33"/>
      <c r="S181" s="33"/>
      <c r="T181" s="33"/>
      <c r="U181" s="33"/>
      <c r="V181" s="33"/>
      <c r="W181" s="33"/>
    </row>
    <row r="182" customFormat="false" ht="15" hidden="false" customHeight="false" outlineLevel="0" collapsed="false">
      <c r="A182" s="33"/>
      <c r="B182" s="33"/>
      <c r="C182" s="33"/>
      <c r="D182" s="33"/>
      <c r="E182" s="33"/>
      <c r="F182" s="33"/>
      <c r="G182" s="33"/>
      <c r="H182" s="33"/>
      <c r="I182" s="33"/>
      <c r="J182" s="33"/>
      <c r="K182" s="33"/>
      <c r="L182" s="34"/>
      <c r="M182" s="34"/>
      <c r="N182" s="34"/>
      <c r="O182" s="34"/>
      <c r="P182" s="33"/>
      <c r="Q182" s="35"/>
      <c r="R182" s="33"/>
      <c r="S182" s="33"/>
      <c r="T182" s="33"/>
      <c r="U182" s="33"/>
      <c r="V182" s="33"/>
      <c r="W182" s="33"/>
    </row>
    <row r="183" customFormat="false" ht="15" hidden="false" customHeight="false" outlineLevel="0" collapsed="false">
      <c r="A183" s="33"/>
      <c r="B183" s="33"/>
      <c r="C183" s="33"/>
      <c r="D183" s="33"/>
      <c r="E183" s="33"/>
      <c r="F183" s="33"/>
      <c r="G183" s="33"/>
      <c r="H183" s="33"/>
      <c r="I183" s="33"/>
      <c r="J183" s="33"/>
      <c r="K183" s="33"/>
      <c r="L183" s="34"/>
      <c r="M183" s="34"/>
      <c r="N183" s="34"/>
      <c r="O183" s="34"/>
      <c r="P183" s="33"/>
      <c r="Q183" s="35"/>
      <c r="R183" s="33"/>
      <c r="S183" s="33"/>
      <c r="T183" s="33"/>
      <c r="U183" s="33"/>
      <c r="V183" s="33"/>
      <c r="W183" s="33"/>
    </row>
    <row r="184" customFormat="false" ht="15" hidden="false" customHeight="false" outlineLevel="0" collapsed="false">
      <c r="A184" s="33"/>
      <c r="B184" s="33"/>
      <c r="C184" s="33"/>
      <c r="D184" s="33"/>
      <c r="E184" s="33"/>
      <c r="F184" s="33"/>
      <c r="G184" s="33"/>
      <c r="H184" s="33"/>
      <c r="I184" s="33"/>
      <c r="J184" s="33"/>
      <c r="K184" s="33"/>
      <c r="L184" s="34"/>
      <c r="M184" s="34"/>
      <c r="N184" s="34"/>
      <c r="O184" s="34"/>
      <c r="P184" s="33"/>
      <c r="Q184" s="35"/>
      <c r="R184" s="33"/>
      <c r="S184" s="33"/>
      <c r="T184" s="33"/>
      <c r="U184" s="33"/>
      <c r="V184" s="33"/>
      <c r="W184" s="33"/>
    </row>
    <row r="185" customFormat="false" ht="15" hidden="false" customHeight="false" outlineLevel="0" collapsed="false">
      <c r="A185" s="33"/>
      <c r="B185" s="33"/>
      <c r="C185" s="33"/>
      <c r="D185" s="33"/>
      <c r="E185" s="33"/>
      <c r="F185" s="33"/>
      <c r="G185" s="33"/>
      <c r="H185" s="33"/>
      <c r="I185" s="33"/>
      <c r="J185" s="33"/>
      <c r="K185" s="33"/>
      <c r="L185" s="34"/>
      <c r="M185" s="34"/>
      <c r="N185" s="34"/>
      <c r="O185" s="34"/>
      <c r="P185" s="33"/>
      <c r="Q185" s="35"/>
      <c r="R185" s="33"/>
      <c r="S185" s="33"/>
      <c r="T185" s="33"/>
      <c r="U185" s="33"/>
      <c r="V185" s="33"/>
      <c r="W185" s="33"/>
    </row>
    <row r="186" customFormat="false" ht="15" hidden="false" customHeight="false" outlineLevel="0" collapsed="false">
      <c r="A186" s="33"/>
      <c r="B186" s="33"/>
      <c r="C186" s="33"/>
      <c r="D186" s="33"/>
      <c r="E186" s="33"/>
      <c r="F186" s="33"/>
      <c r="G186" s="33"/>
      <c r="H186" s="33"/>
      <c r="I186" s="33"/>
      <c r="J186" s="33"/>
      <c r="K186" s="33"/>
      <c r="L186" s="34"/>
      <c r="M186" s="34"/>
      <c r="N186" s="34"/>
      <c r="O186" s="34"/>
      <c r="P186" s="33"/>
      <c r="Q186" s="35"/>
      <c r="R186" s="33"/>
      <c r="S186" s="33"/>
      <c r="T186" s="33"/>
      <c r="U186" s="33"/>
      <c r="V186" s="33"/>
      <c r="W186" s="33"/>
    </row>
    <row r="187" customFormat="false" ht="15" hidden="false" customHeight="false" outlineLevel="0" collapsed="false">
      <c r="A187" s="33"/>
      <c r="B187" s="33"/>
      <c r="C187" s="33"/>
      <c r="D187" s="33"/>
      <c r="E187" s="33"/>
      <c r="F187" s="33"/>
      <c r="G187" s="33"/>
      <c r="H187" s="33"/>
      <c r="I187" s="33"/>
      <c r="J187" s="33"/>
      <c r="K187" s="33"/>
      <c r="L187" s="34"/>
      <c r="M187" s="34"/>
      <c r="N187" s="34"/>
      <c r="O187" s="34"/>
      <c r="P187" s="33"/>
      <c r="Q187" s="35"/>
      <c r="R187" s="33"/>
      <c r="S187" s="33"/>
      <c r="T187" s="33"/>
      <c r="U187" s="33"/>
      <c r="V187" s="33"/>
      <c r="W187" s="33"/>
    </row>
    <row r="188" customFormat="false" ht="15" hidden="false" customHeight="false" outlineLevel="0" collapsed="false">
      <c r="A188" s="33"/>
      <c r="B188" s="33"/>
      <c r="C188" s="33"/>
      <c r="D188" s="33"/>
      <c r="E188" s="33"/>
      <c r="F188" s="33"/>
      <c r="G188" s="33"/>
      <c r="H188" s="33"/>
      <c r="I188" s="33"/>
      <c r="J188" s="33"/>
      <c r="K188" s="33"/>
      <c r="L188" s="34"/>
      <c r="M188" s="34"/>
      <c r="N188" s="34"/>
      <c r="O188" s="34"/>
      <c r="P188" s="33"/>
      <c r="Q188" s="35"/>
      <c r="R188" s="33"/>
      <c r="S188" s="33"/>
      <c r="T188" s="33"/>
      <c r="U188" s="33"/>
      <c r="V188" s="33"/>
      <c r="W188" s="33"/>
    </row>
    <row r="189" customFormat="false" ht="15" hidden="false" customHeight="false" outlineLevel="0" collapsed="false">
      <c r="A189" s="33"/>
      <c r="B189" s="33"/>
      <c r="C189" s="33"/>
      <c r="D189" s="33"/>
      <c r="E189" s="33"/>
      <c r="F189" s="33"/>
      <c r="G189" s="33"/>
      <c r="H189" s="33"/>
      <c r="I189" s="33"/>
      <c r="J189" s="33"/>
      <c r="K189" s="33"/>
      <c r="L189" s="34"/>
      <c r="M189" s="34"/>
      <c r="N189" s="34"/>
      <c r="O189" s="34"/>
      <c r="P189" s="33"/>
      <c r="Q189" s="35"/>
      <c r="R189" s="33"/>
      <c r="S189" s="33"/>
      <c r="T189" s="33"/>
      <c r="U189" s="33"/>
      <c r="V189" s="33"/>
      <c r="W189" s="33"/>
    </row>
    <row r="190" customFormat="false" ht="15" hidden="false" customHeight="false" outlineLevel="0" collapsed="false">
      <c r="A190" s="33"/>
      <c r="B190" s="33"/>
      <c r="C190" s="33"/>
      <c r="D190" s="33"/>
      <c r="E190" s="33"/>
      <c r="F190" s="33"/>
      <c r="G190" s="33"/>
      <c r="H190" s="33"/>
      <c r="I190" s="33"/>
      <c r="J190" s="33"/>
      <c r="K190" s="33"/>
      <c r="L190" s="34"/>
      <c r="M190" s="34"/>
      <c r="N190" s="34"/>
      <c r="O190" s="34"/>
      <c r="P190" s="33"/>
      <c r="Q190" s="35"/>
      <c r="R190" s="33"/>
      <c r="S190" s="33"/>
      <c r="T190" s="33"/>
      <c r="U190" s="33"/>
      <c r="V190" s="33"/>
      <c r="W190" s="33"/>
    </row>
    <row r="191" customFormat="false" ht="15" hidden="false" customHeight="false" outlineLevel="0" collapsed="false">
      <c r="A191" s="33"/>
      <c r="B191" s="33"/>
      <c r="C191" s="33"/>
      <c r="D191" s="33"/>
      <c r="E191" s="33"/>
      <c r="F191" s="33"/>
      <c r="G191" s="33"/>
      <c r="H191" s="33"/>
      <c r="I191" s="33"/>
      <c r="J191" s="33"/>
      <c r="K191" s="33"/>
      <c r="L191" s="34"/>
      <c r="M191" s="34"/>
      <c r="N191" s="34"/>
      <c r="O191" s="34"/>
      <c r="P191" s="33"/>
      <c r="Q191" s="35"/>
      <c r="R191" s="33"/>
      <c r="S191" s="33"/>
      <c r="T191" s="33"/>
      <c r="U191" s="33"/>
      <c r="V191" s="33"/>
      <c r="W191" s="33"/>
    </row>
    <row r="192" customFormat="false" ht="15" hidden="false" customHeight="false" outlineLevel="0" collapsed="false">
      <c r="A192" s="33"/>
      <c r="B192" s="33"/>
      <c r="C192" s="33"/>
      <c r="D192" s="33"/>
      <c r="E192" s="33"/>
      <c r="F192" s="33"/>
      <c r="G192" s="33"/>
      <c r="H192" s="33"/>
      <c r="I192" s="33"/>
      <c r="J192" s="33"/>
      <c r="K192" s="33"/>
      <c r="L192" s="34"/>
      <c r="M192" s="34"/>
      <c r="N192" s="34"/>
      <c r="O192" s="34"/>
      <c r="P192" s="33"/>
      <c r="Q192" s="35"/>
      <c r="R192" s="33"/>
      <c r="S192" s="33"/>
      <c r="T192" s="33"/>
      <c r="U192" s="33"/>
      <c r="V192" s="33"/>
      <c r="W192" s="33"/>
    </row>
    <row r="193" customFormat="false" ht="15" hidden="false" customHeight="false" outlineLevel="0" collapsed="false">
      <c r="A193" s="33"/>
      <c r="B193" s="33"/>
      <c r="C193" s="33"/>
      <c r="D193" s="33"/>
      <c r="E193" s="33"/>
      <c r="F193" s="33"/>
      <c r="G193" s="33"/>
      <c r="H193" s="33"/>
      <c r="I193" s="33"/>
      <c r="J193" s="33"/>
      <c r="K193" s="33"/>
      <c r="L193" s="34"/>
      <c r="M193" s="34"/>
      <c r="N193" s="34"/>
      <c r="O193" s="34"/>
      <c r="P193" s="33"/>
      <c r="Q193" s="35"/>
      <c r="R193" s="33"/>
      <c r="S193" s="33"/>
      <c r="T193" s="33"/>
      <c r="U193" s="33"/>
      <c r="V193" s="33"/>
      <c r="W193" s="33"/>
    </row>
    <row r="194" customFormat="false" ht="15" hidden="false" customHeight="false" outlineLevel="0" collapsed="false">
      <c r="A194" s="33"/>
      <c r="B194" s="33"/>
      <c r="C194" s="33"/>
      <c r="D194" s="33"/>
      <c r="E194" s="33"/>
      <c r="F194" s="33"/>
      <c r="G194" s="33"/>
      <c r="H194" s="33"/>
      <c r="I194" s="33"/>
      <c r="J194" s="33"/>
      <c r="K194" s="33"/>
      <c r="L194" s="34"/>
      <c r="M194" s="34"/>
      <c r="N194" s="34"/>
      <c r="O194" s="34"/>
      <c r="P194" s="33"/>
      <c r="Q194" s="35"/>
      <c r="R194" s="33"/>
      <c r="S194" s="33"/>
      <c r="T194" s="33"/>
      <c r="U194" s="33"/>
      <c r="V194" s="33"/>
      <c r="W194" s="33"/>
    </row>
    <row r="195" customFormat="false" ht="15" hidden="false" customHeight="false" outlineLevel="0" collapsed="false">
      <c r="A195" s="33"/>
      <c r="B195" s="33"/>
      <c r="C195" s="33"/>
      <c r="D195" s="33"/>
      <c r="E195" s="33"/>
      <c r="F195" s="33"/>
      <c r="G195" s="33"/>
      <c r="H195" s="33"/>
      <c r="I195" s="33"/>
      <c r="J195" s="33"/>
      <c r="K195" s="33"/>
      <c r="L195" s="34"/>
      <c r="M195" s="34"/>
      <c r="N195" s="34"/>
      <c r="O195" s="34"/>
      <c r="P195" s="33"/>
      <c r="Q195" s="35"/>
      <c r="R195" s="33"/>
      <c r="S195" s="33"/>
      <c r="T195" s="33"/>
      <c r="U195" s="33"/>
      <c r="V195" s="33"/>
      <c r="W195" s="33"/>
    </row>
    <row r="196" customFormat="false" ht="15" hidden="false" customHeight="false" outlineLevel="0" collapsed="false">
      <c r="A196" s="33"/>
      <c r="B196" s="33"/>
      <c r="C196" s="33"/>
      <c r="D196" s="33"/>
      <c r="E196" s="33"/>
      <c r="F196" s="33"/>
      <c r="G196" s="33"/>
      <c r="H196" s="33"/>
      <c r="I196" s="33"/>
      <c r="J196" s="33"/>
      <c r="K196" s="33"/>
      <c r="L196" s="34"/>
      <c r="M196" s="34"/>
      <c r="N196" s="34"/>
      <c r="O196" s="34"/>
      <c r="P196" s="33"/>
      <c r="Q196" s="35"/>
      <c r="R196" s="33"/>
      <c r="S196" s="33"/>
      <c r="T196" s="33"/>
      <c r="U196" s="33"/>
      <c r="V196" s="33"/>
      <c r="W196" s="33"/>
    </row>
    <row r="197" customFormat="false" ht="15" hidden="false" customHeight="false" outlineLevel="0" collapsed="false">
      <c r="A197" s="33"/>
      <c r="B197" s="33"/>
      <c r="C197" s="33"/>
      <c r="D197" s="33"/>
      <c r="E197" s="33"/>
      <c r="F197" s="33"/>
      <c r="G197" s="33"/>
      <c r="H197" s="33"/>
      <c r="I197" s="33"/>
      <c r="J197" s="33"/>
      <c r="K197" s="33"/>
      <c r="L197" s="34"/>
      <c r="M197" s="34"/>
      <c r="N197" s="34"/>
      <c r="O197" s="34"/>
      <c r="P197" s="33"/>
      <c r="Q197" s="35"/>
      <c r="R197" s="33"/>
      <c r="S197" s="33"/>
      <c r="T197" s="33"/>
      <c r="U197" s="33"/>
      <c r="V197" s="33"/>
      <c r="W197" s="33"/>
    </row>
    <row r="198" customFormat="false" ht="15" hidden="false" customHeight="false" outlineLevel="0" collapsed="false">
      <c r="A198" s="33"/>
      <c r="B198" s="33"/>
      <c r="C198" s="33"/>
      <c r="D198" s="33"/>
      <c r="E198" s="33"/>
      <c r="F198" s="33"/>
      <c r="G198" s="33"/>
      <c r="H198" s="33"/>
      <c r="I198" s="33"/>
      <c r="J198" s="33"/>
      <c r="K198" s="33"/>
      <c r="L198" s="34"/>
      <c r="M198" s="34"/>
      <c r="N198" s="34"/>
      <c r="O198" s="34"/>
      <c r="P198" s="33"/>
      <c r="Q198" s="35"/>
      <c r="R198" s="33"/>
      <c r="S198" s="33"/>
      <c r="T198" s="33"/>
      <c r="U198" s="33"/>
      <c r="V198" s="33"/>
      <c r="W198" s="33"/>
    </row>
    <row r="199" customFormat="false" ht="15" hidden="false" customHeight="false" outlineLevel="0" collapsed="false">
      <c r="A199" s="33"/>
      <c r="B199" s="33"/>
      <c r="C199" s="33"/>
      <c r="D199" s="33"/>
      <c r="E199" s="33"/>
      <c r="F199" s="33"/>
      <c r="G199" s="33"/>
      <c r="H199" s="33"/>
      <c r="I199" s="33"/>
      <c r="J199" s="33"/>
      <c r="K199" s="33"/>
      <c r="L199" s="34"/>
      <c r="M199" s="34"/>
      <c r="N199" s="34"/>
      <c r="O199" s="34"/>
      <c r="P199" s="33"/>
      <c r="Q199" s="35"/>
      <c r="R199" s="33"/>
      <c r="S199" s="33"/>
      <c r="T199" s="33"/>
      <c r="U199" s="33"/>
      <c r="V199" s="33"/>
      <c r="W199" s="33"/>
    </row>
    <row r="200" customFormat="false" ht="15" hidden="false" customHeight="false" outlineLevel="0" collapsed="false">
      <c r="A200" s="33"/>
      <c r="B200" s="33"/>
      <c r="C200" s="33"/>
      <c r="D200" s="33"/>
      <c r="E200" s="33"/>
      <c r="F200" s="33"/>
      <c r="G200" s="33"/>
      <c r="H200" s="33"/>
      <c r="I200" s="33"/>
      <c r="J200" s="33"/>
      <c r="K200" s="33"/>
      <c r="L200" s="34"/>
      <c r="M200" s="34"/>
      <c r="N200" s="34"/>
      <c r="O200" s="34"/>
      <c r="P200" s="33"/>
      <c r="Q200" s="35"/>
      <c r="R200" s="33"/>
      <c r="S200" s="33"/>
      <c r="T200" s="33"/>
      <c r="U200" s="33"/>
      <c r="V200" s="33"/>
      <c r="W200" s="33"/>
    </row>
    <row r="201" customFormat="false" ht="15" hidden="false" customHeight="false" outlineLevel="0" collapsed="false">
      <c r="A201" s="33"/>
      <c r="B201" s="33"/>
      <c r="C201" s="33"/>
      <c r="D201" s="33"/>
      <c r="E201" s="33"/>
      <c r="F201" s="33"/>
      <c r="G201" s="33"/>
      <c r="H201" s="33"/>
      <c r="I201" s="33"/>
      <c r="J201" s="33"/>
      <c r="K201" s="33"/>
      <c r="L201" s="34"/>
      <c r="M201" s="34"/>
      <c r="N201" s="34"/>
      <c r="O201" s="34"/>
      <c r="P201" s="33"/>
      <c r="Q201" s="35"/>
      <c r="R201" s="33"/>
      <c r="S201" s="33"/>
      <c r="T201" s="33"/>
      <c r="U201" s="33"/>
      <c r="V201" s="33"/>
      <c r="W201" s="33"/>
    </row>
    <row r="202" customFormat="false" ht="15" hidden="false" customHeight="false" outlineLevel="0" collapsed="false">
      <c r="A202" s="33"/>
      <c r="B202" s="33"/>
      <c r="C202" s="33"/>
      <c r="D202" s="33"/>
      <c r="E202" s="33"/>
      <c r="F202" s="33"/>
      <c r="G202" s="33"/>
      <c r="H202" s="33"/>
      <c r="I202" s="33"/>
      <c r="J202" s="33"/>
      <c r="K202" s="33"/>
      <c r="L202" s="34"/>
      <c r="M202" s="34"/>
      <c r="N202" s="34"/>
      <c r="O202" s="34"/>
      <c r="P202" s="33"/>
      <c r="Q202" s="35"/>
      <c r="R202" s="33"/>
      <c r="S202" s="33"/>
      <c r="T202" s="33"/>
      <c r="U202" s="33"/>
      <c r="V202" s="33"/>
      <c r="W202" s="33"/>
    </row>
    <row r="203" customFormat="false" ht="15" hidden="false" customHeight="false" outlineLevel="0" collapsed="false">
      <c r="A203" s="33"/>
      <c r="B203" s="33"/>
      <c r="C203" s="33"/>
      <c r="D203" s="33"/>
      <c r="E203" s="33"/>
      <c r="F203" s="33"/>
      <c r="G203" s="33"/>
      <c r="H203" s="33"/>
      <c r="I203" s="33"/>
      <c r="J203" s="33"/>
      <c r="K203" s="33"/>
      <c r="L203" s="34"/>
      <c r="M203" s="34"/>
      <c r="N203" s="34"/>
      <c r="O203" s="34"/>
      <c r="P203" s="33"/>
      <c r="Q203" s="35"/>
      <c r="R203" s="33"/>
      <c r="S203" s="33"/>
      <c r="T203" s="33"/>
      <c r="U203" s="33"/>
      <c r="V203" s="33"/>
      <c r="W203" s="33"/>
    </row>
    <row r="204" customFormat="false" ht="15" hidden="false" customHeight="false" outlineLevel="0" collapsed="false">
      <c r="A204" s="33"/>
      <c r="B204" s="33"/>
      <c r="C204" s="33"/>
      <c r="D204" s="33"/>
      <c r="E204" s="33"/>
      <c r="F204" s="33"/>
      <c r="G204" s="33"/>
      <c r="H204" s="33"/>
      <c r="I204" s="33"/>
      <c r="J204" s="33"/>
      <c r="K204" s="33"/>
      <c r="L204" s="34"/>
      <c r="M204" s="34"/>
      <c r="N204" s="34"/>
      <c r="O204" s="34"/>
      <c r="P204" s="33"/>
      <c r="Q204" s="35"/>
      <c r="R204" s="33"/>
      <c r="S204" s="33"/>
      <c r="T204" s="33"/>
      <c r="U204" s="33"/>
      <c r="V204" s="33"/>
      <c r="W204" s="33"/>
    </row>
    <row r="205" customFormat="false" ht="15" hidden="false" customHeight="false" outlineLevel="0" collapsed="false">
      <c r="A205" s="33"/>
      <c r="B205" s="33"/>
      <c r="C205" s="33"/>
      <c r="D205" s="33"/>
      <c r="E205" s="33"/>
      <c r="F205" s="33"/>
      <c r="G205" s="33"/>
      <c r="H205" s="33"/>
      <c r="I205" s="33"/>
      <c r="J205" s="33"/>
      <c r="K205" s="33"/>
      <c r="L205" s="34"/>
      <c r="M205" s="34"/>
      <c r="N205" s="34"/>
      <c r="O205" s="34"/>
      <c r="P205" s="33"/>
      <c r="Q205" s="35"/>
      <c r="R205" s="33"/>
      <c r="S205" s="33"/>
      <c r="T205" s="33"/>
      <c r="U205" s="33"/>
      <c r="V205" s="33"/>
      <c r="W205" s="33"/>
    </row>
    <row r="206" customFormat="false" ht="15" hidden="false" customHeight="false" outlineLevel="0" collapsed="false">
      <c r="A206" s="33"/>
      <c r="B206" s="33"/>
      <c r="C206" s="33"/>
      <c r="D206" s="33"/>
      <c r="E206" s="33"/>
      <c r="F206" s="33"/>
      <c r="G206" s="33"/>
      <c r="H206" s="33"/>
      <c r="I206" s="33"/>
      <c r="J206" s="33"/>
      <c r="K206" s="33"/>
      <c r="L206" s="34"/>
      <c r="M206" s="34"/>
      <c r="N206" s="34"/>
      <c r="O206" s="34"/>
      <c r="P206" s="33"/>
      <c r="Q206" s="35"/>
      <c r="R206" s="33"/>
      <c r="S206" s="33"/>
      <c r="T206" s="33"/>
      <c r="U206" s="33"/>
      <c r="V206" s="33"/>
      <c r="W206" s="33"/>
    </row>
    <row r="207" customFormat="false" ht="15" hidden="false" customHeight="false" outlineLevel="0" collapsed="false">
      <c r="A207" s="33"/>
      <c r="B207" s="33"/>
      <c r="C207" s="33"/>
      <c r="D207" s="33"/>
      <c r="E207" s="33"/>
      <c r="F207" s="33"/>
      <c r="G207" s="33"/>
      <c r="H207" s="33"/>
      <c r="I207" s="33"/>
      <c r="J207" s="33"/>
      <c r="K207" s="33"/>
      <c r="L207" s="34"/>
      <c r="M207" s="34"/>
      <c r="N207" s="34"/>
      <c r="O207" s="34"/>
      <c r="P207" s="33"/>
      <c r="Q207" s="35"/>
      <c r="R207" s="33"/>
      <c r="S207" s="33"/>
      <c r="T207" s="33"/>
      <c r="U207" s="33"/>
      <c r="V207" s="33"/>
      <c r="W207" s="33"/>
    </row>
    <row r="208" customFormat="false" ht="15" hidden="false" customHeight="false" outlineLevel="0" collapsed="false">
      <c r="A208" s="33"/>
      <c r="B208" s="33"/>
      <c r="C208" s="33"/>
      <c r="D208" s="33"/>
      <c r="E208" s="33"/>
      <c r="F208" s="33"/>
      <c r="G208" s="33"/>
      <c r="H208" s="33"/>
      <c r="I208" s="33"/>
      <c r="J208" s="33"/>
      <c r="K208" s="33"/>
      <c r="L208" s="34"/>
      <c r="M208" s="34"/>
      <c r="N208" s="34"/>
      <c r="O208" s="34"/>
      <c r="P208" s="33"/>
      <c r="Q208" s="35"/>
      <c r="R208" s="33"/>
      <c r="S208" s="33"/>
      <c r="T208" s="33"/>
      <c r="U208" s="33"/>
      <c r="V208" s="33"/>
      <c r="W208" s="33"/>
    </row>
    <row r="209" customFormat="false" ht="15" hidden="false" customHeight="false" outlineLevel="0" collapsed="false">
      <c r="A209" s="33"/>
      <c r="B209" s="33"/>
      <c r="C209" s="33"/>
      <c r="D209" s="33"/>
      <c r="E209" s="33"/>
      <c r="F209" s="33"/>
      <c r="G209" s="33"/>
      <c r="H209" s="33"/>
      <c r="I209" s="33"/>
      <c r="J209" s="33"/>
      <c r="K209" s="33"/>
      <c r="L209" s="34"/>
      <c r="M209" s="34"/>
      <c r="N209" s="34"/>
      <c r="O209" s="34"/>
      <c r="P209" s="33"/>
      <c r="Q209" s="35"/>
      <c r="R209" s="33"/>
      <c r="S209" s="33"/>
      <c r="T209" s="33"/>
      <c r="U209" s="33"/>
      <c r="V209" s="33"/>
      <c r="W209" s="33"/>
    </row>
    <row r="210" customFormat="false" ht="15" hidden="false" customHeight="false" outlineLevel="0" collapsed="false">
      <c r="A210" s="33"/>
      <c r="B210" s="33"/>
      <c r="C210" s="33"/>
      <c r="D210" s="33"/>
      <c r="E210" s="33"/>
      <c r="F210" s="33"/>
      <c r="G210" s="33"/>
      <c r="H210" s="33"/>
      <c r="I210" s="33"/>
      <c r="J210" s="33"/>
      <c r="K210" s="33"/>
      <c r="L210" s="34"/>
      <c r="M210" s="34"/>
      <c r="N210" s="34"/>
      <c r="O210" s="34"/>
      <c r="P210" s="33"/>
      <c r="Q210" s="35"/>
      <c r="R210" s="33"/>
      <c r="S210" s="33"/>
      <c r="T210" s="33"/>
      <c r="U210" s="33"/>
      <c r="V210" s="33"/>
      <c r="W210" s="33"/>
    </row>
    <row r="211" customFormat="false" ht="15" hidden="false" customHeight="false" outlineLevel="0" collapsed="false">
      <c r="A211" s="33"/>
      <c r="B211" s="33"/>
      <c r="C211" s="33"/>
      <c r="D211" s="33"/>
      <c r="E211" s="33"/>
      <c r="F211" s="33"/>
      <c r="G211" s="33"/>
      <c r="H211" s="33"/>
      <c r="I211" s="33"/>
      <c r="J211" s="33"/>
      <c r="K211" s="33"/>
      <c r="L211" s="34"/>
      <c r="M211" s="34"/>
      <c r="N211" s="34"/>
      <c r="O211" s="34"/>
      <c r="P211" s="33"/>
      <c r="Q211" s="35"/>
      <c r="R211" s="33"/>
      <c r="S211" s="33"/>
      <c r="T211" s="33"/>
      <c r="U211" s="33"/>
      <c r="V211" s="33"/>
      <c r="W211" s="33"/>
    </row>
    <row r="212" customFormat="false" ht="15" hidden="false" customHeight="false" outlineLevel="0" collapsed="false">
      <c r="A212" s="33"/>
      <c r="B212" s="33"/>
      <c r="C212" s="33"/>
      <c r="D212" s="33"/>
      <c r="E212" s="33"/>
      <c r="F212" s="33"/>
      <c r="G212" s="33"/>
      <c r="H212" s="33"/>
      <c r="I212" s="33"/>
      <c r="J212" s="33"/>
      <c r="K212" s="33"/>
      <c r="L212" s="34"/>
      <c r="M212" s="34"/>
      <c r="N212" s="34"/>
      <c r="O212" s="34"/>
      <c r="P212" s="33"/>
      <c r="Q212" s="35"/>
      <c r="R212" s="33"/>
      <c r="S212" s="33"/>
      <c r="T212" s="33"/>
      <c r="U212" s="33"/>
      <c r="V212" s="33"/>
      <c r="W212" s="33"/>
    </row>
    <row r="213" customFormat="false" ht="15" hidden="false" customHeight="false" outlineLevel="0" collapsed="false">
      <c r="A213" s="33"/>
      <c r="B213" s="33"/>
      <c r="C213" s="33"/>
      <c r="D213" s="33"/>
      <c r="E213" s="33"/>
      <c r="F213" s="33"/>
      <c r="G213" s="33"/>
      <c r="H213" s="33"/>
      <c r="I213" s="33"/>
      <c r="J213" s="33"/>
      <c r="K213" s="33"/>
      <c r="L213" s="34"/>
      <c r="M213" s="34"/>
      <c r="N213" s="34"/>
      <c r="O213" s="34"/>
      <c r="P213" s="33"/>
      <c r="Q213" s="35"/>
      <c r="R213" s="33"/>
      <c r="S213" s="33"/>
      <c r="T213" s="33"/>
      <c r="U213" s="33"/>
      <c r="V213" s="33"/>
      <c r="W213" s="33"/>
    </row>
    <row r="214" customFormat="false" ht="15" hidden="false" customHeight="false" outlineLevel="0" collapsed="false">
      <c r="A214" s="33"/>
      <c r="B214" s="33"/>
      <c r="C214" s="33"/>
      <c r="D214" s="33"/>
      <c r="E214" s="33"/>
      <c r="F214" s="33"/>
      <c r="G214" s="33"/>
      <c r="H214" s="33"/>
      <c r="I214" s="33"/>
      <c r="J214" s="33"/>
      <c r="K214" s="33"/>
      <c r="L214" s="34"/>
      <c r="M214" s="34"/>
      <c r="N214" s="34"/>
      <c r="O214" s="34"/>
      <c r="P214" s="33"/>
      <c r="Q214" s="35"/>
      <c r="R214" s="33"/>
      <c r="S214" s="33"/>
      <c r="T214" s="33"/>
      <c r="U214" s="33"/>
      <c r="V214" s="33"/>
      <c r="W214" s="33"/>
    </row>
    <row r="215" customFormat="false" ht="15" hidden="false" customHeight="false" outlineLevel="0" collapsed="false">
      <c r="A215" s="33"/>
      <c r="B215" s="33"/>
      <c r="C215" s="33"/>
      <c r="D215" s="33"/>
      <c r="E215" s="33"/>
      <c r="F215" s="33"/>
      <c r="G215" s="33"/>
      <c r="H215" s="33"/>
      <c r="I215" s="33"/>
      <c r="J215" s="33"/>
      <c r="K215" s="33"/>
      <c r="L215" s="34"/>
      <c r="M215" s="34"/>
      <c r="N215" s="34"/>
      <c r="O215" s="34"/>
      <c r="P215" s="33"/>
      <c r="Q215" s="35"/>
      <c r="R215" s="33"/>
      <c r="S215" s="33"/>
      <c r="T215" s="33"/>
      <c r="U215" s="33"/>
      <c r="V215" s="33"/>
      <c r="W215" s="33"/>
    </row>
    <row r="216" customFormat="false" ht="15" hidden="false" customHeight="false" outlineLevel="0" collapsed="false">
      <c r="A216" s="33"/>
      <c r="B216" s="33"/>
      <c r="C216" s="33"/>
      <c r="D216" s="33"/>
      <c r="E216" s="33"/>
      <c r="F216" s="33"/>
      <c r="G216" s="33"/>
      <c r="H216" s="33"/>
      <c r="I216" s="33"/>
      <c r="J216" s="33"/>
      <c r="K216" s="33"/>
      <c r="L216" s="34"/>
      <c r="M216" s="34"/>
      <c r="N216" s="34"/>
      <c r="O216" s="34"/>
      <c r="P216" s="33"/>
      <c r="Q216" s="35"/>
      <c r="R216" s="33"/>
      <c r="S216" s="33"/>
      <c r="T216" s="33"/>
      <c r="U216" s="33"/>
      <c r="V216" s="33"/>
      <c r="W216" s="33"/>
    </row>
    <row r="217" customFormat="false" ht="15" hidden="false" customHeight="false" outlineLevel="0" collapsed="false">
      <c r="A217" s="33"/>
      <c r="B217" s="33"/>
      <c r="C217" s="33"/>
      <c r="D217" s="33"/>
      <c r="E217" s="33"/>
      <c r="F217" s="33"/>
      <c r="G217" s="33"/>
      <c r="H217" s="33"/>
      <c r="I217" s="33"/>
      <c r="J217" s="33"/>
      <c r="K217" s="33"/>
      <c r="L217" s="34"/>
      <c r="M217" s="34"/>
      <c r="N217" s="34"/>
      <c r="O217" s="34"/>
      <c r="P217" s="33"/>
      <c r="Q217" s="35"/>
      <c r="R217" s="33"/>
      <c r="S217" s="33"/>
      <c r="T217" s="33"/>
      <c r="U217" s="33"/>
      <c r="V217" s="33"/>
      <c r="W217" s="33"/>
    </row>
    <row r="218" customFormat="false" ht="15" hidden="false" customHeight="false" outlineLevel="0" collapsed="false">
      <c r="A218" s="33"/>
      <c r="B218" s="33"/>
      <c r="C218" s="33"/>
      <c r="D218" s="33"/>
      <c r="E218" s="33"/>
      <c r="F218" s="33"/>
      <c r="G218" s="33"/>
      <c r="H218" s="33"/>
      <c r="I218" s="33"/>
      <c r="J218" s="33"/>
      <c r="K218" s="33"/>
      <c r="L218" s="34"/>
      <c r="M218" s="34"/>
      <c r="N218" s="34"/>
      <c r="O218" s="34"/>
      <c r="P218" s="33"/>
      <c r="Q218" s="35"/>
      <c r="R218" s="33"/>
      <c r="S218" s="33"/>
      <c r="T218" s="33"/>
      <c r="U218" s="33"/>
      <c r="V218" s="33"/>
      <c r="W218" s="33"/>
    </row>
    <row r="219" customFormat="false" ht="15" hidden="false" customHeight="false" outlineLevel="0" collapsed="false">
      <c r="A219" s="33"/>
      <c r="B219" s="33"/>
      <c r="C219" s="33"/>
      <c r="D219" s="33"/>
      <c r="E219" s="33"/>
      <c r="F219" s="33"/>
      <c r="G219" s="33"/>
      <c r="H219" s="33"/>
      <c r="I219" s="33"/>
      <c r="J219" s="33"/>
      <c r="K219" s="33"/>
      <c r="L219" s="34"/>
      <c r="M219" s="34"/>
      <c r="N219" s="34"/>
      <c r="O219" s="34"/>
      <c r="P219" s="33"/>
      <c r="Q219" s="35"/>
      <c r="R219" s="33"/>
      <c r="S219" s="33"/>
      <c r="T219" s="33"/>
      <c r="U219" s="33"/>
      <c r="V219" s="33"/>
      <c r="W219" s="33"/>
    </row>
    <row r="220" customFormat="false" ht="15" hidden="false" customHeight="false" outlineLevel="0" collapsed="false">
      <c r="A220" s="33"/>
      <c r="B220" s="33"/>
      <c r="C220" s="33"/>
      <c r="D220" s="33"/>
      <c r="E220" s="33"/>
      <c r="F220" s="33"/>
      <c r="G220" s="33"/>
      <c r="H220" s="33"/>
      <c r="I220" s="33"/>
      <c r="J220" s="33"/>
      <c r="K220" s="33"/>
      <c r="L220" s="34"/>
      <c r="M220" s="34"/>
      <c r="N220" s="34"/>
      <c r="O220" s="34"/>
      <c r="P220" s="33"/>
      <c r="Q220" s="35"/>
      <c r="R220" s="33"/>
      <c r="S220" s="33"/>
      <c r="T220" s="33"/>
      <c r="U220" s="33"/>
      <c r="V220" s="33"/>
      <c r="W220" s="33"/>
    </row>
    <row r="221" customFormat="false" ht="15" hidden="false" customHeight="false" outlineLevel="0" collapsed="false">
      <c r="A221" s="33"/>
      <c r="B221" s="33"/>
      <c r="C221" s="33"/>
      <c r="D221" s="33"/>
      <c r="E221" s="33"/>
      <c r="F221" s="33"/>
      <c r="G221" s="33"/>
      <c r="H221" s="33"/>
      <c r="I221" s="33"/>
      <c r="J221" s="33"/>
      <c r="K221" s="33"/>
      <c r="L221" s="34"/>
      <c r="M221" s="34"/>
      <c r="N221" s="34"/>
      <c r="O221" s="34"/>
      <c r="P221" s="33"/>
      <c r="Q221" s="35"/>
      <c r="R221" s="33"/>
      <c r="S221" s="33"/>
      <c r="T221" s="33"/>
      <c r="U221" s="33"/>
      <c r="V221" s="33"/>
      <c r="W221" s="33"/>
    </row>
    <row r="222" customFormat="false" ht="15" hidden="false" customHeight="false" outlineLevel="0" collapsed="false">
      <c r="A222" s="33"/>
      <c r="B222" s="33"/>
      <c r="C222" s="33"/>
      <c r="D222" s="33"/>
      <c r="E222" s="33"/>
      <c r="F222" s="33"/>
      <c r="G222" s="33"/>
      <c r="H222" s="33"/>
      <c r="I222" s="33"/>
      <c r="J222" s="33"/>
      <c r="K222" s="33"/>
      <c r="L222" s="34"/>
      <c r="M222" s="34"/>
      <c r="N222" s="34"/>
      <c r="O222" s="34"/>
      <c r="P222" s="33"/>
      <c r="Q222" s="35"/>
      <c r="R222" s="33"/>
      <c r="S222" s="33"/>
      <c r="T222" s="33"/>
      <c r="U222" s="33"/>
      <c r="V222" s="33"/>
      <c r="W222" s="33"/>
    </row>
    <row r="223" customFormat="false" ht="15" hidden="false" customHeight="false" outlineLevel="0" collapsed="false">
      <c r="A223" s="33"/>
      <c r="B223" s="33"/>
      <c r="C223" s="33"/>
      <c r="D223" s="33"/>
      <c r="E223" s="33"/>
      <c r="F223" s="33"/>
      <c r="G223" s="33"/>
      <c r="H223" s="33"/>
      <c r="I223" s="33"/>
      <c r="J223" s="33"/>
      <c r="K223" s="33"/>
      <c r="L223" s="34"/>
      <c r="M223" s="34"/>
      <c r="N223" s="34"/>
      <c r="O223" s="34"/>
      <c r="P223" s="33"/>
      <c r="Q223" s="35"/>
      <c r="R223" s="33"/>
      <c r="S223" s="33"/>
      <c r="T223" s="33"/>
      <c r="U223" s="33"/>
      <c r="V223" s="33"/>
      <c r="W223" s="33"/>
    </row>
    <row r="224" customFormat="false" ht="15" hidden="false" customHeight="false" outlineLevel="0" collapsed="false">
      <c r="A224" s="33"/>
      <c r="B224" s="33"/>
      <c r="C224" s="33"/>
      <c r="D224" s="33"/>
      <c r="E224" s="33"/>
      <c r="F224" s="33"/>
      <c r="G224" s="33"/>
      <c r="H224" s="33"/>
      <c r="I224" s="33"/>
      <c r="J224" s="33"/>
      <c r="K224" s="33"/>
      <c r="L224" s="34"/>
      <c r="M224" s="34"/>
      <c r="N224" s="34"/>
      <c r="O224" s="34"/>
      <c r="P224" s="33"/>
      <c r="Q224" s="35"/>
      <c r="R224" s="33"/>
      <c r="S224" s="33"/>
      <c r="T224" s="33"/>
      <c r="U224" s="33"/>
      <c r="V224" s="33"/>
      <c r="W224" s="33"/>
    </row>
    <row r="225" customFormat="false" ht="15" hidden="false" customHeight="false" outlineLevel="0" collapsed="false">
      <c r="A225" s="33"/>
      <c r="B225" s="33"/>
      <c r="C225" s="33"/>
      <c r="D225" s="33"/>
      <c r="E225" s="33"/>
      <c r="F225" s="33"/>
      <c r="G225" s="33"/>
      <c r="H225" s="33"/>
      <c r="I225" s="33"/>
      <c r="J225" s="33"/>
      <c r="K225" s="33"/>
      <c r="L225" s="34"/>
      <c r="M225" s="34"/>
      <c r="N225" s="34"/>
      <c r="O225" s="34"/>
      <c r="P225" s="33"/>
      <c r="Q225" s="35"/>
      <c r="R225" s="33"/>
      <c r="S225" s="33"/>
      <c r="T225" s="33"/>
      <c r="U225" s="33"/>
      <c r="V225" s="33"/>
      <c r="W225" s="33"/>
    </row>
    <row r="226" customFormat="false" ht="15" hidden="false" customHeight="false" outlineLevel="0" collapsed="false">
      <c r="A226" s="33"/>
      <c r="B226" s="33"/>
      <c r="C226" s="33"/>
      <c r="D226" s="33"/>
      <c r="E226" s="33"/>
      <c r="F226" s="33"/>
      <c r="G226" s="33"/>
      <c r="H226" s="33"/>
      <c r="I226" s="33"/>
      <c r="J226" s="33"/>
      <c r="K226" s="33"/>
      <c r="L226" s="34"/>
      <c r="M226" s="34"/>
      <c r="N226" s="34"/>
      <c r="O226" s="34"/>
      <c r="P226" s="33"/>
      <c r="Q226" s="35"/>
      <c r="R226" s="33"/>
      <c r="S226" s="33"/>
      <c r="T226" s="33"/>
      <c r="U226" s="33"/>
      <c r="V226" s="33"/>
      <c r="W226" s="33"/>
    </row>
    <row r="227" customFormat="false" ht="15" hidden="false" customHeight="false" outlineLevel="0" collapsed="false">
      <c r="A227" s="33"/>
      <c r="B227" s="33"/>
      <c r="C227" s="33"/>
      <c r="D227" s="33"/>
      <c r="E227" s="33"/>
      <c r="F227" s="33"/>
      <c r="G227" s="33"/>
      <c r="H227" s="33"/>
      <c r="I227" s="33"/>
      <c r="J227" s="33"/>
      <c r="K227" s="33"/>
      <c r="L227" s="34"/>
      <c r="M227" s="34"/>
      <c r="N227" s="34"/>
      <c r="O227" s="34"/>
      <c r="P227" s="33"/>
      <c r="Q227" s="35"/>
      <c r="R227" s="33"/>
      <c r="S227" s="33"/>
      <c r="T227" s="33"/>
      <c r="U227" s="33"/>
      <c r="V227" s="33"/>
      <c r="W227" s="33"/>
    </row>
    <row r="228" customFormat="false" ht="15" hidden="false" customHeight="false" outlineLevel="0" collapsed="false">
      <c r="A228" s="33"/>
      <c r="B228" s="33"/>
      <c r="C228" s="33"/>
      <c r="D228" s="33"/>
      <c r="E228" s="33"/>
      <c r="F228" s="33"/>
      <c r="G228" s="33"/>
      <c r="H228" s="33"/>
      <c r="I228" s="33"/>
      <c r="J228" s="33"/>
      <c r="K228" s="33"/>
      <c r="L228" s="34"/>
      <c r="M228" s="34"/>
      <c r="N228" s="34"/>
      <c r="O228" s="34"/>
      <c r="P228" s="33"/>
      <c r="Q228" s="35"/>
      <c r="R228" s="33"/>
      <c r="S228" s="33"/>
      <c r="T228" s="33"/>
      <c r="U228" s="33"/>
      <c r="V228" s="33"/>
      <c r="W228" s="33"/>
    </row>
    <row r="229" customFormat="false" ht="15" hidden="false" customHeight="false" outlineLevel="0" collapsed="false">
      <c r="A229" s="33"/>
      <c r="B229" s="33"/>
      <c r="C229" s="33"/>
      <c r="D229" s="33"/>
      <c r="E229" s="33"/>
      <c r="F229" s="33"/>
      <c r="G229" s="33"/>
      <c r="H229" s="33"/>
      <c r="I229" s="33"/>
      <c r="J229" s="33"/>
      <c r="K229" s="33"/>
      <c r="L229" s="34"/>
      <c r="M229" s="34"/>
      <c r="N229" s="34"/>
      <c r="O229" s="34"/>
      <c r="P229" s="33"/>
      <c r="Q229" s="35"/>
      <c r="R229" s="33"/>
      <c r="S229" s="33"/>
      <c r="T229" s="33"/>
      <c r="U229" s="33"/>
      <c r="V229" s="33"/>
      <c r="W229" s="33"/>
    </row>
    <row r="230" customFormat="false" ht="15" hidden="false" customHeight="false" outlineLevel="0" collapsed="false">
      <c r="A230" s="33"/>
      <c r="B230" s="33"/>
      <c r="C230" s="33"/>
      <c r="D230" s="33"/>
      <c r="E230" s="33"/>
      <c r="F230" s="33"/>
      <c r="G230" s="33"/>
      <c r="H230" s="33"/>
      <c r="I230" s="33"/>
      <c r="J230" s="33"/>
      <c r="K230" s="33"/>
      <c r="L230" s="34"/>
      <c r="M230" s="34"/>
      <c r="N230" s="34"/>
      <c r="O230" s="34"/>
      <c r="P230" s="33"/>
      <c r="Q230" s="35"/>
      <c r="R230" s="33"/>
      <c r="S230" s="33"/>
      <c r="T230" s="33"/>
      <c r="U230" s="33"/>
      <c r="V230" s="33"/>
      <c r="W230" s="33"/>
    </row>
    <row r="231" customFormat="false" ht="15" hidden="false" customHeight="false" outlineLevel="0" collapsed="false">
      <c r="A231" s="33"/>
      <c r="B231" s="33"/>
      <c r="C231" s="33"/>
      <c r="D231" s="33"/>
      <c r="E231" s="33"/>
      <c r="F231" s="33"/>
      <c r="G231" s="33"/>
      <c r="H231" s="33"/>
      <c r="I231" s="33"/>
      <c r="J231" s="33"/>
      <c r="K231" s="33"/>
      <c r="L231" s="34"/>
      <c r="M231" s="34"/>
      <c r="N231" s="34"/>
      <c r="O231" s="34"/>
      <c r="P231" s="33"/>
      <c r="Q231" s="35"/>
      <c r="R231" s="33"/>
      <c r="S231" s="33"/>
      <c r="T231" s="33"/>
      <c r="U231" s="33"/>
      <c r="V231" s="33"/>
      <c r="W231" s="33"/>
    </row>
    <row r="232" customFormat="false" ht="15" hidden="false" customHeight="false" outlineLevel="0" collapsed="false">
      <c r="A232" s="33"/>
      <c r="B232" s="33"/>
      <c r="C232" s="33"/>
      <c r="D232" s="33"/>
      <c r="E232" s="33"/>
      <c r="F232" s="33"/>
      <c r="G232" s="33"/>
      <c r="H232" s="33"/>
      <c r="I232" s="33"/>
      <c r="J232" s="33"/>
      <c r="K232" s="33"/>
      <c r="L232" s="34"/>
      <c r="M232" s="34"/>
      <c r="N232" s="34"/>
      <c r="O232" s="34"/>
      <c r="P232" s="33"/>
      <c r="Q232" s="35"/>
      <c r="R232" s="33"/>
      <c r="S232" s="33"/>
      <c r="T232" s="33"/>
      <c r="U232" s="33"/>
      <c r="V232" s="33"/>
      <c r="W232" s="33"/>
    </row>
    <row r="233" customFormat="false" ht="15" hidden="false" customHeight="false" outlineLevel="0" collapsed="false">
      <c r="A233" s="33"/>
      <c r="B233" s="33"/>
      <c r="C233" s="33"/>
      <c r="D233" s="33"/>
      <c r="E233" s="33"/>
      <c r="F233" s="33"/>
      <c r="G233" s="33"/>
      <c r="H233" s="33"/>
      <c r="I233" s="33"/>
      <c r="J233" s="33"/>
      <c r="K233" s="33"/>
      <c r="L233" s="34"/>
      <c r="M233" s="34"/>
      <c r="N233" s="34"/>
      <c r="O233" s="34"/>
      <c r="P233" s="33"/>
      <c r="Q233" s="35"/>
      <c r="R233" s="33"/>
      <c r="S233" s="33"/>
      <c r="T233" s="33"/>
      <c r="U233" s="33"/>
      <c r="V233" s="33"/>
      <c r="W233" s="33"/>
    </row>
    <row r="234" customFormat="false" ht="15" hidden="false" customHeight="false" outlineLevel="0" collapsed="false">
      <c r="A234" s="33"/>
      <c r="B234" s="33"/>
      <c r="C234" s="33"/>
      <c r="D234" s="33"/>
      <c r="E234" s="33"/>
      <c r="F234" s="33"/>
      <c r="G234" s="33"/>
      <c r="H234" s="33"/>
      <c r="I234" s="33"/>
      <c r="J234" s="33"/>
      <c r="K234" s="33"/>
      <c r="L234" s="34"/>
      <c r="M234" s="34"/>
      <c r="N234" s="34"/>
      <c r="O234" s="34"/>
      <c r="P234" s="33"/>
      <c r="Q234" s="35"/>
      <c r="R234" s="33"/>
      <c r="S234" s="33"/>
      <c r="T234" s="33"/>
      <c r="U234" s="33"/>
      <c r="V234" s="33"/>
      <c r="W234" s="33"/>
    </row>
    <row r="235" customFormat="false" ht="15" hidden="false" customHeight="false" outlineLevel="0" collapsed="false">
      <c r="A235" s="33"/>
      <c r="B235" s="33"/>
      <c r="C235" s="33"/>
      <c r="D235" s="33"/>
      <c r="E235" s="33"/>
      <c r="F235" s="33"/>
      <c r="G235" s="33"/>
      <c r="H235" s="33"/>
      <c r="I235" s="33"/>
      <c r="J235" s="33"/>
      <c r="K235" s="33"/>
      <c r="L235" s="34"/>
      <c r="M235" s="34"/>
      <c r="N235" s="34"/>
      <c r="O235" s="34"/>
      <c r="P235" s="33"/>
      <c r="Q235" s="35"/>
      <c r="R235" s="33"/>
      <c r="S235" s="33"/>
      <c r="T235" s="33"/>
      <c r="U235" s="33"/>
      <c r="V235" s="33"/>
      <c r="W235" s="33"/>
    </row>
    <row r="236" customFormat="false" ht="15" hidden="false" customHeight="false" outlineLevel="0" collapsed="false">
      <c r="A236" s="33"/>
      <c r="B236" s="33"/>
      <c r="C236" s="33"/>
      <c r="D236" s="33"/>
      <c r="E236" s="33"/>
      <c r="F236" s="33"/>
      <c r="G236" s="33"/>
      <c r="H236" s="33"/>
      <c r="I236" s="33"/>
      <c r="J236" s="33"/>
      <c r="K236" s="33"/>
      <c r="L236" s="34"/>
      <c r="M236" s="34"/>
      <c r="N236" s="34"/>
      <c r="O236" s="34"/>
      <c r="P236" s="33"/>
      <c r="Q236" s="35"/>
      <c r="R236" s="33"/>
      <c r="S236" s="33"/>
      <c r="T236" s="33"/>
      <c r="U236" s="33"/>
      <c r="V236" s="33"/>
      <c r="W236" s="33"/>
    </row>
    <row r="237" customFormat="false" ht="15" hidden="false" customHeight="false" outlineLevel="0" collapsed="false">
      <c r="A237" s="33"/>
      <c r="B237" s="33"/>
      <c r="C237" s="33"/>
      <c r="D237" s="33"/>
      <c r="E237" s="33"/>
      <c r="F237" s="33"/>
      <c r="G237" s="33"/>
      <c r="H237" s="33"/>
      <c r="I237" s="33"/>
      <c r="J237" s="33"/>
      <c r="K237" s="33"/>
      <c r="L237" s="34"/>
      <c r="M237" s="34"/>
      <c r="N237" s="34"/>
      <c r="O237" s="34"/>
      <c r="P237" s="33"/>
      <c r="Q237" s="35"/>
      <c r="R237" s="33"/>
      <c r="S237" s="33"/>
      <c r="T237" s="33"/>
      <c r="U237" s="33"/>
      <c r="V237" s="33"/>
      <c r="W237" s="33"/>
    </row>
    <row r="238" customFormat="false" ht="15" hidden="false" customHeight="false" outlineLevel="0" collapsed="false">
      <c r="A238" s="33"/>
      <c r="B238" s="33"/>
      <c r="C238" s="33"/>
      <c r="D238" s="33"/>
      <c r="E238" s="33"/>
      <c r="F238" s="33"/>
      <c r="G238" s="33"/>
      <c r="H238" s="33"/>
      <c r="I238" s="33"/>
      <c r="J238" s="33"/>
      <c r="K238" s="33"/>
      <c r="L238" s="34"/>
      <c r="M238" s="34"/>
      <c r="N238" s="34"/>
      <c r="O238" s="34"/>
      <c r="P238" s="33"/>
      <c r="Q238" s="35"/>
      <c r="R238" s="33"/>
      <c r="S238" s="33"/>
      <c r="T238" s="33"/>
      <c r="U238" s="33"/>
      <c r="V238" s="33"/>
      <c r="W238" s="33"/>
    </row>
    <row r="239" customFormat="false" ht="15" hidden="false" customHeight="false" outlineLevel="0" collapsed="false">
      <c r="A239" s="33"/>
      <c r="B239" s="33"/>
      <c r="C239" s="33"/>
      <c r="D239" s="33"/>
      <c r="E239" s="33"/>
      <c r="F239" s="33"/>
      <c r="G239" s="33"/>
      <c r="H239" s="33"/>
      <c r="I239" s="33"/>
      <c r="J239" s="33"/>
      <c r="K239" s="33"/>
      <c r="L239" s="34"/>
      <c r="M239" s="34"/>
      <c r="N239" s="34"/>
      <c r="O239" s="34"/>
      <c r="P239" s="33"/>
      <c r="Q239" s="35"/>
      <c r="R239" s="33"/>
      <c r="S239" s="33"/>
      <c r="T239" s="33"/>
      <c r="U239" s="33"/>
      <c r="V239" s="33"/>
      <c r="W239" s="33"/>
    </row>
    <row r="240" customFormat="false" ht="15" hidden="false" customHeight="false" outlineLevel="0" collapsed="false">
      <c r="A240" s="33"/>
      <c r="B240" s="33"/>
      <c r="C240" s="33"/>
      <c r="D240" s="33"/>
      <c r="E240" s="33"/>
      <c r="F240" s="33"/>
      <c r="G240" s="33"/>
      <c r="H240" s="33"/>
      <c r="I240" s="33"/>
      <c r="J240" s="33"/>
      <c r="K240" s="33"/>
      <c r="L240" s="34"/>
      <c r="M240" s="34"/>
      <c r="N240" s="34"/>
      <c r="O240" s="34"/>
      <c r="P240" s="33"/>
      <c r="Q240" s="35"/>
      <c r="R240" s="33"/>
      <c r="S240" s="33"/>
      <c r="T240" s="33"/>
      <c r="U240" s="33"/>
      <c r="V240" s="33"/>
      <c r="W240" s="33"/>
    </row>
    <row r="241" customFormat="false" ht="15" hidden="false" customHeight="false" outlineLevel="0" collapsed="false">
      <c r="A241" s="33"/>
      <c r="B241" s="33"/>
      <c r="C241" s="33"/>
      <c r="D241" s="33"/>
      <c r="E241" s="33"/>
      <c r="F241" s="33"/>
      <c r="G241" s="33"/>
      <c r="H241" s="33"/>
      <c r="I241" s="33"/>
      <c r="J241" s="33"/>
      <c r="K241" s="33"/>
      <c r="L241" s="34"/>
      <c r="M241" s="34"/>
      <c r="N241" s="34"/>
      <c r="O241" s="34"/>
      <c r="P241" s="33"/>
      <c r="Q241" s="35"/>
      <c r="R241" s="33"/>
      <c r="S241" s="33"/>
      <c r="T241" s="33"/>
      <c r="U241" s="33"/>
      <c r="V241" s="33"/>
      <c r="W241" s="33"/>
    </row>
    <row r="242" customFormat="false" ht="15" hidden="false" customHeight="false" outlineLevel="0" collapsed="false">
      <c r="A242" s="33"/>
      <c r="B242" s="33"/>
      <c r="C242" s="33"/>
      <c r="D242" s="33"/>
      <c r="E242" s="33"/>
      <c r="F242" s="33"/>
      <c r="G242" s="33"/>
      <c r="H242" s="33"/>
      <c r="I242" s="33"/>
      <c r="J242" s="33"/>
      <c r="K242" s="33"/>
      <c r="L242" s="34"/>
      <c r="M242" s="34"/>
      <c r="N242" s="34"/>
      <c r="O242" s="34"/>
      <c r="P242" s="33"/>
      <c r="Q242" s="35"/>
      <c r="R242" s="33"/>
      <c r="S242" s="33"/>
      <c r="T242" s="33"/>
      <c r="U242" s="33"/>
      <c r="V242" s="33"/>
      <c r="W242" s="33"/>
    </row>
    <row r="243" customFormat="false" ht="15" hidden="false" customHeight="false" outlineLevel="0" collapsed="false">
      <c r="A243" s="33"/>
      <c r="B243" s="33"/>
      <c r="C243" s="33"/>
      <c r="D243" s="33"/>
      <c r="E243" s="33"/>
      <c r="F243" s="33"/>
      <c r="G243" s="33"/>
      <c r="H243" s="33"/>
      <c r="I243" s="33"/>
      <c r="J243" s="33"/>
      <c r="K243" s="33"/>
      <c r="L243" s="34"/>
      <c r="M243" s="34"/>
      <c r="N243" s="34"/>
      <c r="O243" s="34"/>
      <c r="P243" s="33"/>
      <c r="Q243" s="35"/>
      <c r="R243" s="33"/>
      <c r="S243" s="33"/>
      <c r="T243" s="33"/>
      <c r="U243" s="33"/>
      <c r="V243" s="33"/>
      <c r="W243" s="33"/>
    </row>
    <row r="244" customFormat="false" ht="15" hidden="false" customHeight="false" outlineLevel="0" collapsed="false">
      <c r="A244" s="33"/>
      <c r="B244" s="33"/>
      <c r="C244" s="33"/>
      <c r="D244" s="33"/>
      <c r="E244" s="33"/>
      <c r="F244" s="33"/>
      <c r="G244" s="33"/>
      <c r="H244" s="33"/>
      <c r="I244" s="33"/>
      <c r="J244" s="33"/>
      <c r="K244" s="33"/>
      <c r="L244" s="34"/>
      <c r="M244" s="34"/>
      <c r="N244" s="34"/>
      <c r="O244" s="34"/>
      <c r="P244" s="33"/>
      <c r="Q244" s="35"/>
      <c r="R244" s="33"/>
      <c r="S244" s="33"/>
      <c r="T244" s="33"/>
      <c r="U244" s="33"/>
      <c r="V244" s="33"/>
      <c r="W244" s="33"/>
    </row>
    <row r="245" customFormat="false" ht="15" hidden="false" customHeight="false" outlineLevel="0" collapsed="false">
      <c r="A245" s="33"/>
      <c r="B245" s="33"/>
      <c r="C245" s="33"/>
      <c r="D245" s="33"/>
      <c r="E245" s="33"/>
      <c r="F245" s="33"/>
      <c r="G245" s="33"/>
      <c r="H245" s="33"/>
      <c r="I245" s="33"/>
      <c r="J245" s="33"/>
      <c r="K245" s="33"/>
      <c r="L245" s="34"/>
      <c r="M245" s="34"/>
      <c r="N245" s="34"/>
      <c r="O245" s="34"/>
      <c r="P245" s="33"/>
      <c r="Q245" s="35"/>
      <c r="R245" s="33"/>
      <c r="S245" s="33"/>
      <c r="T245" s="33"/>
      <c r="U245" s="33"/>
      <c r="V245" s="33"/>
      <c r="W245" s="33"/>
    </row>
    <row r="246" customFormat="false" ht="15" hidden="false" customHeight="false" outlineLevel="0" collapsed="false">
      <c r="A246" s="33"/>
      <c r="B246" s="33"/>
      <c r="C246" s="33"/>
      <c r="D246" s="33"/>
      <c r="E246" s="33"/>
      <c r="F246" s="33"/>
      <c r="G246" s="33"/>
      <c r="H246" s="33"/>
      <c r="I246" s="33"/>
      <c r="J246" s="33"/>
      <c r="K246" s="33"/>
      <c r="L246" s="34"/>
      <c r="M246" s="34"/>
      <c r="N246" s="34"/>
      <c r="O246" s="34"/>
      <c r="P246" s="33"/>
      <c r="Q246" s="35"/>
      <c r="R246" s="33"/>
      <c r="S246" s="33"/>
      <c r="T246" s="33"/>
      <c r="U246" s="33"/>
      <c r="V246" s="33"/>
      <c r="W246" s="33"/>
    </row>
    <row r="247" customFormat="false" ht="15" hidden="false" customHeight="false" outlineLevel="0" collapsed="false">
      <c r="A247" s="33"/>
      <c r="B247" s="33"/>
      <c r="C247" s="33"/>
      <c r="D247" s="33"/>
      <c r="E247" s="33"/>
      <c r="F247" s="33"/>
      <c r="G247" s="33"/>
      <c r="H247" s="33"/>
      <c r="I247" s="33"/>
      <c r="J247" s="33"/>
      <c r="K247" s="33"/>
      <c r="L247" s="34"/>
      <c r="M247" s="34"/>
      <c r="N247" s="34"/>
      <c r="O247" s="34"/>
      <c r="P247" s="33"/>
      <c r="Q247" s="35"/>
      <c r="R247" s="33"/>
      <c r="S247" s="33"/>
      <c r="T247" s="33"/>
      <c r="U247" s="33"/>
      <c r="V247" s="33"/>
      <c r="W247" s="33"/>
    </row>
    <row r="248" customFormat="false" ht="15" hidden="false" customHeight="false" outlineLevel="0" collapsed="false">
      <c r="A248" s="33"/>
      <c r="B248" s="33"/>
      <c r="C248" s="33"/>
      <c r="D248" s="33"/>
      <c r="E248" s="33"/>
      <c r="F248" s="33"/>
      <c r="G248" s="33"/>
      <c r="H248" s="33"/>
      <c r="I248" s="33"/>
      <c r="J248" s="33"/>
      <c r="K248" s="33"/>
      <c r="L248" s="34"/>
      <c r="M248" s="34"/>
      <c r="N248" s="34"/>
      <c r="O248" s="34"/>
      <c r="P248" s="33"/>
      <c r="Q248" s="35"/>
      <c r="R248" s="33"/>
      <c r="S248" s="33"/>
      <c r="T248" s="33"/>
      <c r="U248" s="33"/>
      <c r="V248" s="33"/>
      <c r="W248" s="33"/>
    </row>
    <row r="249" customFormat="false" ht="15" hidden="false" customHeight="false" outlineLevel="0" collapsed="false">
      <c r="A249" s="33"/>
      <c r="B249" s="33"/>
      <c r="C249" s="33"/>
      <c r="D249" s="33"/>
      <c r="E249" s="33"/>
      <c r="F249" s="33"/>
      <c r="G249" s="33"/>
      <c r="H249" s="33"/>
      <c r="I249" s="33"/>
      <c r="J249" s="33"/>
      <c r="K249" s="33"/>
      <c r="L249" s="34"/>
      <c r="M249" s="34"/>
      <c r="N249" s="34"/>
      <c r="O249" s="34"/>
      <c r="P249" s="33"/>
      <c r="Q249" s="35"/>
      <c r="R249" s="33"/>
      <c r="S249" s="33"/>
      <c r="T249" s="33"/>
      <c r="U249" s="33"/>
      <c r="V249" s="33"/>
      <c r="W249" s="33"/>
    </row>
    <row r="250" customFormat="false" ht="15" hidden="false" customHeight="false" outlineLevel="0" collapsed="false">
      <c r="A250" s="33"/>
      <c r="B250" s="33"/>
      <c r="C250" s="33"/>
      <c r="D250" s="33"/>
      <c r="E250" s="33"/>
      <c r="F250" s="33"/>
      <c r="G250" s="33"/>
      <c r="H250" s="33"/>
      <c r="I250" s="33"/>
      <c r="J250" s="33"/>
      <c r="K250" s="33"/>
      <c r="L250" s="34"/>
      <c r="M250" s="34"/>
      <c r="N250" s="34"/>
      <c r="O250" s="34"/>
      <c r="P250" s="33"/>
      <c r="Q250" s="35"/>
      <c r="R250" s="33"/>
      <c r="S250" s="33"/>
      <c r="T250" s="33"/>
      <c r="U250" s="33"/>
      <c r="V250" s="33"/>
      <c r="W250" s="33"/>
    </row>
    <row r="251" customFormat="false" ht="15" hidden="false" customHeight="false" outlineLevel="0" collapsed="false">
      <c r="A251" s="33"/>
      <c r="B251" s="33"/>
      <c r="C251" s="33"/>
      <c r="D251" s="33"/>
      <c r="E251" s="33"/>
      <c r="F251" s="33"/>
      <c r="G251" s="33"/>
      <c r="H251" s="33"/>
      <c r="I251" s="33"/>
      <c r="J251" s="33"/>
      <c r="K251" s="33"/>
      <c r="L251" s="34"/>
      <c r="M251" s="34"/>
      <c r="N251" s="34"/>
      <c r="O251" s="34"/>
      <c r="P251" s="33"/>
      <c r="Q251" s="35"/>
      <c r="R251" s="33"/>
      <c r="S251" s="33"/>
      <c r="T251" s="33"/>
      <c r="U251" s="33"/>
      <c r="V251" s="33"/>
      <c r="W251" s="33"/>
    </row>
    <row r="252" customFormat="false" ht="15" hidden="false" customHeight="false" outlineLevel="0" collapsed="false">
      <c r="A252" s="33"/>
      <c r="B252" s="33"/>
      <c r="C252" s="33"/>
      <c r="D252" s="33"/>
      <c r="E252" s="33"/>
      <c r="F252" s="33"/>
      <c r="G252" s="33"/>
      <c r="H252" s="33"/>
      <c r="I252" s="33"/>
      <c r="J252" s="33"/>
      <c r="K252" s="33"/>
      <c r="L252" s="34"/>
      <c r="M252" s="34"/>
      <c r="N252" s="34"/>
      <c r="O252" s="34"/>
      <c r="P252" s="33"/>
      <c r="Q252" s="35"/>
      <c r="R252" s="33"/>
      <c r="S252" s="33"/>
      <c r="T252" s="33"/>
      <c r="U252" s="33"/>
      <c r="V252" s="33"/>
      <c r="W252" s="33"/>
    </row>
    <row r="253" customFormat="false" ht="15" hidden="false" customHeight="false" outlineLevel="0" collapsed="false">
      <c r="A253" s="33"/>
      <c r="B253" s="33"/>
      <c r="C253" s="33"/>
      <c r="D253" s="33"/>
      <c r="E253" s="33"/>
      <c r="F253" s="33"/>
      <c r="G253" s="33"/>
      <c r="H253" s="33"/>
      <c r="I253" s="33"/>
      <c r="J253" s="33"/>
      <c r="K253" s="33"/>
      <c r="L253" s="34"/>
      <c r="M253" s="34"/>
      <c r="N253" s="34"/>
      <c r="O253" s="34"/>
      <c r="P253" s="33"/>
      <c r="Q253" s="35"/>
      <c r="R253" s="33"/>
      <c r="S253" s="33"/>
      <c r="T253" s="33"/>
      <c r="U253" s="33"/>
      <c r="V253" s="33"/>
      <c r="W253" s="33"/>
    </row>
    <row r="254" customFormat="false" ht="15" hidden="false" customHeight="false" outlineLevel="0" collapsed="false">
      <c r="A254" s="33"/>
      <c r="B254" s="33"/>
      <c r="C254" s="33"/>
      <c r="D254" s="33"/>
      <c r="E254" s="33"/>
      <c r="F254" s="33"/>
      <c r="G254" s="33"/>
      <c r="H254" s="33"/>
      <c r="I254" s="33"/>
      <c r="J254" s="33"/>
      <c r="K254" s="33"/>
      <c r="L254" s="34"/>
      <c r="M254" s="34"/>
      <c r="N254" s="34"/>
      <c r="O254" s="34"/>
      <c r="P254" s="33"/>
      <c r="Q254" s="35"/>
      <c r="R254" s="33"/>
      <c r="S254" s="33"/>
      <c r="T254" s="33"/>
      <c r="U254" s="33"/>
      <c r="V254" s="33"/>
      <c r="W254" s="33"/>
    </row>
    <row r="255" customFormat="false" ht="15" hidden="false" customHeight="false" outlineLevel="0" collapsed="false">
      <c r="A255" s="33"/>
      <c r="B255" s="33"/>
      <c r="C255" s="33"/>
      <c r="D255" s="33"/>
      <c r="E255" s="33"/>
      <c r="F255" s="33"/>
      <c r="G255" s="33"/>
      <c r="H255" s="33"/>
      <c r="I255" s="33"/>
      <c r="J255" s="33"/>
      <c r="K255" s="33"/>
      <c r="L255" s="34"/>
      <c r="M255" s="34"/>
      <c r="N255" s="34"/>
      <c r="O255" s="34"/>
      <c r="P255" s="33"/>
      <c r="Q255" s="35"/>
      <c r="R255" s="33"/>
      <c r="S255" s="33"/>
      <c r="T255" s="33"/>
      <c r="U255" s="33"/>
      <c r="V255" s="33"/>
      <c r="W255" s="33"/>
    </row>
    <row r="256" customFormat="false" ht="15" hidden="false" customHeight="false" outlineLevel="0" collapsed="false">
      <c r="A256" s="33"/>
      <c r="B256" s="33"/>
      <c r="C256" s="33"/>
      <c r="D256" s="33"/>
      <c r="E256" s="33"/>
      <c r="F256" s="33"/>
      <c r="G256" s="33"/>
      <c r="H256" s="33"/>
      <c r="I256" s="33"/>
      <c r="J256" s="33"/>
      <c r="K256" s="33"/>
      <c r="L256" s="34"/>
      <c r="M256" s="34"/>
      <c r="N256" s="34"/>
      <c r="O256" s="34"/>
      <c r="P256" s="33"/>
      <c r="Q256" s="35"/>
      <c r="R256" s="33"/>
      <c r="S256" s="33"/>
      <c r="T256" s="33"/>
      <c r="U256" s="33"/>
      <c r="V256" s="33"/>
      <c r="W256" s="33"/>
    </row>
    <row r="257" customFormat="false" ht="15" hidden="false" customHeight="false" outlineLevel="0" collapsed="false">
      <c r="A257" s="33"/>
      <c r="B257" s="33"/>
      <c r="C257" s="33"/>
      <c r="D257" s="33"/>
      <c r="E257" s="33"/>
      <c r="F257" s="33"/>
      <c r="G257" s="33"/>
      <c r="H257" s="33"/>
      <c r="I257" s="33"/>
      <c r="J257" s="33"/>
      <c r="K257" s="33"/>
      <c r="L257" s="34"/>
      <c r="M257" s="34"/>
      <c r="N257" s="34"/>
      <c r="O257" s="34"/>
      <c r="P257" s="33"/>
      <c r="Q257" s="35"/>
      <c r="R257" s="33"/>
      <c r="S257" s="33"/>
      <c r="T257" s="33"/>
      <c r="U257" s="33"/>
      <c r="V257" s="33"/>
      <c r="W257" s="33"/>
    </row>
    <row r="258" customFormat="false" ht="15" hidden="false" customHeight="false" outlineLevel="0" collapsed="false">
      <c r="A258" s="33"/>
      <c r="B258" s="33"/>
      <c r="C258" s="33"/>
      <c r="D258" s="33"/>
      <c r="E258" s="33"/>
      <c r="F258" s="33"/>
      <c r="G258" s="33"/>
      <c r="H258" s="33"/>
      <c r="I258" s="33"/>
      <c r="J258" s="33"/>
      <c r="K258" s="33"/>
      <c r="L258" s="34"/>
      <c r="M258" s="34"/>
      <c r="N258" s="34"/>
      <c r="O258" s="34"/>
      <c r="P258" s="33"/>
      <c r="Q258" s="35"/>
      <c r="R258" s="33"/>
      <c r="S258" s="33"/>
      <c r="T258" s="33"/>
      <c r="U258" s="33"/>
      <c r="V258" s="33"/>
      <c r="W258" s="33"/>
    </row>
    <row r="259" customFormat="false" ht="15" hidden="false" customHeight="false" outlineLevel="0" collapsed="false">
      <c r="A259" s="33"/>
      <c r="B259" s="33"/>
      <c r="C259" s="33"/>
      <c r="D259" s="33"/>
      <c r="E259" s="33"/>
      <c r="F259" s="33"/>
      <c r="G259" s="33"/>
      <c r="H259" s="33"/>
      <c r="I259" s="33"/>
      <c r="J259" s="33"/>
      <c r="K259" s="33"/>
      <c r="L259" s="34"/>
      <c r="M259" s="34"/>
      <c r="N259" s="34"/>
      <c r="O259" s="34"/>
      <c r="P259" s="33"/>
      <c r="Q259" s="35"/>
      <c r="R259" s="33"/>
      <c r="S259" s="33"/>
      <c r="T259" s="33"/>
      <c r="U259" s="33"/>
      <c r="V259" s="33"/>
      <c r="W259" s="33"/>
    </row>
    <row r="260" customFormat="false" ht="15" hidden="false" customHeight="false" outlineLevel="0" collapsed="false">
      <c r="A260" s="33"/>
      <c r="B260" s="33"/>
      <c r="C260" s="33"/>
      <c r="D260" s="33"/>
      <c r="E260" s="33"/>
      <c r="F260" s="33"/>
      <c r="G260" s="33"/>
      <c r="H260" s="33"/>
      <c r="I260" s="33"/>
      <c r="J260" s="33"/>
      <c r="K260" s="33"/>
      <c r="L260" s="34"/>
      <c r="M260" s="34"/>
      <c r="N260" s="34"/>
      <c r="O260" s="34"/>
      <c r="P260" s="33"/>
      <c r="Q260" s="35"/>
      <c r="R260" s="33"/>
      <c r="S260" s="33"/>
      <c r="T260" s="33"/>
      <c r="U260" s="33"/>
      <c r="V260" s="33"/>
      <c r="W260" s="33"/>
    </row>
    <row r="261" customFormat="false" ht="15" hidden="false" customHeight="false" outlineLevel="0" collapsed="false">
      <c r="A261" s="33"/>
      <c r="B261" s="33"/>
      <c r="C261" s="33"/>
      <c r="D261" s="33"/>
      <c r="E261" s="33"/>
      <c r="F261" s="33"/>
      <c r="G261" s="33"/>
      <c r="H261" s="33"/>
      <c r="I261" s="33"/>
      <c r="J261" s="33"/>
      <c r="K261" s="33"/>
      <c r="L261" s="34"/>
      <c r="M261" s="34"/>
      <c r="N261" s="34"/>
      <c r="O261" s="34"/>
      <c r="P261" s="33"/>
      <c r="Q261" s="35"/>
      <c r="R261" s="33"/>
      <c r="S261" s="33"/>
      <c r="T261" s="33"/>
      <c r="U261" s="33"/>
      <c r="V261" s="33"/>
      <c r="W261" s="33"/>
    </row>
    <row r="262" customFormat="false" ht="15" hidden="false" customHeight="false" outlineLevel="0" collapsed="false">
      <c r="A262" s="33"/>
      <c r="B262" s="33"/>
      <c r="C262" s="33"/>
      <c r="D262" s="33"/>
      <c r="E262" s="33"/>
      <c r="F262" s="33"/>
      <c r="G262" s="33"/>
      <c r="H262" s="33"/>
      <c r="I262" s="33"/>
      <c r="J262" s="33"/>
      <c r="K262" s="33"/>
      <c r="L262" s="34"/>
      <c r="M262" s="34"/>
      <c r="N262" s="34"/>
      <c r="O262" s="34"/>
      <c r="P262" s="33"/>
      <c r="Q262" s="35"/>
      <c r="R262" s="33"/>
      <c r="S262" s="33"/>
      <c r="T262" s="33"/>
      <c r="U262" s="33"/>
      <c r="V262" s="33"/>
      <c r="W262" s="33"/>
    </row>
    <row r="263" customFormat="false" ht="15" hidden="false" customHeight="false" outlineLevel="0" collapsed="false">
      <c r="A263" s="33"/>
      <c r="B263" s="33"/>
      <c r="C263" s="33"/>
      <c r="D263" s="33"/>
      <c r="E263" s="33"/>
      <c r="F263" s="33"/>
      <c r="G263" s="33"/>
      <c r="H263" s="33"/>
      <c r="I263" s="33"/>
      <c r="J263" s="33"/>
      <c r="K263" s="33"/>
      <c r="L263" s="34"/>
      <c r="M263" s="34"/>
      <c r="N263" s="34"/>
      <c r="O263" s="34"/>
      <c r="P263" s="33"/>
      <c r="Q263" s="35"/>
      <c r="R263" s="33"/>
      <c r="S263" s="33"/>
      <c r="T263" s="33"/>
      <c r="U263" s="33"/>
      <c r="V263" s="33"/>
      <c r="W263" s="33"/>
    </row>
    <row r="264" customFormat="false" ht="15" hidden="false" customHeight="false" outlineLevel="0" collapsed="false">
      <c r="A264" s="33"/>
      <c r="B264" s="33"/>
      <c r="C264" s="33"/>
      <c r="D264" s="33"/>
      <c r="E264" s="33"/>
      <c r="F264" s="33"/>
      <c r="G264" s="33"/>
      <c r="H264" s="33"/>
      <c r="I264" s="33"/>
      <c r="J264" s="33"/>
      <c r="K264" s="33"/>
      <c r="L264" s="34"/>
      <c r="M264" s="34"/>
      <c r="N264" s="34"/>
      <c r="O264" s="34"/>
      <c r="P264" s="33"/>
      <c r="Q264" s="35"/>
      <c r="R264" s="33"/>
      <c r="S264" s="33"/>
      <c r="T264" s="33"/>
      <c r="U264" s="33"/>
      <c r="V264" s="33"/>
      <c r="W264" s="33"/>
    </row>
    <row r="265" customFormat="false" ht="15" hidden="false" customHeight="false" outlineLevel="0" collapsed="false">
      <c r="A265" s="33"/>
      <c r="B265" s="33"/>
      <c r="C265" s="33"/>
      <c r="D265" s="33"/>
      <c r="E265" s="33"/>
      <c r="F265" s="33"/>
      <c r="G265" s="33"/>
      <c r="H265" s="33"/>
      <c r="I265" s="33"/>
      <c r="J265" s="33"/>
      <c r="K265" s="33"/>
      <c r="L265" s="34"/>
      <c r="M265" s="34"/>
      <c r="N265" s="34"/>
      <c r="O265" s="34"/>
      <c r="P265" s="33"/>
      <c r="Q265" s="35"/>
      <c r="R265" s="33"/>
      <c r="S265" s="33"/>
      <c r="T265" s="33"/>
      <c r="U265" s="33"/>
      <c r="V265" s="33"/>
      <c r="W265" s="33"/>
    </row>
    <row r="266" customFormat="false" ht="15" hidden="false" customHeight="false" outlineLevel="0" collapsed="false">
      <c r="A266" s="33"/>
      <c r="B266" s="33"/>
      <c r="C266" s="33"/>
      <c r="D266" s="33"/>
      <c r="E266" s="33"/>
      <c r="F266" s="33"/>
      <c r="G266" s="33"/>
      <c r="H266" s="33"/>
      <c r="I266" s="33"/>
      <c r="J266" s="33"/>
      <c r="K266" s="33"/>
      <c r="L266" s="34"/>
      <c r="M266" s="34"/>
      <c r="N266" s="34"/>
      <c r="O266" s="34"/>
      <c r="P266" s="33"/>
      <c r="Q266" s="35"/>
      <c r="R266" s="33"/>
      <c r="S266" s="33"/>
      <c r="T266" s="33"/>
      <c r="U266" s="33"/>
      <c r="V266" s="33"/>
      <c r="W266" s="33"/>
    </row>
    <row r="267" customFormat="false" ht="15" hidden="false" customHeight="false" outlineLevel="0" collapsed="false">
      <c r="A267" s="33"/>
      <c r="B267" s="33"/>
      <c r="C267" s="33"/>
      <c r="D267" s="33"/>
      <c r="E267" s="33"/>
      <c r="F267" s="33"/>
      <c r="G267" s="33"/>
      <c r="H267" s="33"/>
      <c r="I267" s="33"/>
      <c r="J267" s="33"/>
      <c r="K267" s="33"/>
      <c r="L267" s="34"/>
      <c r="M267" s="34"/>
      <c r="N267" s="34"/>
      <c r="O267" s="34"/>
      <c r="P267" s="33"/>
      <c r="Q267" s="35"/>
      <c r="R267" s="33"/>
      <c r="S267" s="33"/>
      <c r="T267" s="33"/>
      <c r="U267" s="33"/>
      <c r="V267" s="33"/>
      <c r="W267" s="33"/>
    </row>
    <row r="268" customFormat="false" ht="15" hidden="false" customHeight="false" outlineLevel="0" collapsed="false">
      <c r="A268" s="33"/>
      <c r="B268" s="33"/>
      <c r="C268" s="33"/>
      <c r="D268" s="33"/>
      <c r="E268" s="33"/>
      <c r="F268" s="33"/>
      <c r="G268" s="33"/>
      <c r="H268" s="33"/>
      <c r="I268" s="33"/>
      <c r="J268" s="33"/>
      <c r="K268" s="33"/>
      <c r="L268" s="34"/>
      <c r="M268" s="34"/>
      <c r="N268" s="34"/>
      <c r="O268" s="34"/>
      <c r="P268" s="33"/>
      <c r="Q268" s="35"/>
      <c r="R268" s="33"/>
      <c r="S268" s="33"/>
      <c r="T268" s="33"/>
      <c r="U268" s="33"/>
      <c r="V268" s="33"/>
      <c r="W268" s="33"/>
    </row>
    <row r="269" customFormat="false" ht="15" hidden="false" customHeight="false" outlineLevel="0" collapsed="false">
      <c r="A269" s="33"/>
      <c r="B269" s="33"/>
      <c r="C269" s="33"/>
      <c r="D269" s="33"/>
      <c r="E269" s="33"/>
      <c r="F269" s="33"/>
      <c r="G269" s="33"/>
      <c r="H269" s="33"/>
      <c r="I269" s="33"/>
      <c r="J269" s="33"/>
      <c r="K269" s="33"/>
      <c r="L269" s="34"/>
      <c r="M269" s="34"/>
      <c r="N269" s="34"/>
      <c r="O269" s="34"/>
      <c r="P269" s="33"/>
      <c r="Q269" s="35"/>
      <c r="R269" s="33"/>
      <c r="S269" s="33"/>
      <c r="T269" s="33"/>
      <c r="U269" s="33"/>
      <c r="V269" s="33"/>
      <c r="W269" s="33"/>
    </row>
    <row r="270" customFormat="false" ht="15" hidden="false" customHeight="false" outlineLevel="0" collapsed="false">
      <c r="A270" s="33"/>
      <c r="B270" s="33"/>
      <c r="C270" s="33"/>
      <c r="D270" s="33"/>
      <c r="E270" s="33"/>
      <c r="F270" s="33"/>
      <c r="G270" s="33"/>
      <c r="H270" s="33"/>
      <c r="I270" s="33"/>
      <c r="J270" s="33"/>
      <c r="K270" s="33"/>
      <c r="L270" s="34"/>
      <c r="M270" s="34"/>
      <c r="N270" s="34"/>
      <c r="O270" s="34"/>
      <c r="P270" s="33"/>
      <c r="Q270" s="35"/>
      <c r="R270" s="33"/>
      <c r="S270" s="33"/>
      <c r="T270" s="33"/>
      <c r="U270" s="33"/>
      <c r="V270" s="33"/>
      <c r="W270" s="33"/>
    </row>
    <row r="271" customFormat="false" ht="15" hidden="false" customHeight="false" outlineLevel="0" collapsed="false">
      <c r="A271" s="33"/>
      <c r="B271" s="33"/>
      <c r="C271" s="33"/>
      <c r="D271" s="33"/>
      <c r="E271" s="33"/>
      <c r="F271" s="33"/>
      <c r="G271" s="33"/>
      <c r="H271" s="33"/>
      <c r="I271" s="33"/>
      <c r="J271" s="33"/>
      <c r="K271" s="33"/>
      <c r="L271" s="34"/>
      <c r="M271" s="34"/>
      <c r="N271" s="34"/>
      <c r="O271" s="34"/>
      <c r="P271" s="33"/>
      <c r="Q271" s="35"/>
      <c r="R271" s="33"/>
      <c r="S271" s="33"/>
      <c r="T271" s="33"/>
      <c r="U271" s="33"/>
      <c r="V271" s="33"/>
      <c r="W271" s="33"/>
    </row>
    <row r="272" customFormat="false" ht="15" hidden="false" customHeight="false" outlineLevel="0" collapsed="false">
      <c r="A272" s="33"/>
      <c r="B272" s="33"/>
      <c r="C272" s="33"/>
      <c r="D272" s="33"/>
      <c r="E272" s="33"/>
      <c r="F272" s="33"/>
      <c r="G272" s="33"/>
      <c r="H272" s="33"/>
      <c r="I272" s="33"/>
      <c r="J272" s="33"/>
      <c r="K272" s="33"/>
      <c r="L272" s="34"/>
      <c r="M272" s="34"/>
      <c r="N272" s="34"/>
      <c r="O272" s="34"/>
      <c r="P272" s="33"/>
      <c r="Q272" s="35"/>
      <c r="R272" s="33"/>
      <c r="S272" s="33"/>
      <c r="T272" s="33"/>
      <c r="U272" s="33"/>
      <c r="V272" s="33"/>
      <c r="W272" s="33"/>
    </row>
    <row r="273" customFormat="false" ht="15" hidden="false" customHeight="false" outlineLevel="0" collapsed="false">
      <c r="A273" s="33"/>
      <c r="B273" s="33"/>
      <c r="C273" s="33"/>
      <c r="D273" s="33"/>
      <c r="E273" s="33"/>
      <c r="F273" s="33"/>
      <c r="G273" s="33"/>
      <c r="H273" s="33"/>
      <c r="I273" s="33"/>
      <c r="J273" s="33"/>
      <c r="K273" s="33"/>
      <c r="L273" s="34"/>
      <c r="M273" s="34"/>
      <c r="N273" s="34"/>
      <c r="O273" s="34"/>
      <c r="P273" s="33"/>
      <c r="Q273" s="35"/>
      <c r="R273" s="33"/>
      <c r="S273" s="33"/>
      <c r="T273" s="33"/>
      <c r="U273" s="33"/>
      <c r="V273" s="33"/>
      <c r="W273" s="33"/>
    </row>
    <row r="274" customFormat="false" ht="15" hidden="false" customHeight="false" outlineLevel="0" collapsed="false">
      <c r="A274" s="33"/>
      <c r="B274" s="33"/>
      <c r="C274" s="33"/>
      <c r="D274" s="33"/>
      <c r="E274" s="33"/>
      <c r="F274" s="33"/>
      <c r="G274" s="33"/>
      <c r="H274" s="33"/>
      <c r="I274" s="33"/>
      <c r="J274" s="33"/>
      <c r="K274" s="33"/>
      <c r="L274" s="34"/>
      <c r="M274" s="34"/>
      <c r="N274" s="34"/>
      <c r="O274" s="34"/>
      <c r="P274" s="33"/>
      <c r="Q274" s="35"/>
      <c r="R274" s="33"/>
      <c r="S274" s="33"/>
      <c r="T274" s="33"/>
      <c r="U274" s="33"/>
      <c r="V274" s="33"/>
      <c r="W274" s="33"/>
    </row>
    <row r="275" customFormat="false" ht="15" hidden="false" customHeight="false" outlineLevel="0" collapsed="false">
      <c r="A275" s="33"/>
      <c r="B275" s="33"/>
      <c r="C275" s="33"/>
      <c r="D275" s="33"/>
      <c r="E275" s="33"/>
      <c r="F275" s="33"/>
      <c r="G275" s="33"/>
      <c r="H275" s="33"/>
      <c r="I275" s="33"/>
      <c r="J275" s="33"/>
      <c r="K275" s="33"/>
      <c r="L275" s="34"/>
      <c r="M275" s="34"/>
      <c r="N275" s="34"/>
      <c r="O275" s="34"/>
      <c r="P275" s="33"/>
      <c r="Q275" s="35"/>
      <c r="R275" s="33"/>
      <c r="S275" s="33"/>
      <c r="T275" s="33"/>
      <c r="U275" s="33"/>
      <c r="V275" s="33"/>
      <c r="W275" s="33"/>
    </row>
    <row r="276" customFormat="false" ht="15" hidden="false" customHeight="false" outlineLevel="0" collapsed="false">
      <c r="A276" s="33"/>
      <c r="B276" s="33"/>
      <c r="C276" s="33"/>
      <c r="D276" s="33"/>
      <c r="E276" s="33"/>
      <c r="F276" s="33"/>
      <c r="G276" s="33"/>
      <c r="H276" s="33"/>
      <c r="I276" s="33"/>
      <c r="J276" s="33"/>
      <c r="K276" s="33"/>
      <c r="L276" s="34"/>
      <c r="M276" s="34"/>
      <c r="N276" s="34"/>
      <c r="O276" s="34"/>
      <c r="P276" s="33"/>
      <c r="Q276" s="35"/>
      <c r="R276" s="33"/>
      <c r="S276" s="33"/>
      <c r="T276" s="33"/>
      <c r="U276" s="33"/>
      <c r="V276" s="33"/>
      <c r="W276" s="33"/>
    </row>
    <row r="277" customFormat="false" ht="15" hidden="false" customHeight="false" outlineLevel="0" collapsed="false">
      <c r="A277" s="33"/>
      <c r="B277" s="33"/>
      <c r="C277" s="33"/>
      <c r="D277" s="33"/>
      <c r="E277" s="33"/>
      <c r="F277" s="33"/>
      <c r="G277" s="33"/>
      <c r="H277" s="33"/>
      <c r="I277" s="33"/>
      <c r="J277" s="33"/>
      <c r="K277" s="33"/>
      <c r="L277" s="34"/>
      <c r="M277" s="34"/>
      <c r="N277" s="34"/>
      <c r="O277" s="34"/>
      <c r="P277" s="33"/>
      <c r="Q277" s="35"/>
      <c r="R277" s="33"/>
      <c r="S277" s="33"/>
      <c r="T277" s="33"/>
      <c r="U277" s="33"/>
      <c r="V277" s="33"/>
      <c r="W277" s="33"/>
    </row>
    <row r="278" customFormat="false" ht="15" hidden="false" customHeight="false" outlineLevel="0" collapsed="false">
      <c r="A278" s="33"/>
      <c r="B278" s="33"/>
      <c r="C278" s="33"/>
      <c r="D278" s="33"/>
      <c r="E278" s="33"/>
      <c r="F278" s="33"/>
      <c r="G278" s="33"/>
      <c r="H278" s="33"/>
      <c r="I278" s="33"/>
      <c r="J278" s="33"/>
      <c r="K278" s="33"/>
      <c r="L278" s="34"/>
      <c r="M278" s="34"/>
      <c r="N278" s="34"/>
      <c r="O278" s="34"/>
      <c r="P278" s="33"/>
      <c r="Q278" s="35"/>
      <c r="R278" s="33"/>
      <c r="S278" s="33"/>
      <c r="T278" s="33"/>
      <c r="U278" s="33"/>
      <c r="V278" s="33"/>
      <c r="W278" s="33"/>
    </row>
    <row r="279" customFormat="false" ht="15" hidden="false" customHeight="false" outlineLevel="0" collapsed="false">
      <c r="A279" s="33"/>
      <c r="B279" s="33"/>
      <c r="C279" s="33"/>
      <c r="D279" s="33"/>
      <c r="E279" s="33"/>
      <c r="F279" s="33"/>
      <c r="G279" s="33"/>
      <c r="H279" s="33"/>
      <c r="I279" s="33"/>
      <c r="J279" s="33"/>
      <c r="K279" s="33"/>
      <c r="L279" s="34"/>
      <c r="M279" s="34"/>
      <c r="N279" s="34"/>
      <c r="O279" s="34"/>
      <c r="P279" s="33"/>
      <c r="Q279" s="35"/>
      <c r="R279" s="33"/>
      <c r="S279" s="33"/>
      <c r="T279" s="33"/>
      <c r="U279" s="33"/>
      <c r="V279" s="33"/>
      <c r="W279" s="33"/>
    </row>
    <row r="280" customFormat="false" ht="15" hidden="false" customHeight="false" outlineLevel="0" collapsed="false">
      <c r="A280" s="33"/>
      <c r="B280" s="33"/>
      <c r="C280" s="33"/>
      <c r="D280" s="33"/>
      <c r="E280" s="33"/>
      <c r="F280" s="33"/>
      <c r="G280" s="33"/>
      <c r="H280" s="33"/>
      <c r="I280" s="33"/>
      <c r="J280" s="33"/>
      <c r="K280" s="33"/>
      <c r="L280" s="34"/>
      <c r="M280" s="34"/>
      <c r="N280" s="34"/>
      <c r="O280" s="34"/>
      <c r="P280" s="33"/>
      <c r="Q280" s="35"/>
      <c r="R280" s="33"/>
      <c r="S280" s="33"/>
      <c r="T280" s="33"/>
      <c r="U280" s="33"/>
      <c r="V280" s="33"/>
      <c r="W280" s="33"/>
    </row>
    <row r="281" customFormat="false" ht="15" hidden="false" customHeight="false" outlineLevel="0" collapsed="false">
      <c r="A281" s="33"/>
      <c r="B281" s="33"/>
      <c r="C281" s="33"/>
      <c r="D281" s="33"/>
      <c r="E281" s="33"/>
      <c r="F281" s="33"/>
      <c r="G281" s="33"/>
      <c r="H281" s="33"/>
      <c r="I281" s="33"/>
      <c r="J281" s="33"/>
      <c r="K281" s="33"/>
      <c r="L281" s="34"/>
      <c r="M281" s="34"/>
      <c r="N281" s="34"/>
      <c r="O281" s="34"/>
      <c r="P281" s="33"/>
      <c r="Q281" s="35"/>
      <c r="R281" s="33"/>
      <c r="S281" s="33"/>
      <c r="T281" s="33"/>
      <c r="U281" s="33"/>
      <c r="V281" s="33"/>
      <c r="W281" s="33"/>
    </row>
    <row r="282" customFormat="false" ht="15" hidden="false" customHeight="false" outlineLevel="0" collapsed="false">
      <c r="A282" s="33"/>
      <c r="B282" s="33"/>
      <c r="C282" s="33"/>
      <c r="D282" s="33"/>
      <c r="E282" s="33"/>
      <c r="F282" s="33"/>
      <c r="G282" s="33"/>
      <c r="H282" s="33"/>
      <c r="I282" s="33"/>
      <c r="J282" s="33"/>
      <c r="K282" s="33"/>
      <c r="L282" s="34"/>
      <c r="M282" s="34"/>
      <c r="N282" s="34"/>
      <c r="O282" s="34"/>
      <c r="P282" s="33"/>
      <c r="Q282" s="35"/>
      <c r="R282" s="33"/>
      <c r="S282" s="33"/>
      <c r="T282" s="33"/>
      <c r="U282" s="33"/>
      <c r="V282" s="33"/>
      <c r="W282" s="33"/>
    </row>
    <row r="283" customFormat="false" ht="15" hidden="false" customHeight="false" outlineLevel="0" collapsed="false">
      <c r="A283" s="33"/>
      <c r="B283" s="33"/>
      <c r="C283" s="33"/>
      <c r="D283" s="33"/>
      <c r="E283" s="33"/>
      <c r="F283" s="33"/>
      <c r="G283" s="33"/>
      <c r="H283" s="33"/>
      <c r="I283" s="33"/>
      <c r="J283" s="33"/>
      <c r="K283" s="33"/>
      <c r="L283" s="34"/>
      <c r="M283" s="34"/>
      <c r="N283" s="34"/>
      <c r="O283" s="34"/>
      <c r="P283" s="33"/>
      <c r="Q283" s="35"/>
      <c r="R283" s="33"/>
      <c r="S283" s="33"/>
      <c r="T283" s="33"/>
      <c r="U283" s="33"/>
      <c r="V283" s="33"/>
      <c r="W283" s="33"/>
    </row>
    <row r="284" customFormat="false" ht="15" hidden="false" customHeight="false" outlineLevel="0" collapsed="false">
      <c r="A284" s="33"/>
      <c r="B284" s="33"/>
      <c r="C284" s="33"/>
      <c r="D284" s="33"/>
      <c r="E284" s="33"/>
      <c r="F284" s="33"/>
      <c r="G284" s="33"/>
      <c r="H284" s="33"/>
      <c r="I284" s="33"/>
      <c r="J284" s="33"/>
      <c r="K284" s="33"/>
      <c r="L284" s="34"/>
      <c r="M284" s="34"/>
      <c r="N284" s="34"/>
      <c r="O284" s="34"/>
      <c r="P284" s="33"/>
      <c r="Q284" s="35"/>
      <c r="R284" s="33"/>
      <c r="S284" s="33"/>
      <c r="T284" s="33"/>
      <c r="U284" s="33"/>
      <c r="V284" s="33"/>
      <c r="W284" s="33"/>
    </row>
    <row r="285" customFormat="false" ht="15" hidden="false" customHeight="false" outlineLevel="0" collapsed="false">
      <c r="A285" s="33"/>
      <c r="B285" s="33"/>
      <c r="C285" s="33"/>
      <c r="D285" s="33"/>
      <c r="E285" s="33"/>
      <c r="F285" s="33"/>
      <c r="G285" s="33"/>
      <c r="H285" s="33"/>
      <c r="I285" s="33"/>
      <c r="J285" s="33"/>
      <c r="K285" s="33"/>
      <c r="L285" s="34"/>
      <c r="M285" s="34"/>
      <c r="N285" s="34"/>
      <c r="O285" s="34"/>
      <c r="P285" s="33"/>
      <c r="Q285" s="35"/>
      <c r="R285" s="33"/>
      <c r="S285" s="33"/>
      <c r="T285" s="33"/>
      <c r="U285" s="33"/>
      <c r="V285" s="33"/>
      <c r="W285" s="33"/>
    </row>
    <row r="286" customFormat="false" ht="15" hidden="false" customHeight="false" outlineLevel="0" collapsed="false">
      <c r="A286" s="33"/>
      <c r="B286" s="33"/>
      <c r="C286" s="33"/>
      <c r="D286" s="33"/>
      <c r="E286" s="33"/>
      <c r="F286" s="33"/>
      <c r="G286" s="33"/>
      <c r="H286" s="33"/>
      <c r="I286" s="33"/>
      <c r="J286" s="33"/>
      <c r="K286" s="33"/>
      <c r="L286" s="34"/>
      <c r="M286" s="34"/>
      <c r="N286" s="34"/>
      <c r="O286" s="34"/>
      <c r="P286" s="33"/>
      <c r="Q286" s="35"/>
      <c r="R286" s="33"/>
      <c r="S286" s="33"/>
      <c r="T286" s="33"/>
      <c r="U286" s="33"/>
      <c r="V286" s="33"/>
      <c r="W286" s="33"/>
    </row>
    <row r="287" customFormat="false" ht="15" hidden="false" customHeight="false" outlineLevel="0" collapsed="false">
      <c r="A287" s="33"/>
      <c r="B287" s="33"/>
      <c r="C287" s="33"/>
      <c r="D287" s="33"/>
      <c r="E287" s="33"/>
      <c r="F287" s="33"/>
      <c r="G287" s="33"/>
      <c r="H287" s="33"/>
      <c r="I287" s="33"/>
      <c r="J287" s="33"/>
      <c r="K287" s="33"/>
      <c r="L287" s="34"/>
      <c r="M287" s="34"/>
      <c r="N287" s="34"/>
      <c r="O287" s="34"/>
      <c r="P287" s="33"/>
      <c r="Q287" s="35"/>
      <c r="R287" s="33"/>
      <c r="S287" s="33"/>
      <c r="T287" s="33"/>
      <c r="U287" s="33"/>
      <c r="V287" s="33"/>
      <c r="W287" s="33"/>
    </row>
    <row r="288" customFormat="false" ht="15" hidden="false" customHeight="false" outlineLevel="0" collapsed="false">
      <c r="A288" s="33"/>
      <c r="B288" s="33"/>
      <c r="C288" s="33"/>
      <c r="D288" s="33"/>
      <c r="E288" s="33"/>
      <c r="F288" s="33"/>
      <c r="G288" s="33"/>
      <c r="H288" s="33"/>
      <c r="I288" s="33"/>
      <c r="J288" s="33"/>
      <c r="K288" s="33"/>
      <c r="L288" s="34"/>
      <c r="M288" s="34"/>
      <c r="N288" s="34"/>
      <c r="O288" s="34"/>
      <c r="P288" s="33"/>
      <c r="Q288" s="35"/>
      <c r="R288" s="33"/>
      <c r="S288" s="33"/>
      <c r="T288" s="33"/>
      <c r="U288" s="33"/>
      <c r="V288" s="33"/>
      <c r="W288" s="33"/>
    </row>
    <row r="289" customFormat="false" ht="15" hidden="false" customHeight="false" outlineLevel="0" collapsed="false">
      <c r="A289" s="33"/>
      <c r="B289" s="33"/>
      <c r="C289" s="33"/>
      <c r="D289" s="33"/>
      <c r="E289" s="33"/>
      <c r="F289" s="33"/>
      <c r="G289" s="33"/>
      <c r="H289" s="33"/>
      <c r="I289" s="33"/>
      <c r="J289" s="33"/>
      <c r="K289" s="33"/>
      <c r="L289" s="34"/>
      <c r="M289" s="34"/>
      <c r="N289" s="34"/>
      <c r="O289" s="34"/>
      <c r="P289" s="33"/>
      <c r="Q289" s="35"/>
      <c r="R289" s="33"/>
      <c r="S289" s="33"/>
      <c r="T289" s="33"/>
      <c r="U289" s="33"/>
      <c r="V289" s="33"/>
      <c r="W289" s="33"/>
    </row>
    <row r="290" customFormat="false" ht="15" hidden="false" customHeight="false" outlineLevel="0" collapsed="false">
      <c r="A290" s="33"/>
      <c r="B290" s="33"/>
      <c r="C290" s="33"/>
      <c r="D290" s="33"/>
      <c r="E290" s="33"/>
      <c r="F290" s="33"/>
      <c r="G290" s="33"/>
      <c r="H290" s="33"/>
      <c r="I290" s="33"/>
      <c r="J290" s="33"/>
      <c r="K290" s="33"/>
      <c r="L290" s="34"/>
      <c r="M290" s="34"/>
      <c r="N290" s="34"/>
      <c r="O290" s="34"/>
      <c r="P290" s="33"/>
      <c r="Q290" s="35"/>
      <c r="R290" s="33"/>
      <c r="S290" s="33"/>
      <c r="T290" s="33"/>
      <c r="U290" s="33"/>
      <c r="V290" s="33"/>
      <c r="W290" s="33"/>
    </row>
    <row r="291" customFormat="false" ht="15" hidden="false" customHeight="false" outlineLevel="0" collapsed="false">
      <c r="A291" s="33"/>
      <c r="B291" s="33"/>
      <c r="C291" s="33"/>
      <c r="D291" s="33"/>
      <c r="E291" s="33"/>
      <c r="F291" s="33"/>
      <c r="G291" s="33"/>
      <c r="H291" s="33"/>
      <c r="I291" s="33"/>
      <c r="J291" s="33"/>
      <c r="K291" s="33"/>
      <c r="L291" s="34"/>
      <c r="M291" s="34"/>
      <c r="N291" s="34"/>
      <c r="O291" s="34"/>
      <c r="P291" s="33"/>
      <c r="Q291" s="35"/>
      <c r="R291" s="33"/>
      <c r="S291" s="33"/>
      <c r="T291" s="33"/>
      <c r="U291" s="33"/>
      <c r="V291" s="33"/>
      <c r="W291" s="33"/>
    </row>
    <row r="292" customFormat="false" ht="15" hidden="false" customHeight="false" outlineLevel="0" collapsed="false">
      <c r="A292" s="33"/>
      <c r="B292" s="33"/>
      <c r="C292" s="33"/>
      <c r="D292" s="33"/>
      <c r="E292" s="33"/>
      <c r="F292" s="33"/>
      <c r="G292" s="33"/>
      <c r="H292" s="33"/>
      <c r="I292" s="33"/>
      <c r="J292" s="33"/>
      <c r="K292" s="33"/>
      <c r="L292" s="34"/>
      <c r="M292" s="34"/>
      <c r="N292" s="34"/>
      <c r="O292" s="34"/>
      <c r="P292" s="33"/>
      <c r="Q292" s="35"/>
      <c r="R292" s="33"/>
      <c r="S292" s="33"/>
      <c r="T292" s="33"/>
      <c r="U292" s="33"/>
      <c r="V292" s="33"/>
      <c r="W292" s="33"/>
    </row>
    <row r="293" customFormat="false" ht="15" hidden="false" customHeight="false" outlineLevel="0" collapsed="false">
      <c r="A293" s="33"/>
      <c r="B293" s="33"/>
      <c r="C293" s="33"/>
      <c r="D293" s="33"/>
      <c r="E293" s="33"/>
      <c r="F293" s="33"/>
      <c r="G293" s="33"/>
      <c r="H293" s="33"/>
      <c r="I293" s="33"/>
      <c r="J293" s="33"/>
      <c r="K293" s="33"/>
      <c r="L293" s="34"/>
      <c r="M293" s="34"/>
      <c r="N293" s="34"/>
      <c r="O293" s="34"/>
      <c r="P293" s="33"/>
      <c r="Q293" s="35"/>
      <c r="R293" s="33"/>
      <c r="S293" s="33"/>
      <c r="T293" s="33"/>
      <c r="U293" s="33"/>
      <c r="V293" s="33"/>
      <c r="W293" s="33"/>
    </row>
    <row r="294" customFormat="false" ht="15" hidden="false" customHeight="false" outlineLevel="0" collapsed="false">
      <c r="A294" s="33"/>
      <c r="B294" s="33"/>
      <c r="C294" s="33"/>
      <c r="D294" s="33"/>
      <c r="E294" s="33"/>
      <c r="F294" s="33"/>
      <c r="G294" s="33"/>
      <c r="H294" s="33"/>
      <c r="I294" s="33"/>
      <c r="J294" s="33"/>
      <c r="K294" s="33"/>
      <c r="L294" s="34"/>
      <c r="M294" s="34"/>
      <c r="N294" s="34"/>
      <c r="O294" s="34"/>
      <c r="P294" s="33"/>
      <c r="Q294" s="35"/>
      <c r="R294" s="33"/>
      <c r="S294" s="33"/>
      <c r="T294" s="33"/>
      <c r="U294" s="33"/>
      <c r="V294" s="33"/>
      <c r="W294" s="33"/>
    </row>
    <row r="295" customFormat="false" ht="15" hidden="false" customHeight="false" outlineLevel="0" collapsed="false">
      <c r="A295" s="33"/>
      <c r="B295" s="33"/>
      <c r="C295" s="33"/>
      <c r="D295" s="33"/>
      <c r="E295" s="33"/>
      <c r="F295" s="33"/>
      <c r="G295" s="33"/>
      <c r="H295" s="33"/>
      <c r="I295" s="33"/>
      <c r="J295" s="33"/>
      <c r="K295" s="33"/>
      <c r="L295" s="34"/>
      <c r="M295" s="34"/>
      <c r="N295" s="34"/>
      <c r="O295" s="34"/>
      <c r="P295" s="33"/>
      <c r="Q295" s="35"/>
      <c r="R295" s="33"/>
      <c r="S295" s="33"/>
      <c r="T295" s="33"/>
      <c r="U295" s="33"/>
      <c r="V295" s="33"/>
      <c r="W295" s="33"/>
    </row>
    <row r="296" customFormat="false" ht="15" hidden="false" customHeight="false" outlineLevel="0" collapsed="false">
      <c r="A296" s="33"/>
      <c r="B296" s="33"/>
      <c r="C296" s="33"/>
      <c r="D296" s="33"/>
      <c r="E296" s="33"/>
      <c r="F296" s="33"/>
      <c r="G296" s="33"/>
      <c r="H296" s="33"/>
      <c r="I296" s="33"/>
      <c r="J296" s="33"/>
      <c r="K296" s="33"/>
      <c r="L296" s="34"/>
      <c r="M296" s="34"/>
      <c r="N296" s="34"/>
      <c r="O296" s="34"/>
      <c r="P296" s="33"/>
      <c r="Q296" s="35"/>
      <c r="R296" s="33"/>
      <c r="S296" s="33"/>
      <c r="T296" s="33"/>
      <c r="U296" s="33"/>
      <c r="V296" s="33"/>
      <c r="W296" s="33"/>
    </row>
    <row r="297" customFormat="false" ht="15" hidden="false" customHeight="false" outlineLevel="0" collapsed="false">
      <c r="A297" s="33"/>
      <c r="B297" s="33"/>
      <c r="C297" s="33"/>
      <c r="D297" s="33"/>
      <c r="E297" s="33"/>
      <c r="F297" s="33"/>
      <c r="G297" s="33"/>
      <c r="H297" s="33"/>
      <c r="I297" s="33"/>
      <c r="J297" s="33"/>
      <c r="K297" s="33"/>
      <c r="L297" s="34"/>
      <c r="M297" s="34"/>
      <c r="N297" s="34"/>
      <c r="O297" s="34"/>
      <c r="P297" s="33"/>
      <c r="Q297" s="35"/>
      <c r="R297" s="33"/>
      <c r="S297" s="33"/>
      <c r="T297" s="33"/>
      <c r="U297" s="33"/>
      <c r="V297" s="33"/>
      <c r="W297" s="33"/>
    </row>
    <row r="298" customFormat="false" ht="15" hidden="false" customHeight="false" outlineLevel="0" collapsed="false">
      <c r="A298" s="33"/>
      <c r="B298" s="33"/>
      <c r="C298" s="33"/>
      <c r="D298" s="33"/>
      <c r="E298" s="33"/>
      <c r="F298" s="33"/>
      <c r="G298" s="33"/>
      <c r="H298" s="33"/>
      <c r="I298" s="33"/>
      <c r="J298" s="33"/>
      <c r="K298" s="33"/>
      <c r="L298" s="34"/>
      <c r="M298" s="34"/>
      <c r="N298" s="34"/>
      <c r="O298" s="34"/>
      <c r="P298" s="33"/>
      <c r="Q298" s="35"/>
      <c r="R298" s="33"/>
      <c r="S298" s="33"/>
      <c r="T298" s="33"/>
      <c r="U298" s="33"/>
      <c r="V298" s="33"/>
      <c r="W298" s="33"/>
    </row>
    <row r="299" customFormat="false" ht="15" hidden="false" customHeight="false" outlineLevel="0" collapsed="false">
      <c r="A299" s="33"/>
      <c r="B299" s="33"/>
      <c r="C299" s="33"/>
      <c r="D299" s="33"/>
      <c r="E299" s="33"/>
      <c r="F299" s="33"/>
      <c r="G299" s="33"/>
      <c r="H299" s="33"/>
      <c r="I299" s="33"/>
      <c r="J299" s="33"/>
      <c r="K299" s="33"/>
      <c r="L299" s="34"/>
      <c r="M299" s="34"/>
      <c r="N299" s="34"/>
      <c r="O299" s="34"/>
      <c r="P299" s="33"/>
      <c r="Q299" s="35"/>
      <c r="R299" s="33"/>
      <c r="S299" s="33"/>
      <c r="T299" s="33"/>
      <c r="U299" s="33"/>
      <c r="V299" s="33"/>
      <c r="W299" s="33"/>
    </row>
    <row r="300" customFormat="false" ht="15" hidden="false" customHeight="false" outlineLevel="0" collapsed="false">
      <c r="A300" s="33"/>
      <c r="B300" s="33"/>
      <c r="C300" s="33"/>
      <c r="D300" s="33"/>
      <c r="E300" s="33"/>
      <c r="F300" s="33"/>
      <c r="G300" s="33"/>
      <c r="H300" s="33"/>
      <c r="I300" s="33"/>
      <c r="J300" s="33"/>
      <c r="K300" s="33"/>
      <c r="L300" s="34"/>
      <c r="M300" s="34"/>
      <c r="N300" s="34"/>
      <c r="O300" s="34"/>
      <c r="P300" s="33"/>
      <c r="Q300" s="35"/>
      <c r="R300" s="33"/>
      <c r="S300" s="33"/>
      <c r="T300" s="33"/>
      <c r="U300" s="33"/>
      <c r="V300" s="33"/>
      <c r="W300" s="33"/>
    </row>
  </sheetData>
  <autoFilter ref="A4:W10"/>
  <mergeCells count="6">
    <mergeCell ref="A3:C3"/>
    <mergeCell ref="D3:H3"/>
    <mergeCell ref="I3:O3"/>
    <mergeCell ref="P3:R3"/>
    <mergeCell ref="S3:U3"/>
    <mergeCell ref="V3:W3"/>
  </mergeCells>
  <conditionalFormatting sqref="P5:P300">
    <cfRule type="expression" priority="2" aboveAverage="0" equalAverage="0" bottom="0" percent="0" rank="0" text="" dxfId="5">
      <formula>$P5="AVL"</formula>
    </cfRule>
    <cfRule type="expression" priority="3" aboveAverage="0" equalAverage="0" bottom="0" percent="0" rank="0" text="" dxfId="6">
      <formula>$P5="Qualified"</formula>
    </cfRule>
    <cfRule type="expression" priority="4" aboveAverage="0" equalAverage="0" bottom="0" percent="0" rank="0" text="" dxfId="7">
      <formula>$P5="Prequalified"</formula>
    </cfRule>
    <cfRule type="expression" priority="5" aboveAverage="0" equalAverage="0" bottom="0" percent="0" rank="0" text="" dxfId="8">
      <formula>$P5="On Hold"</formula>
    </cfRule>
    <cfRule type="expression" priority="6" aboveAverage="0" equalAverage="0" bottom="0" percent="0" rank="0" text="" dxfId="9">
      <formula>$P5="Disqualified"</formula>
    </cfRule>
  </conditionalFormatting>
  <conditionalFormatting sqref="W5:W300">
    <cfRule type="expression" priority="7" aboveAverage="0" equalAverage="0" bottom="0" percent="0" rank="0" text="" dxfId="9">
      <formula>$W5="High"</formula>
    </cfRule>
    <cfRule type="expression" priority="8" aboveAverage="0" equalAverage="0" bottom="0" percent="0" rank="0" text="" dxfId="10">
      <formula>$W5="FEOC Review"</formula>
    </cfRule>
    <cfRule type="expression" priority="9" aboveAverage="0" equalAverage="0" bottom="0" percent="0" rank="0" text="" dxfId="8">
      <formula>$W5="Medium"</formula>
    </cfRule>
    <cfRule type="expression" priority="10" aboveAverage="0" equalAverage="0" bottom="0" percent="0" rank="0" text="" dxfId="5">
      <formula>$W5="Low"</formula>
    </cfRule>
  </conditionalFormatting>
  <dataValidations count="5">
    <dataValidation allowBlank="true" error="Pick a value from the list (edit the Lists tab to change options)." errorStyle="stop" errorTitle="Invalid entry" operator="between" showDropDown="false" showErrorMessage="true" showInputMessage="false" sqref="P5:P300" type="list">
      <formula1>lst_status</formula1>
      <formula2>0</formula2>
    </dataValidation>
    <dataValidation allowBlank="true" error="Pick a value from the list (edit the Lists tab to change options)." errorStyle="stop" errorTitle="Invalid entry" operator="between" showDropDown="false" showErrorMessage="true" showInputMessage="false" sqref="R5:R300" type="list">
      <formula1>lst_rfx</formula1>
      <formula2>0</formula2>
    </dataValidation>
    <dataValidation allowBlank="true" error="Pick a value from the list (edit the Lists tab to change options)." errorStyle="stop" errorTitle="Invalid entry" operator="between" showDropDown="false" showErrorMessage="true" showInputMessage="false" sqref="T5:T300" type="list">
      <formula1>lst_fin</formula1>
      <formula2>0</formula2>
    </dataValidation>
    <dataValidation allowBlank="true" error="Pick a value from the list (edit the Lists tab to change options)." errorStyle="stop" errorTitle="Invalid entry" operator="between" showDropDown="false" showErrorMessage="true" showInputMessage="false" sqref="W5:W300" type="list">
      <formula1>lst_scr</formula1>
      <formula2>0</formula2>
    </dataValidation>
    <dataValidation allowBlank="true" error="Enter a date (yyyy-mm-dd)." errorStyle="stop" operator="greaterThan" showDropDown="false" showErrorMessage="true" showInputMessage="false" sqref="Q5:Q300" type="date">
      <formula1>DATE(2020,1,1)</formula1>
      <formula2>0</formula2>
    </dataValidation>
  </dataValidations>
  <hyperlinks>
    <hyperlink ref="I5" r:id="rId2" display="https://www.dnv.com"/>
    <hyperlink ref="K5" r:id="rId3" display="https://www.dnv.us/contact/"/>
    <hyperlink ref="I6" r:id="rId4" display="https://enertisapplus.com"/>
    <hyperlink ref="K6" r:id="rId5" display="https://enertisapplus.com/contact/"/>
    <hyperlink ref="I7" r:id="rId6" display="https://www.leidos.com"/>
    <hyperlink ref="K7" r:id="rId7" display="https://www.leidos.com/contact"/>
    <hyperlink ref="I8" r:id="rId8" display="https://www.sargentlundy.com"/>
    <hyperlink ref="K8" r:id="rId9" display="https://www.sargentlundy.com/contact-us"/>
    <hyperlink ref="I9" r:id="rId10" display="https://www.naturalpower.com"/>
    <hyperlink ref="K9" r:id="rId11" display="https://www.naturalpower.com/us/contact"/>
    <hyperlink ref="I10" r:id="rId12" display="https://www.ul.c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3"/>
  <legacyDrawing r:id="rId1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false"/>
  </sheetPr>
  <dimension ref="A1:W30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40"/>
    <col collapsed="false" customWidth="true" hidden="false" outlineLevel="0" max="4" min="4" style="0" width="15"/>
    <col collapsed="false" customWidth="true" hidden="false" outlineLevel="0" max="5" min="5" style="0" width="11"/>
    <col collapsed="false" customWidth="true" hidden="false" outlineLevel="0" max="6" min="6" style="0" width="13"/>
    <col collapsed="false" customWidth="true" hidden="false" outlineLevel="0" max="7" min="7" style="0" width="18"/>
    <col collapsed="false" customWidth="true" hidden="false" outlineLevel="0" max="9" min="8" style="0" width="28"/>
    <col collapsed="false" customWidth="true" hidden="false" outlineLevel="0" max="10" min="10" style="0" width="18"/>
    <col collapsed="false" customWidth="true" hidden="false" outlineLevel="0" max="11" min="11" style="0" width="28"/>
    <col collapsed="false" customWidth="true" hidden="false" outlineLevel="0" max="12" min="12" style="0" width="20"/>
    <col collapsed="false" customWidth="true" hidden="false" outlineLevel="0" max="13" min="13" style="0" width="18"/>
    <col collapsed="false" customWidth="true" hidden="false" outlineLevel="0" max="14" min="14" style="0" width="24"/>
    <col collapsed="false" customWidth="true" hidden="false" outlineLevel="0" max="16" min="15" style="0" width="15"/>
    <col collapsed="false" customWidth="true" hidden="false" outlineLevel="0" max="17" min="17" style="0" width="12"/>
    <col collapsed="false" customWidth="true" hidden="false" outlineLevel="0" max="18" min="18" style="0" width="14"/>
    <col collapsed="false" customWidth="true" hidden="false" outlineLevel="0" max="19" min="19" style="0" width="24"/>
    <col collapsed="false" customWidth="true" hidden="false" outlineLevel="0" max="20" min="20" style="0" width="13"/>
    <col collapsed="false" customWidth="true" hidden="false" outlineLevel="0" max="22" min="21" style="0" width="45"/>
    <col collapsed="false" customWidth="true" hidden="false" outlineLevel="0" max="23" min="23" style="0" width="13"/>
  </cols>
  <sheetData>
    <row r="1" customFormat="false" ht="17.35" hidden="false" customHeight="false" outlineLevel="0" collapsed="false">
      <c r="A1" s="16" t="s">
        <v>568</v>
      </c>
    </row>
    <row r="2" customFormat="false" ht="15" hidden="false" customHeight="false" outlineLevel="0" collapsed="false">
      <c r="A2" s="2" t="s">
        <v>87</v>
      </c>
    </row>
    <row r="3" customFormat="false" ht="15" hidden="false" customHeight="false" outlineLevel="0" collapsed="false">
      <c r="A3" s="22" t="s">
        <v>58</v>
      </c>
      <c r="B3" s="22"/>
      <c r="C3" s="22"/>
      <c r="D3" s="23" t="s">
        <v>60</v>
      </c>
      <c r="E3" s="23"/>
      <c r="F3" s="23"/>
      <c r="G3" s="23"/>
      <c r="H3" s="23"/>
      <c r="I3" s="24" t="s">
        <v>61</v>
      </c>
      <c r="J3" s="24"/>
      <c r="K3" s="24"/>
      <c r="L3" s="24"/>
      <c r="M3" s="24"/>
      <c r="N3" s="24"/>
      <c r="O3" s="24"/>
      <c r="P3" s="25" t="s">
        <v>62</v>
      </c>
      <c r="Q3" s="25"/>
      <c r="R3" s="25"/>
      <c r="S3" s="26" t="s">
        <v>32</v>
      </c>
      <c r="T3" s="26"/>
      <c r="U3" s="26"/>
      <c r="V3" s="27" t="s">
        <v>34</v>
      </c>
      <c r="W3" s="27"/>
    </row>
    <row r="4" customFormat="false" ht="31.5" hidden="false" customHeight="true" outlineLevel="0" collapsed="false">
      <c r="A4" s="28" t="s">
        <v>88</v>
      </c>
      <c r="B4" s="28" t="s">
        <v>89</v>
      </c>
      <c r="C4" s="28" t="s">
        <v>569</v>
      </c>
      <c r="D4" s="28" t="s">
        <v>91</v>
      </c>
      <c r="E4" s="28" t="s">
        <v>92</v>
      </c>
      <c r="F4" s="28" t="s">
        <v>93</v>
      </c>
      <c r="G4" s="28" t="s">
        <v>94</v>
      </c>
      <c r="H4" s="28" t="s">
        <v>95</v>
      </c>
      <c r="I4" s="28" t="s">
        <v>96</v>
      </c>
      <c r="J4" s="28" t="s">
        <v>97</v>
      </c>
      <c r="K4" s="28" t="s">
        <v>98</v>
      </c>
      <c r="L4" s="28" t="s">
        <v>99</v>
      </c>
      <c r="M4" s="28" t="s">
        <v>100</v>
      </c>
      <c r="N4" s="28" t="s">
        <v>101</v>
      </c>
      <c r="O4" s="28" t="s">
        <v>102</v>
      </c>
      <c r="P4" s="28" t="s">
        <v>103</v>
      </c>
      <c r="Q4" s="28" t="s">
        <v>104</v>
      </c>
      <c r="R4" s="28" t="s">
        <v>105</v>
      </c>
      <c r="S4" s="28" t="s">
        <v>106</v>
      </c>
      <c r="T4" s="28" t="s">
        <v>41</v>
      </c>
      <c r="U4" s="28" t="s">
        <v>107</v>
      </c>
      <c r="V4" s="28" t="s">
        <v>570</v>
      </c>
      <c r="W4" s="28" t="s">
        <v>109</v>
      </c>
    </row>
    <row r="5" customFormat="false" ht="85.05" hidden="false" customHeight="false" outlineLevel="0" collapsed="false">
      <c r="A5" s="29" t="s">
        <v>571</v>
      </c>
      <c r="B5" s="29" t="s">
        <v>572</v>
      </c>
      <c r="C5" s="29" t="s">
        <v>573</v>
      </c>
      <c r="D5" s="29" t="s">
        <v>338</v>
      </c>
      <c r="E5" s="29" t="s">
        <v>184</v>
      </c>
      <c r="F5" s="29" t="s">
        <v>127</v>
      </c>
      <c r="G5" s="29"/>
      <c r="H5" s="29" t="s">
        <v>574</v>
      </c>
      <c r="I5" s="30" t="s">
        <v>575</v>
      </c>
      <c r="J5" s="29"/>
      <c r="K5" s="30" t="s">
        <v>575</v>
      </c>
      <c r="L5" s="31"/>
      <c r="M5" s="31"/>
      <c r="N5" s="31"/>
      <c r="O5" s="31"/>
      <c r="P5" s="29" t="s">
        <v>19</v>
      </c>
      <c r="Q5" s="32" t="n">
        <v>46300</v>
      </c>
      <c r="R5" s="29" t="s">
        <v>117</v>
      </c>
      <c r="S5" s="29" t="s">
        <v>576</v>
      </c>
      <c r="T5" s="29" t="s">
        <v>119</v>
      </c>
      <c r="U5" s="29" t="s">
        <v>577</v>
      </c>
      <c r="V5" s="29" t="s">
        <v>578</v>
      </c>
      <c r="W5" s="29" t="s">
        <v>67</v>
      </c>
    </row>
    <row r="6" customFormat="false" ht="53.7" hidden="false" customHeight="false" outlineLevel="0" collapsed="false">
      <c r="A6" s="29" t="s">
        <v>579</v>
      </c>
      <c r="B6" s="29" t="s">
        <v>580</v>
      </c>
      <c r="C6" s="29" t="s">
        <v>581</v>
      </c>
      <c r="D6" s="29" t="s">
        <v>582</v>
      </c>
      <c r="E6" s="29" t="s">
        <v>244</v>
      </c>
      <c r="F6" s="29" t="s">
        <v>127</v>
      </c>
      <c r="G6" s="29"/>
      <c r="H6" s="29"/>
      <c r="I6" s="30" t="s">
        <v>583</v>
      </c>
      <c r="J6" s="29"/>
      <c r="K6" s="29"/>
      <c r="L6" s="31"/>
      <c r="M6" s="31"/>
      <c r="N6" s="31"/>
      <c r="O6" s="31"/>
      <c r="P6" s="29" t="s">
        <v>19</v>
      </c>
      <c r="Q6" s="32" t="n">
        <v>46300</v>
      </c>
      <c r="R6" s="29" t="s">
        <v>117</v>
      </c>
      <c r="S6" s="29" t="s">
        <v>584</v>
      </c>
      <c r="T6" s="29" t="s">
        <v>119</v>
      </c>
      <c r="U6" s="29" t="s">
        <v>585</v>
      </c>
      <c r="V6" s="29" t="s">
        <v>586</v>
      </c>
      <c r="W6" s="29" t="s">
        <v>67</v>
      </c>
    </row>
    <row r="7" customFormat="false" ht="43.25" hidden="false" customHeight="false" outlineLevel="0" collapsed="false">
      <c r="A7" s="29" t="s">
        <v>587</v>
      </c>
      <c r="B7" s="29" t="s">
        <v>588</v>
      </c>
      <c r="C7" s="29" t="s">
        <v>589</v>
      </c>
      <c r="D7" s="29" t="s">
        <v>590</v>
      </c>
      <c r="E7" s="29" t="s">
        <v>591</v>
      </c>
      <c r="F7" s="29" t="s">
        <v>592</v>
      </c>
      <c r="G7" s="29" t="s">
        <v>593</v>
      </c>
      <c r="H7" s="29"/>
      <c r="I7" s="30" t="s">
        <v>594</v>
      </c>
      <c r="J7" s="29" t="s">
        <v>595</v>
      </c>
      <c r="K7" s="30" t="s">
        <v>596</v>
      </c>
      <c r="L7" s="31"/>
      <c r="M7" s="31"/>
      <c r="N7" s="31"/>
      <c r="O7" s="31"/>
      <c r="P7" s="29" t="s">
        <v>19</v>
      </c>
      <c r="Q7" s="32" t="n">
        <v>46300</v>
      </c>
      <c r="R7" s="29" t="s">
        <v>117</v>
      </c>
      <c r="S7" s="29" t="s">
        <v>597</v>
      </c>
      <c r="T7" s="29" t="s">
        <v>119</v>
      </c>
      <c r="U7" s="29" t="s">
        <v>598</v>
      </c>
      <c r="V7" s="29" t="s">
        <v>599</v>
      </c>
      <c r="W7" s="29" t="s">
        <v>67</v>
      </c>
    </row>
    <row r="8" customFormat="false" ht="64.15" hidden="false" customHeight="false" outlineLevel="0" collapsed="false">
      <c r="A8" s="29" t="s">
        <v>600</v>
      </c>
      <c r="B8" s="29" t="s">
        <v>601</v>
      </c>
      <c r="C8" s="29" t="s">
        <v>602</v>
      </c>
      <c r="D8" s="29" t="s">
        <v>603</v>
      </c>
      <c r="E8" s="29"/>
      <c r="F8" s="29" t="s">
        <v>604</v>
      </c>
      <c r="G8" s="29" t="s">
        <v>605</v>
      </c>
      <c r="H8" s="29"/>
      <c r="I8" s="29"/>
      <c r="J8" s="29"/>
      <c r="K8" s="29"/>
      <c r="L8" s="31"/>
      <c r="M8" s="31"/>
      <c r="N8" s="31"/>
      <c r="O8" s="31"/>
      <c r="P8" s="29" t="s">
        <v>19</v>
      </c>
      <c r="Q8" s="32" t="n">
        <v>46300</v>
      </c>
      <c r="R8" s="29" t="s">
        <v>117</v>
      </c>
      <c r="S8" s="29" t="s">
        <v>606</v>
      </c>
      <c r="T8" s="29" t="s">
        <v>119</v>
      </c>
      <c r="U8" s="29" t="s">
        <v>607</v>
      </c>
      <c r="V8" s="29" t="s">
        <v>608</v>
      </c>
      <c r="W8" s="29" t="s">
        <v>67</v>
      </c>
    </row>
    <row r="9" customFormat="false" ht="53.7" hidden="false" customHeight="false" outlineLevel="0" collapsed="false">
      <c r="A9" s="29" t="s">
        <v>609</v>
      </c>
      <c r="B9" s="29" t="s">
        <v>610</v>
      </c>
      <c r="C9" s="29" t="s">
        <v>611</v>
      </c>
      <c r="D9" s="29" t="s">
        <v>612</v>
      </c>
      <c r="E9" s="29" t="s">
        <v>613</v>
      </c>
      <c r="F9" s="29" t="s">
        <v>604</v>
      </c>
      <c r="G9" s="29"/>
      <c r="H9" s="29"/>
      <c r="I9" s="30" t="s">
        <v>614</v>
      </c>
      <c r="J9" s="29"/>
      <c r="K9" s="29"/>
      <c r="L9" s="31"/>
      <c r="M9" s="31"/>
      <c r="N9" s="31"/>
      <c r="O9" s="31"/>
      <c r="P9" s="29" t="s">
        <v>19</v>
      </c>
      <c r="Q9" s="32" t="n">
        <v>46300</v>
      </c>
      <c r="R9" s="29" t="s">
        <v>117</v>
      </c>
      <c r="S9" s="29" t="s">
        <v>615</v>
      </c>
      <c r="T9" s="29" t="s">
        <v>119</v>
      </c>
      <c r="U9" s="29" t="s">
        <v>616</v>
      </c>
      <c r="V9" s="29" t="s">
        <v>617</v>
      </c>
      <c r="W9" s="29" t="s">
        <v>119</v>
      </c>
    </row>
    <row r="10" customFormat="false" ht="74.6" hidden="false" customHeight="false" outlineLevel="0" collapsed="false">
      <c r="A10" s="29" t="s">
        <v>618</v>
      </c>
      <c r="B10" s="29" t="s">
        <v>619</v>
      </c>
      <c r="C10" s="29" t="s">
        <v>620</v>
      </c>
      <c r="D10" s="29" t="s">
        <v>621</v>
      </c>
      <c r="E10" s="29"/>
      <c r="F10" s="29" t="s">
        <v>622</v>
      </c>
      <c r="G10" s="29" t="s">
        <v>623</v>
      </c>
      <c r="H10" s="29" t="s">
        <v>624</v>
      </c>
      <c r="I10" s="30" t="s">
        <v>625</v>
      </c>
      <c r="J10" s="29" t="s">
        <v>626</v>
      </c>
      <c r="K10" s="30" t="s">
        <v>627</v>
      </c>
      <c r="L10" s="31"/>
      <c r="M10" s="31"/>
      <c r="N10" s="31"/>
      <c r="O10" s="31"/>
      <c r="P10" s="29" t="s">
        <v>19</v>
      </c>
      <c r="Q10" s="32" t="n">
        <v>46300</v>
      </c>
      <c r="R10" s="29" t="s">
        <v>117</v>
      </c>
      <c r="S10" s="29" t="s">
        <v>628</v>
      </c>
      <c r="T10" s="29" t="s">
        <v>119</v>
      </c>
      <c r="U10" s="29" t="s">
        <v>629</v>
      </c>
      <c r="V10" s="29" t="s">
        <v>630</v>
      </c>
      <c r="W10" s="29" t="s">
        <v>67</v>
      </c>
    </row>
    <row r="11" customFormat="false" ht="43.25" hidden="false" customHeight="false" outlineLevel="0" collapsed="false">
      <c r="A11" s="29" t="s">
        <v>631</v>
      </c>
      <c r="B11" s="29" t="s">
        <v>632</v>
      </c>
      <c r="C11" s="29" t="s">
        <v>633</v>
      </c>
      <c r="D11" s="29" t="s">
        <v>634</v>
      </c>
      <c r="E11" s="29" t="s">
        <v>210</v>
      </c>
      <c r="F11" s="29" t="s">
        <v>127</v>
      </c>
      <c r="G11" s="29"/>
      <c r="H11" s="29"/>
      <c r="I11" s="30" t="s">
        <v>635</v>
      </c>
      <c r="J11" s="29" t="s">
        <v>636</v>
      </c>
      <c r="K11" s="30" t="s">
        <v>637</v>
      </c>
      <c r="L11" s="31"/>
      <c r="M11" s="31"/>
      <c r="N11" s="31"/>
      <c r="O11" s="31"/>
      <c r="P11" s="29" t="s">
        <v>19</v>
      </c>
      <c r="Q11" s="32" t="n">
        <v>46300</v>
      </c>
      <c r="R11" s="29" t="s">
        <v>117</v>
      </c>
      <c r="S11" s="29" t="s">
        <v>214</v>
      </c>
      <c r="T11" s="29" t="s">
        <v>119</v>
      </c>
      <c r="U11" s="29" t="s">
        <v>638</v>
      </c>
      <c r="V11" s="29" t="s">
        <v>639</v>
      </c>
      <c r="W11" s="29" t="s">
        <v>67</v>
      </c>
    </row>
    <row r="12" customFormat="false" ht="43.25" hidden="false" customHeight="false" outlineLevel="0" collapsed="false">
      <c r="A12" s="29" t="s">
        <v>640</v>
      </c>
      <c r="B12" s="29" t="s">
        <v>641</v>
      </c>
      <c r="C12" s="29" t="s">
        <v>642</v>
      </c>
      <c r="D12" s="29" t="s">
        <v>643</v>
      </c>
      <c r="E12" s="29" t="s">
        <v>644</v>
      </c>
      <c r="F12" s="29" t="s">
        <v>592</v>
      </c>
      <c r="G12" s="29"/>
      <c r="H12" s="29" t="s">
        <v>645</v>
      </c>
      <c r="I12" s="30" t="s">
        <v>646</v>
      </c>
      <c r="J12" s="29"/>
      <c r="K12" s="29"/>
      <c r="L12" s="31"/>
      <c r="M12" s="31"/>
      <c r="N12" s="31"/>
      <c r="O12" s="31"/>
      <c r="P12" s="29" t="s">
        <v>19</v>
      </c>
      <c r="Q12" s="32" t="n">
        <v>46300</v>
      </c>
      <c r="R12" s="29" t="s">
        <v>117</v>
      </c>
      <c r="S12" s="29" t="s">
        <v>647</v>
      </c>
      <c r="T12" s="29" t="s">
        <v>119</v>
      </c>
      <c r="U12" s="29" t="s">
        <v>648</v>
      </c>
      <c r="V12" s="29" t="s">
        <v>649</v>
      </c>
      <c r="W12" s="29" t="s">
        <v>67</v>
      </c>
    </row>
    <row r="13" customFormat="false" ht="53.7" hidden="false" customHeight="false" outlineLevel="0" collapsed="false">
      <c r="A13" s="29" t="s">
        <v>650</v>
      </c>
      <c r="B13" s="29" t="s">
        <v>651</v>
      </c>
      <c r="C13" s="29" t="s">
        <v>652</v>
      </c>
      <c r="D13" s="29" t="s">
        <v>653</v>
      </c>
      <c r="E13" s="29" t="s">
        <v>654</v>
      </c>
      <c r="F13" s="29" t="s">
        <v>139</v>
      </c>
      <c r="G13" s="29"/>
      <c r="H13" s="29" t="s">
        <v>655</v>
      </c>
      <c r="I13" s="30" t="s">
        <v>656</v>
      </c>
      <c r="J13" s="29"/>
      <c r="K13" s="29"/>
      <c r="L13" s="31"/>
      <c r="M13" s="31"/>
      <c r="N13" s="31"/>
      <c r="O13" s="31"/>
      <c r="P13" s="29" t="s">
        <v>19</v>
      </c>
      <c r="Q13" s="32" t="n">
        <v>46300</v>
      </c>
      <c r="R13" s="29" t="s">
        <v>117</v>
      </c>
      <c r="S13" s="29" t="s">
        <v>657</v>
      </c>
      <c r="T13" s="29" t="s">
        <v>119</v>
      </c>
      <c r="U13" s="29" t="s">
        <v>658</v>
      </c>
      <c r="V13" s="29" t="s">
        <v>659</v>
      </c>
      <c r="W13" s="29" t="s">
        <v>67</v>
      </c>
    </row>
    <row r="14" customFormat="false" ht="53.7" hidden="false" customHeight="false" outlineLevel="0" collapsed="false">
      <c r="A14" s="29" t="s">
        <v>660</v>
      </c>
      <c r="B14" s="29" t="s">
        <v>661</v>
      </c>
      <c r="C14" s="29" t="s">
        <v>662</v>
      </c>
      <c r="D14" s="29" t="s">
        <v>663</v>
      </c>
      <c r="E14" s="29" t="s">
        <v>126</v>
      </c>
      <c r="F14" s="29" t="s">
        <v>127</v>
      </c>
      <c r="G14" s="29"/>
      <c r="H14" s="29"/>
      <c r="I14" s="30" t="s">
        <v>664</v>
      </c>
      <c r="J14" s="29"/>
      <c r="K14" s="30" t="s">
        <v>665</v>
      </c>
      <c r="L14" s="31"/>
      <c r="M14" s="31"/>
      <c r="N14" s="31"/>
      <c r="O14" s="31"/>
      <c r="P14" s="29" t="s">
        <v>19</v>
      </c>
      <c r="Q14" s="32" t="n">
        <v>46300</v>
      </c>
      <c r="R14" s="29" t="s">
        <v>117</v>
      </c>
      <c r="S14" s="29" t="s">
        <v>666</v>
      </c>
      <c r="T14" s="29" t="s">
        <v>119</v>
      </c>
      <c r="U14" s="29" t="s">
        <v>667</v>
      </c>
      <c r="V14" s="29" t="s">
        <v>668</v>
      </c>
      <c r="W14" s="29" t="s">
        <v>67</v>
      </c>
    </row>
    <row r="15" customFormat="false" ht="15" hidden="false" customHeight="false" outlineLevel="0" collapsed="false">
      <c r="A15" s="29"/>
      <c r="B15" s="29"/>
      <c r="C15" s="29"/>
      <c r="D15" s="29"/>
      <c r="E15" s="29"/>
      <c r="F15" s="29"/>
      <c r="G15" s="29"/>
      <c r="H15" s="29"/>
      <c r="I15" s="29"/>
      <c r="J15" s="29"/>
      <c r="K15" s="29"/>
      <c r="L15" s="31"/>
      <c r="M15" s="31"/>
      <c r="N15" s="31"/>
      <c r="O15" s="31"/>
      <c r="P15" s="29"/>
      <c r="Q15" s="32"/>
      <c r="R15" s="29"/>
      <c r="S15" s="29"/>
      <c r="T15" s="29"/>
      <c r="U15" s="29"/>
      <c r="V15" s="29"/>
      <c r="W15" s="29"/>
    </row>
    <row r="16" customFormat="false" ht="15" hidden="false" customHeight="false" outlineLevel="0" collapsed="false">
      <c r="A16" s="29"/>
      <c r="B16" s="29"/>
      <c r="C16" s="29"/>
      <c r="D16" s="29"/>
      <c r="E16" s="29"/>
      <c r="F16" s="29"/>
      <c r="G16" s="29"/>
      <c r="H16" s="29"/>
      <c r="I16" s="29"/>
      <c r="J16" s="29"/>
      <c r="K16" s="29"/>
      <c r="L16" s="31"/>
      <c r="M16" s="31"/>
      <c r="N16" s="31"/>
      <c r="O16" s="31"/>
      <c r="P16" s="29"/>
      <c r="Q16" s="32"/>
      <c r="R16" s="29"/>
      <c r="S16" s="29"/>
      <c r="T16" s="29"/>
      <c r="U16" s="29"/>
      <c r="V16" s="29"/>
      <c r="W16" s="29"/>
    </row>
    <row r="17" customFormat="false" ht="15" hidden="false" customHeight="false" outlineLevel="0" collapsed="false">
      <c r="A17" s="29"/>
      <c r="B17" s="29"/>
      <c r="C17" s="29"/>
      <c r="D17" s="29"/>
      <c r="E17" s="29"/>
      <c r="F17" s="29"/>
      <c r="G17" s="29"/>
      <c r="H17" s="29"/>
      <c r="I17" s="29"/>
      <c r="J17" s="29"/>
      <c r="K17" s="29"/>
      <c r="L17" s="31"/>
      <c r="M17" s="31"/>
      <c r="N17" s="31"/>
      <c r="O17" s="31"/>
      <c r="P17" s="29"/>
      <c r="Q17" s="32"/>
      <c r="R17" s="29"/>
      <c r="S17" s="29"/>
      <c r="T17" s="29"/>
      <c r="U17" s="29"/>
      <c r="V17" s="29"/>
      <c r="W17" s="29"/>
    </row>
    <row r="18" customFormat="false" ht="15" hidden="false" customHeight="false" outlineLevel="0" collapsed="false">
      <c r="A18" s="29"/>
      <c r="B18" s="29"/>
      <c r="C18" s="29"/>
      <c r="D18" s="29"/>
      <c r="E18" s="29"/>
      <c r="F18" s="29"/>
      <c r="G18" s="29"/>
      <c r="H18" s="29"/>
      <c r="I18" s="29"/>
      <c r="J18" s="29"/>
      <c r="K18" s="29"/>
      <c r="L18" s="31"/>
      <c r="M18" s="31"/>
      <c r="N18" s="31"/>
      <c r="O18" s="31"/>
      <c r="P18" s="29"/>
      <c r="Q18" s="32"/>
      <c r="R18" s="29"/>
      <c r="S18" s="29"/>
      <c r="T18" s="29"/>
      <c r="U18" s="29"/>
      <c r="V18" s="29"/>
      <c r="W18" s="29"/>
    </row>
    <row r="19" customFormat="false" ht="15" hidden="false" customHeight="false" outlineLevel="0" collapsed="false">
      <c r="A19" s="29"/>
      <c r="B19" s="29"/>
      <c r="C19" s="29"/>
      <c r="D19" s="29"/>
      <c r="E19" s="29"/>
      <c r="F19" s="29"/>
      <c r="G19" s="29"/>
      <c r="H19" s="29"/>
      <c r="I19" s="29"/>
      <c r="J19" s="29"/>
      <c r="K19" s="29"/>
      <c r="L19" s="31"/>
      <c r="M19" s="31"/>
      <c r="N19" s="31"/>
      <c r="O19" s="31"/>
      <c r="P19" s="29"/>
      <c r="Q19" s="32"/>
      <c r="R19" s="29"/>
      <c r="S19" s="29"/>
      <c r="T19" s="29"/>
      <c r="U19" s="29"/>
      <c r="V19" s="29"/>
      <c r="W19" s="29"/>
    </row>
    <row r="20" customFormat="false" ht="15" hidden="false" customHeight="false" outlineLevel="0" collapsed="false">
      <c r="A20" s="29"/>
      <c r="B20" s="29"/>
      <c r="C20" s="29"/>
      <c r="D20" s="29"/>
      <c r="E20" s="29"/>
      <c r="F20" s="29"/>
      <c r="G20" s="29"/>
      <c r="H20" s="29"/>
      <c r="I20" s="29"/>
      <c r="J20" s="29"/>
      <c r="K20" s="29"/>
      <c r="L20" s="31"/>
      <c r="M20" s="31"/>
      <c r="N20" s="31"/>
      <c r="O20" s="31"/>
      <c r="P20" s="29"/>
      <c r="Q20" s="32"/>
      <c r="R20" s="29"/>
      <c r="S20" s="29"/>
      <c r="T20" s="29"/>
      <c r="U20" s="29"/>
      <c r="V20" s="29"/>
      <c r="W20" s="29"/>
    </row>
    <row r="21" customFormat="false" ht="15" hidden="false" customHeight="false" outlineLevel="0" collapsed="false">
      <c r="A21" s="29"/>
      <c r="B21" s="29"/>
      <c r="C21" s="29"/>
      <c r="D21" s="29"/>
      <c r="E21" s="29"/>
      <c r="F21" s="29"/>
      <c r="G21" s="29"/>
      <c r="H21" s="29"/>
      <c r="I21" s="29"/>
      <c r="J21" s="29"/>
      <c r="K21" s="29"/>
      <c r="L21" s="31"/>
      <c r="M21" s="31"/>
      <c r="N21" s="31"/>
      <c r="O21" s="31"/>
      <c r="P21" s="29"/>
      <c r="Q21" s="32"/>
      <c r="R21" s="29"/>
      <c r="S21" s="29"/>
      <c r="T21" s="29"/>
      <c r="U21" s="29"/>
      <c r="V21" s="29"/>
      <c r="W21" s="29"/>
    </row>
    <row r="22" customFormat="false" ht="15" hidden="false" customHeight="false" outlineLevel="0" collapsed="false">
      <c r="A22" s="29"/>
      <c r="B22" s="29"/>
      <c r="C22" s="29"/>
      <c r="D22" s="29"/>
      <c r="E22" s="29"/>
      <c r="F22" s="29"/>
      <c r="G22" s="29"/>
      <c r="H22" s="29"/>
      <c r="I22" s="29"/>
      <c r="J22" s="29"/>
      <c r="K22" s="29"/>
      <c r="L22" s="31"/>
      <c r="M22" s="31"/>
      <c r="N22" s="31"/>
      <c r="O22" s="31"/>
      <c r="P22" s="29"/>
      <c r="Q22" s="32"/>
      <c r="R22" s="29"/>
      <c r="S22" s="29"/>
      <c r="T22" s="29"/>
      <c r="U22" s="29"/>
      <c r="V22" s="29"/>
      <c r="W22" s="29"/>
    </row>
    <row r="23" customFormat="false" ht="15" hidden="false" customHeight="false" outlineLevel="0" collapsed="false">
      <c r="A23" s="29"/>
      <c r="B23" s="29"/>
      <c r="C23" s="29"/>
      <c r="D23" s="29"/>
      <c r="E23" s="29"/>
      <c r="F23" s="29"/>
      <c r="G23" s="29"/>
      <c r="H23" s="29"/>
      <c r="I23" s="29"/>
      <c r="J23" s="29"/>
      <c r="K23" s="29"/>
      <c r="L23" s="31"/>
      <c r="M23" s="31"/>
      <c r="N23" s="31"/>
      <c r="O23" s="31"/>
      <c r="P23" s="29"/>
      <c r="Q23" s="32"/>
      <c r="R23" s="29"/>
      <c r="S23" s="29"/>
      <c r="T23" s="29"/>
      <c r="U23" s="29"/>
      <c r="V23" s="29"/>
      <c r="W23" s="29"/>
    </row>
    <row r="24" customFormat="false" ht="15" hidden="false" customHeight="false" outlineLevel="0" collapsed="false">
      <c r="A24" s="29"/>
      <c r="B24" s="29"/>
      <c r="C24" s="29"/>
      <c r="D24" s="29"/>
      <c r="E24" s="29"/>
      <c r="F24" s="29"/>
      <c r="G24" s="29"/>
      <c r="H24" s="29"/>
      <c r="I24" s="29"/>
      <c r="J24" s="29"/>
      <c r="K24" s="29"/>
      <c r="L24" s="31"/>
      <c r="M24" s="31"/>
      <c r="N24" s="31"/>
      <c r="O24" s="31"/>
      <c r="P24" s="29"/>
      <c r="Q24" s="32"/>
      <c r="R24" s="29"/>
      <c r="S24" s="29"/>
      <c r="T24" s="29"/>
      <c r="U24" s="29"/>
      <c r="V24" s="29"/>
      <c r="W24" s="29"/>
    </row>
    <row r="25" customFormat="false" ht="15" hidden="false" customHeight="false" outlineLevel="0" collapsed="false">
      <c r="A25" s="29"/>
      <c r="B25" s="29"/>
      <c r="C25" s="29"/>
      <c r="D25" s="29"/>
      <c r="E25" s="29"/>
      <c r="F25" s="29"/>
      <c r="G25" s="29"/>
      <c r="H25" s="29"/>
      <c r="I25" s="29"/>
      <c r="J25" s="29"/>
      <c r="K25" s="29"/>
      <c r="L25" s="31"/>
      <c r="M25" s="31"/>
      <c r="N25" s="31"/>
      <c r="O25" s="31"/>
      <c r="P25" s="29"/>
      <c r="Q25" s="32"/>
      <c r="R25" s="29"/>
      <c r="S25" s="29"/>
      <c r="T25" s="29"/>
      <c r="U25" s="29"/>
      <c r="V25" s="29"/>
      <c r="W25" s="29"/>
    </row>
    <row r="26" customFormat="false" ht="15" hidden="false" customHeight="false" outlineLevel="0" collapsed="false">
      <c r="A26" s="29"/>
      <c r="B26" s="29"/>
      <c r="C26" s="29"/>
      <c r="D26" s="29"/>
      <c r="E26" s="29"/>
      <c r="F26" s="29"/>
      <c r="G26" s="29"/>
      <c r="H26" s="29"/>
      <c r="I26" s="29"/>
      <c r="J26" s="29"/>
      <c r="K26" s="29"/>
      <c r="L26" s="31"/>
      <c r="M26" s="31"/>
      <c r="N26" s="31"/>
      <c r="O26" s="31"/>
      <c r="P26" s="29"/>
      <c r="Q26" s="32"/>
      <c r="R26" s="29"/>
      <c r="S26" s="29"/>
      <c r="T26" s="29"/>
      <c r="U26" s="29"/>
      <c r="V26" s="29"/>
      <c r="W26" s="29"/>
    </row>
    <row r="27" customFormat="false" ht="15" hidden="false" customHeight="false" outlineLevel="0" collapsed="false">
      <c r="A27" s="29"/>
      <c r="B27" s="29"/>
      <c r="C27" s="29"/>
      <c r="D27" s="29"/>
      <c r="E27" s="29"/>
      <c r="F27" s="29"/>
      <c r="G27" s="29"/>
      <c r="H27" s="29"/>
      <c r="I27" s="29"/>
      <c r="J27" s="29"/>
      <c r="K27" s="29"/>
      <c r="L27" s="31"/>
      <c r="M27" s="31"/>
      <c r="N27" s="31"/>
      <c r="O27" s="31"/>
      <c r="P27" s="29"/>
      <c r="Q27" s="32"/>
      <c r="R27" s="29"/>
      <c r="S27" s="29"/>
      <c r="T27" s="29"/>
      <c r="U27" s="29"/>
      <c r="V27" s="29"/>
      <c r="W27" s="29"/>
    </row>
    <row r="28" customFormat="false" ht="15" hidden="false" customHeight="false" outlineLevel="0" collapsed="false">
      <c r="A28" s="29"/>
      <c r="B28" s="29"/>
      <c r="C28" s="29"/>
      <c r="D28" s="29"/>
      <c r="E28" s="29"/>
      <c r="F28" s="29"/>
      <c r="G28" s="29"/>
      <c r="H28" s="29"/>
      <c r="I28" s="29"/>
      <c r="J28" s="29"/>
      <c r="K28" s="29"/>
      <c r="L28" s="31"/>
      <c r="M28" s="31"/>
      <c r="N28" s="31"/>
      <c r="O28" s="31"/>
      <c r="P28" s="29"/>
      <c r="Q28" s="32"/>
      <c r="R28" s="29"/>
      <c r="S28" s="29"/>
      <c r="T28" s="29"/>
      <c r="U28" s="29"/>
      <c r="V28" s="29"/>
      <c r="W28" s="29"/>
    </row>
    <row r="29" customFormat="false" ht="15" hidden="false" customHeight="false" outlineLevel="0" collapsed="false">
      <c r="A29" s="29"/>
      <c r="B29" s="29"/>
      <c r="C29" s="29"/>
      <c r="D29" s="29"/>
      <c r="E29" s="29"/>
      <c r="F29" s="29"/>
      <c r="G29" s="29"/>
      <c r="H29" s="29"/>
      <c r="I29" s="29"/>
      <c r="J29" s="29"/>
      <c r="K29" s="29"/>
      <c r="L29" s="31"/>
      <c r="M29" s="31"/>
      <c r="N29" s="31"/>
      <c r="O29" s="31"/>
      <c r="P29" s="29"/>
      <c r="Q29" s="32"/>
      <c r="R29" s="29"/>
      <c r="S29" s="29"/>
      <c r="T29" s="29"/>
      <c r="U29" s="29"/>
      <c r="V29" s="29"/>
      <c r="W29" s="29"/>
    </row>
    <row r="30" customFormat="false" ht="15" hidden="false" customHeight="false" outlineLevel="0" collapsed="false">
      <c r="A30" s="33"/>
      <c r="B30" s="33"/>
      <c r="C30" s="33"/>
      <c r="D30" s="33"/>
      <c r="E30" s="33"/>
      <c r="F30" s="33"/>
      <c r="G30" s="33"/>
      <c r="H30" s="33"/>
      <c r="I30" s="33"/>
      <c r="J30" s="33"/>
      <c r="K30" s="33"/>
      <c r="L30" s="34"/>
      <c r="M30" s="34"/>
      <c r="N30" s="34"/>
      <c r="O30" s="34"/>
      <c r="P30" s="33"/>
      <c r="Q30" s="35"/>
      <c r="R30" s="33"/>
      <c r="S30" s="33"/>
      <c r="T30" s="33"/>
      <c r="U30" s="33"/>
      <c r="V30" s="33"/>
      <c r="W30" s="33"/>
    </row>
    <row r="31" customFormat="false" ht="15" hidden="false" customHeight="false" outlineLevel="0" collapsed="false">
      <c r="A31" s="33"/>
      <c r="B31" s="33"/>
      <c r="C31" s="33"/>
      <c r="D31" s="33"/>
      <c r="E31" s="33"/>
      <c r="F31" s="33"/>
      <c r="G31" s="33"/>
      <c r="H31" s="33"/>
      <c r="I31" s="33"/>
      <c r="J31" s="33"/>
      <c r="K31" s="33"/>
      <c r="L31" s="34"/>
      <c r="M31" s="34"/>
      <c r="N31" s="34"/>
      <c r="O31" s="34"/>
      <c r="P31" s="33"/>
      <c r="Q31" s="35"/>
      <c r="R31" s="33"/>
      <c r="S31" s="33"/>
      <c r="T31" s="33"/>
      <c r="U31" s="33"/>
      <c r="V31" s="33"/>
      <c r="W31" s="33"/>
    </row>
    <row r="32" customFormat="false" ht="15" hidden="false" customHeight="false" outlineLevel="0" collapsed="false">
      <c r="A32" s="33"/>
      <c r="B32" s="33"/>
      <c r="C32" s="33"/>
      <c r="D32" s="33"/>
      <c r="E32" s="33"/>
      <c r="F32" s="33"/>
      <c r="G32" s="33"/>
      <c r="H32" s="33"/>
      <c r="I32" s="33"/>
      <c r="J32" s="33"/>
      <c r="K32" s="33"/>
      <c r="L32" s="34"/>
      <c r="M32" s="34"/>
      <c r="N32" s="34"/>
      <c r="O32" s="34"/>
      <c r="P32" s="33"/>
      <c r="Q32" s="35"/>
      <c r="R32" s="33"/>
      <c r="S32" s="33"/>
      <c r="T32" s="33"/>
      <c r="U32" s="33"/>
      <c r="V32" s="33"/>
      <c r="W32" s="33"/>
    </row>
    <row r="33" customFormat="false" ht="15" hidden="false" customHeight="false" outlineLevel="0" collapsed="false">
      <c r="A33" s="33"/>
      <c r="B33" s="33"/>
      <c r="C33" s="33"/>
      <c r="D33" s="33"/>
      <c r="E33" s="33"/>
      <c r="F33" s="33"/>
      <c r="G33" s="33"/>
      <c r="H33" s="33"/>
      <c r="I33" s="33"/>
      <c r="J33" s="33"/>
      <c r="K33" s="33"/>
      <c r="L33" s="34"/>
      <c r="M33" s="34"/>
      <c r="N33" s="34"/>
      <c r="O33" s="34"/>
      <c r="P33" s="33"/>
      <c r="Q33" s="35"/>
      <c r="R33" s="33"/>
      <c r="S33" s="33"/>
      <c r="T33" s="33"/>
      <c r="U33" s="33"/>
      <c r="V33" s="33"/>
      <c r="W33" s="33"/>
    </row>
    <row r="34" customFormat="false" ht="15" hidden="false" customHeight="false" outlineLevel="0" collapsed="false">
      <c r="A34" s="33"/>
      <c r="B34" s="33"/>
      <c r="C34" s="33"/>
      <c r="D34" s="33"/>
      <c r="E34" s="33"/>
      <c r="F34" s="33"/>
      <c r="G34" s="33"/>
      <c r="H34" s="33"/>
      <c r="I34" s="33"/>
      <c r="J34" s="33"/>
      <c r="K34" s="33"/>
      <c r="L34" s="34"/>
      <c r="M34" s="34"/>
      <c r="N34" s="34"/>
      <c r="O34" s="34"/>
      <c r="P34" s="33"/>
      <c r="Q34" s="35"/>
      <c r="R34" s="33"/>
      <c r="S34" s="33"/>
      <c r="T34" s="33"/>
      <c r="U34" s="33"/>
      <c r="V34" s="33"/>
      <c r="W34" s="33"/>
    </row>
    <row r="35" customFormat="false" ht="15" hidden="false" customHeight="false" outlineLevel="0" collapsed="false">
      <c r="A35" s="33"/>
      <c r="B35" s="33"/>
      <c r="C35" s="33"/>
      <c r="D35" s="33"/>
      <c r="E35" s="33"/>
      <c r="F35" s="33"/>
      <c r="G35" s="33"/>
      <c r="H35" s="33"/>
      <c r="I35" s="33"/>
      <c r="J35" s="33"/>
      <c r="K35" s="33"/>
      <c r="L35" s="34"/>
      <c r="M35" s="34"/>
      <c r="N35" s="34"/>
      <c r="O35" s="34"/>
      <c r="P35" s="33"/>
      <c r="Q35" s="35"/>
      <c r="R35" s="33"/>
      <c r="S35" s="33"/>
      <c r="T35" s="33"/>
      <c r="U35" s="33"/>
      <c r="V35" s="33"/>
      <c r="W35" s="33"/>
    </row>
    <row r="36" customFormat="false" ht="15" hidden="false" customHeight="false" outlineLevel="0" collapsed="false">
      <c r="A36" s="33"/>
      <c r="B36" s="33"/>
      <c r="C36" s="33"/>
      <c r="D36" s="33"/>
      <c r="E36" s="33"/>
      <c r="F36" s="33"/>
      <c r="G36" s="33"/>
      <c r="H36" s="33"/>
      <c r="I36" s="33"/>
      <c r="J36" s="33"/>
      <c r="K36" s="33"/>
      <c r="L36" s="34"/>
      <c r="M36" s="34"/>
      <c r="N36" s="34"/>
      <c r="O36" s="34"/>
      <c r="P36" s="33"/>
      <c r="Q36" s="35"/>
      <c r="R36" s="33"/>
      <c r="S36" s="33"/>
      <c r="T36" s="33"/>
      <c r="U36" s="33"/>
      <c r="V36" s="33"/>
      <c r="W36" s="33"/>
    </row>
    <row r="37" customFormat="false" ht="15" hidden="false" customHeight="false" outlineLevel="0" collapsed="false">
      <c r="A37" s="33"/>
      <c r="B37" s="33"/>
      <c r="C37" s="33"/>
      <c r="D37" s="33"/>
      <c r="E37" s="33"/>
      <c r="F37" s="33"/>
      <c r="G37" s="33"/>
      <c r="H37" s="33"/>
      <c r="I37" s="33"/>
      <c r="J37" s="33"/>
      <c r="K37" s="33"/>
      <c r="L37" s="34"/>
      <c r="M37" s="34"/>
      <c r="N37" s="34"/>
      <c r="O37" s="34"/>
      <c r="P37" s="33"/>
      <c r="Q37" s="35"/>
      <c r="R37" s="33"/>
      <c r="S37" s="33"/>
      <c r="T37" s="33"/>
      <c r="U37" s="33"/>
      <c r="V37" s="33"/>
      <c r="W37" s="33"/>
    </row>
    <row r="38" customFormat="false" ht="15" hidden="false" customHeight="false" outlineLevel="0" collapsed="false">
      <c r="A38" s="33"/>
      <c r="B38" s="33"/>
      <c r="C38" s="33"/>
      <c r="D38" s="33"/>
      <c r="E38" s="33"/>
      <c r="F38" s="33"/>
      <c r="G38" s="33"/>
      <c r="H38" s="33"/>
      <c r="I38" s="33"/>
      <c r="J38" s="33"/>
      <c r="K38" s="33"/>
      <c r="L38" s="34"/>
      <c r="M38" s="34"/>
      <c r="N38" s="34"/>
      <c r="O38" s="34"/>
      <c r="P38" s="33"/>
      <c r="Q38" s="35"/>
      <c r="R38" s="33"/>
      <c r="S38" s="33"/>
      <c r="T38" s="33"/>
      <c r="U38" s="33"/>
      <c r="V38" s="33"/>
      <c r="W38" s="33"/>
    </row>
    <row r="39" customFormat="false" ht="15" hidden="false" customHeight="false" outlineLevel="0" collapsed="false">
      <c r="A39" s="33"/>
      <c r="B39" s="33"/>
      <c r="C39" s="33"/>
      <c r="D39" s="33"/>
      <c r="E39" s="33"/>
      <c r="F39" s="33"/>
      <c r="G39" s="33"/>
      <c r="H39" s="33"/>
      <c r="I39" s="33"/>
      <c r="J39" s="33"/>
      <c r="K39" s="33"/>
      <c r="L39" s="34"/>
      <c r="M39" s="34"/>
      <c r="N39" s="34"/>
      <c r="O39" s="34"/>
      <c r="P39" s="33"/>
      <c r="Q39" s="35"/>
      <c r="R39" s="33"/>
      <c r="S39" s="33"/>
      <c r="T39" s="33"/>
      <c r="U39" s="33"/>
      <c r="V39" s="33"/>
      <c r="W39" s="33"/>
    </row>
    <row r="40" customFormat="false" ht="15" hidden="false" customHeight="false" outlineLevel="0" collapsed="false">
      <c r="A40" s="33"/>
      <c r="B40" s="33"/>
      <c r="C40" s="33"/>
      <c r="D40" s="33"/>
      <c r="E40" s="33"/>
      <c r="F40" s="33"/>
      <c r="G40" s="33"/>
      <c r="H40" s="33"/>
      <c r="I40" s="33"/>
      <c r="J40" s="33"/>
      <c r="K40" s="33"/>
      <c r="L40" s="34"/>
      <c r="M40" s="34"/>
      <c r="N40" s="34"/>
      <c r="O40" s="34"/>
      <c r="P40" s="33"/>
      <c r="Q40" s="35"/>
      <c r="R40" s="33"/>
      <c r="S40" s="33"/>
      <c r="T40" s="33"/>
      <c r="U40" s="33"/>
      <c r="V40" s="33"/>
      <c r="W40" s="33"/>
    </row>
    <row r="41" customFormat="false" ht="15" hidden="false" customHeight="false" outlineLevel="0" collapsed="false">
      <c r="A41" s="33"/>
      <c r="B41" s="33"/>
      <c r="C41" s="33"/>
      <c r="D41" s="33"/>
      <c r="E41" s="33"/>
      <c r="F41" s="33"/>
      <c r="G41" s="33"/>
      <c r="H41" s="33"/>
      <c r="I41" s="33"/>
      <c r="J41" s="33"/>
      <c r="K41" s="33"/>
      <c r="L41" s="34"/>
      <c r="M41" s="34"/>
      <c r="N41" s="34"/>
      <c r="O41" s="34"/>
      <c r="P41" s="33"/>
      <c r="Q41" s="35"/>
      <c r="R41" s="33"/>
      <c r="S41" s="33"/>
      <c r="T41" s="33"/>
      <c r="U41" s="33"/>
      <c r="V41" s="33"/>
      <c r="W41" s="33"/>
    </row>
    <row r="42" customFormat="false" ht="15" hidden="false" customHeight="false" outlineLevel="0" collapsed="false">
      <c r="A42" s="33"/>
      <c r="B42" s="33"/>
      <c r="C42" s="33"/>
      <c r="D42" s="33"/>
      <c r="E42" s="33"/>
      <c r="F42" s="33"/>
      <c r="G42" s="33"/>
      <c r="H42" s="33"/>
      <c r="I42" s="33"/>
      <c r="J42" s="33"/>
      <c r="K42" s="33"/>
      <c r="L42" s="34"/>
      <c r="M42" s="34"/>
      <c r="N42" s="34"/>
      <c r="O42" s="34"/>
      <c r="P42" s="33"/>
      <c r="Q42" s="35"/>
      <c r="R42" s="33"/>
      <c r="S42" s="33"/>
      <c r="T42" s="33"/>
      <c r="U42" s="33"/>
      <c r="V42" s="33"/>
      <c r="W42" s="33"/>
    </row>
    <row r="43" customFormat="false" ht="15" hidden="false" customHeight="false" outlineLevel="0" collapsed="false">
      <c r="A43" s="33"/>
      <c r="B43" s="33"/>
      <c r="C43" s="33"/>
      <c r="D43" s="33"/>
      <c r="E43" s="33"/>
      <c r="F43" s="33"/>
      <c r="G43" s="33"/>
      <c r="H43" s="33"/>
      <c r="I43" s="33"/>
      <c r="J43" s="33"/>
      <c r="K43" s="33"/>
      <c r="L43" s="34"/>
      <c r="M43" s="34"/>
      <c r="N43" s="34"/>
      <c r="O43" s="34"/>
      <c r="P43" s="33"/>
      <c r="Q43" s="35"/>
      <c r="R43" s="33"/>
      <c r="S43" s="33"/>
      <c r="T43" s="33"/>
      <c r="U43" s="33"/>
      <c r="V43" s="33"/>
      <c r="W43" s="33"/>
    </row>
    <row r="44" customFormat="false" ht="15" hidden="false" customHeight="false" outlineLevel="0" collapsed="false">
      <c r="A44" s="33"/>
      <c r="B44" s="33"/>
      <c r="C44" s="33"/>
      <c r="D44" s="33"/>
      <c r="E44" s="33"/>
      <c r="F44" s="33"/>
      <c r="G44" s="33"/>
      <c r="H44" s="33"/>
      <c r="I44" s="33"/>
      <c r="J44" s="33"/>
      <c r="K44" s="33"/>
      <c r="L44" s="34"/>
      <c r="M44" s="34"/>
      <c r="N44" s="34"/>
      <c r="O44" s="34"/>
      <c r="P44" s="33"/>
      <c r="Q44" s="35"/>
      <c r="R44" s="33"/>
      <c r="S44" s="33"/>
      <c r="T44" s="33"/>
      <c r="U44" s="33"/>
      <c r="V44" s="33"/>
      <c r="W44" s="33"/>
    </row>
    <row r="45" customFormat="false" ht="15" hidden="false" customHeight="false" outlineLevel="0" collapsed="false">
      <c r="A45" s="33"/>
      <c r="B45" s="33"/>
      <c r="C45" s="33"/>
      <c r="D45" s="33"/>
      <c r="E45" s="33"/>
      <c r="F45" s="33"/>
      <c r="G45" s="33"/>
      <c r="H45" s="33"/>
      <c r="I45" s="33"/>
      <c r="J45" s="33"/>
      <c r="K45" s="33"/>
      <c r="L45" s="34"/>
      <c r="M45" s="34"/>
      <c r="N45" s="34"/>
      <c r="O45" s="34"/>
      <c r="P45" s="33"/>
      <c r="Q45" s="35"/>
      <c r="R45" s="33"/>
      <c r="S45" s="33"/>
      <c r="T45" s="33"/>
      <c r="U45" s="33"/>
      <c r="V45" s="33"/>
      <c r="W45" s="33"/>
    </row>
    <row r="46" customFormat="false" ht="15" hidden="false" customHeight="false" outlineLevel="0" collapsed="false">
      <c r="A46" s="33"/>
      <c r="B46" s="33"/>
      <c r="C46" s="33"/>
      <c r="D46" s="33"/>
      <c r="E46" s="33"/>
      <c r="F46" s="33"/>
      <c r="G46" s="33"/>
      <c r="H46" s="33"/>
      <c r="I46" s="33"/>
      <c r="J46" s="33"/>
      <c r="K46" s="33"/>
      <c r="L46" s="34"/>
      <c r="M46" s="34"/>
      <c r="N46" s="34"/>
      <c r="O46" s="34"/>
      <c r="P46" s="33"/>
      <c r="Q46" s="35"/>
      <c r="R46" s="33"/>
      <c r="S46" s="33"/>
      <c r="T46" s="33"/>
      <c r="U46" s="33"/>
      <c r="V46" s="33"/>
      <c r="W46" s="33"/>
    </row>
    <row r="47" customFormat="false" ht="15" hidden="false" customHeight="false" outlineLevel="0" collapsed="false">
      <c r="A47" s="33"/>
      <c r="B47" s="33"/>
      <c r="C47" s="33"/>
      <c r="D47" s="33"/>
      <c r="E47" s="33"/>
      <c r="F47" s="33"/>
      <c r="G47" s="33"/>
      <c r="H47" s="33"/>
      <c r="I47" s="33"/>
      <c r="J47" s="33"/>
      <c r="K47" s="33"/>
      <c r="L47" s="34"/>
      <c r="M47" s="34"/>
      <c r="N47" s="34"/>
      <c r="O47" s="34"/>
      <c r="P47" s="33"/>
      <c r="Q47" s="35"/>
      <c r="R47" s="33"/>
      <c r="S47" s="33"/>
      <c r="T47" s="33"/>
      <c r="U47" s="33"/>
      <c r="V47" s="33"/>
      <c r="W47" s="33"/>
    </row>
    <row r="48" customFormat="false" ht="15" hidden="false" customHeight="false" outlineLevel="0" collapsed="false">
      <c r="A48" s="33"/>
      <c r="B48" s="33"/>
      <c r="C48" s="33"/>
      <c r="D48" s="33"/>
      <c r="E48" s="33"/>
      <c r="F48" s="33"/>
      <c r="G48" s="33"/>
      <c r="H48" s="33"/>
      <c r="I48" s="33"/>
      <c r="J48" s="33"/>
      <c r="K48" s="33"/>
      <c r="L48" s="34"/>
      <c r="M48" s="34"/>
      <c r="N48" s="34"/>
      <c r="O48" s="34"/>
      <c r="P48" s="33"/>
      <c r="Q48" s="35"/>
      <c r="R48" s="33"/>
      <c r="S48" s="33"/>
      <c r="T48" s="33"/>
      <c r="U48" s="33"/>
      <c r="V48" s="33"/>
      <c r="W48" s="33"/>
    </row>
    <row r="49" customFormat="false" ht="15" hidden="false" customHeight="false" outlineLevel="0" collapsed="false">
      <c r="A49" s="33"/>
      <c r="B49" s="33"/>
      <c r="C49" s="33"/>
      <c r="D49" s="33"/>
      <c r="E49" s="33"/>
      <c r="F49" s="33"/>
      <c r="G49" s="33"/>
      <c r="H49" s="33"/>
      <c r="I49" s="33"/>
      <c r="J49" s="33"/>
      <c r="K49" s="33"/>
      <c r="L49" s="34"/>
      <c r="M49" s="34"/>
      <c r="N49" s="34"/>
      <c r="O49" s="34"/>
      <c r="P49" s="33"/>
      <c r="Q49" s="35"/>
      <c r="R49" s="33"/>
      <c r="S49" s="33"/>
      <c r="T49" s="33"/>
      <c r="U49" s="33"/>
      <c r="V49" s="33"/>
      <c r="W49" s="33"/>
    </row>
    <row r="50" customFormat="false" ht="15" hidden="false" customHeight="false" outlineLevel="0" collapsed="false">
      <c r="A50" s="33"/>
      <c r="B50" s="33"/>
      <c r="C50" s="33"/>
      <c r="D50" s="33"/>
      <c r="E50" s="33"/>
      <c r="F50" s="33"/>
      <c r="G50" s="33"/>
      <c r="H50" s="33"/>
      <c r="I50" s="33"/>
      <c r="J50" s="33"/>
      <c r="K50" s="33"/>
      <c r="L50" s="34"/>
      <c r="M50" s="34"/>
      <c r="N50" s="34"/>
      <c r="O50" s="34"/>
      <c r="P50" s="33"/>
      <c r="Q50" s="35"/>
      <c r="R50" s="33"/>
      <c r="S50" s="33"/>
      <c r="T50" s="33"/>
      <c r="U50" s="33"/>
      <c r="V50" s="33"/>
      <c r="W50" s="33"/>
    </row>
    <row r="51" customFormat="false" ht="15" hidden="false" customHeight="false" outlineLevel="0" collapsed="false">
      <c r="A51" s="33"/>
      <c r="B51" s="33"/>
      <c r="C51" s="33"/>
      <c r="D51" s="33"/>
      <c r="E51" s="33"/>
      <c r="F51" s="33"/>
      <c r="G51" s="33"/>
      <c r="H51" s="33"/>
      <c r="I51" s="33"/>
      <c r="J51" s="33"/>
      <c r="K51" s="33"/>
      <c r="L51" s="34"/>
      <c r="M51" s="34"/>
      <c r="N51" s="34"/>
      <c r="O51" s="34"/>
      <c r="P51" s="33"/>
      <c r="Q51" s="35"/>
      <c r="R51" s="33"/>
      <c r="S51" s="33"/>
      <c r="T51" s="33"/>
      <c r="U51" s="33"/>
      <c r="V51" s="33"/>
      <c r="W51" s="33"/>
    </row>
    <row r="52" customFormat="false" ht="15" hidden="false" customHeight="false" outlineLevel="0" collapsed="false">
      <c r="A52" s="33"/>
      <c r="B52" s="33"/>
      <c r="C52" s="33"/>
      <c r="D52" s="33"/>
      <c r="E52" s="33"/>
      <c r="F52" s="33"/>
      <c r="G52" s="33"/>
      <c r="H52" s="33"/>
      <c r="I52" s="33"/>
      <c r="J52" s="33"/>
      <c r="K52" s="33"/>
      <c r="L52" s="34"/>
      <c r="M52" s="34"/>
      <c r="N52" s="34"/>
      <c r="O52" s="34"/>
      <c r="P52" s="33"/>
      <c r="Q52" s="35"/>
      <c r="R52" s="33"/>
      <c r="S52" s="33"/>
      <c r="T52" s="33"/>
      <c r="U52" s="33"/>
      <c r="V52" s="33"/>
      <c r="W52" s="33"/>
    </row>
    <row r="53" customFormat="false" ht="15" hidden="false" customHeight="false" outlineLevel="0" collapsed="false">
      <c r="A53" s="33"/>
      <c r="B53" s="33"/>
      <c r="C53" s="33"/>
      <c r="D53" s="33"/>
      <c r="E53" s="33"/>
      <c r="F53" s="33"/>
      <c r="G53" s="33"/>
      <c r="H53" s="33"/>
      <c r="I53" s="33"/>
      <c r="J53" s="33"/>
      <c r="K53" s="33"/>
      <c r="L53" s="34"/>
      <c r="M53" s="34"/>
      <c r="N53" s="34"/>
      <c r="O53" s="34"/>
      <c r="P53" s="33"/>
      <c r="Q53" s="35"/>
      <c r="R53" s="33"/>
      <c r="S53" s="33"/>
      <c r="T53" s="33"/>
      <c r="U53" s="33"/>
      <c r="V53" s="33"/>
      <c r="W53" s="33"/>
    </row>
    <row r="54" customFormat="false" ht="15" hidden="false" customHeight="false" outlineLevel="0" collapsed="false">
      <c r="A54" s="33"/>
      <c r="B54" s="33"/>
      <c r="C54" s="33"/>
      <c r="D54" s="33"/>
      <c r="E54" s="33"/>
      <c r="F54" s="33"/>
      <c r="G54" s="33"/>
      <c r="H54" s="33"/>
      <c r="I54" s="33"/>
      <c r="J54" s="33"/>
      <c r="K54" s="33"/>
      <c r="L54" s="34"/>
      <c r="M54" s="34"/>
      <c r="N54" s="34"/>
      <c r="O54" s="34"/>
      <c r="P54" s="33"/>
      <c r="Q54" s="35"/>
      <c r="R54" s="33"/>
      <c r="S54" s="33"/>
      <c r="T54" s="33"/>
      <c r="U54" s="33"/>
      <c r="V54" s="33"/>
      <c r="W54" s="33"/>
    </row>
    <row r="55" customFormat="false" ht="15" hidden="false" customHeight="false" outlineLevel="0" collapsed="false">
      <c r="A55" s="33"/>
      <c r="B55" s="33"/>
      <c r="C55" s="33"/>
      <c r="D55" s="33"/>
      <c r="E55" s="33"/>
      <c r="F55" s="33"/>
      <c r="G55" s="33"/>
      <c r="H55" s="33"/>
      <c r="I55" s="33"/>
      <c r="J55" s="33"/>
      <c r="K55" s="33"/>
      <c r="L55" s="34"/>
      <c r="M55" s="34"/>
      <c r="N55" s="34"/>
      <c r="O55" s="34"/>
      <c r="P55" s="33"/>
      <c r="Q55" s="35"/>
      <c r="R55" s="33"/>
      <c r="S55" s="33"/>
      <c r="T55" s="33"/>
      <c r="U55" s="33"/>
      <c r="V55" s="33"/>
      <c r="W55" s="33"/>
    </row>
    <row r="56" customFormat="false" ht="15" hidden="false" customHeight="false" outlineLevel="0" collapsed="false">
      <c r="A56" s="33"/>
      <c r="B56" s="33"/>
      <c r="C56" s="33"/>
      <c r="D56" s="33"/>
      <c r="E56" s="33"/>
      <c r="F56" s="33"/>
      <c r="G56" s="33"/>
      <c r="H56" s="33"/>
      <c r="I56" s="33"/>
      <c r="J56" s="33"/>
      <c r="K56" s="33"/>
      <c r="L56" s="34"/>
      <c r="M56" s="34"/>
      <c r="N56" s="34"/>
      <c r="O56" s="34"/>
      <c r="P56" s="33"/>
      <c r="Q56" s="35"/>
      <c r="R56" s="33"/>
      <c r="S56" s="33"/>
      <c r="T56" s="33"/>
      <c r="U56" s="33"/>
      <c r="V56" s="33"/>
      <c r="W56" s="33"/>
    </row>
    <row r="57" customFormat="false" ht="15" hidden="false" customHeight="false" outlineLevel="0" collapsed="false">
      <c r="A57" s="33"/>
      <c r="B57" s="33"/>
      <c r="C57" s="33"/>
      <c r="D57" s="33"/>
      <c r="E57" s="33"/>
      <c r="F57" s="33"/>
      <c r="G57" s="33"/>
      <c r="H57" s="33"/>
      <c r="I57" s="33"/>
      <c r="J57" s="33"/>
      <c r="K57" s="33"/>
      <c r="L57" s="34"/>
      <c r="M57" s="34"/>
      <c r="N57" s="34"/>
      <c r="O57" s="34"/>
      <c r="P57" s="33"/>
      <c r="Q57" s="35"/>
      <c r="R57" s="33"/>
      <c r="S57" s="33"/>
      <c r="T57" s="33"/>
      <c r="U57" s="33"/>
      <c r="V57" s="33"/>
      <c r="W57" s="33"/>
    </row>
    <row r="58" customFormat="false" ht="15" hidden="false" customHeight="false" outlineLevel="0" collapsed="false">
      <c r="A58" s="33"/>
      <c r="B58" s="33"/>
      <c r="C58" s="33"/>
      <c r="D58" s="33"/>
      <c r="E58" s="33"/>
      <c r="F58" s="33"/>
      <c r="G58" s="33"/>
      <c r="H58" s="33"/>
      <c r="I58" s="33"/>
      <c r="J58" s="33"/>
      <c r="K58" s="33"/>
      <c r="L58" s="34"/>
      <c r="M58" s="34"/>
      <c r="N58" s="34"/>
      <c r="O58" s="34"/>
      <c r="P58" s="33"/>
      <c r="Q58" s="35"/>
      <c r="R58" s="33"/>
      <c r="S58" s="33"/>
      <c r="T58" s="33"/>
      <c r="U58" s="33"/>
      <c r="V58" s="33"/>
      <c r="W58" s="33"/>
    </row>
    <row r="59" customFormat="false" ht="15" hidden="false" customHeight="false" outlineLevel="0" collapsed="false">
      <c r="A59" s="33"/>
      <c r="B59" s="33"/>
      <c r="C59" s="33"/>
      <c r="D59" s="33"/>
      <c r="E59" s="33"/>
      <c r="F59" s="33"/>
      <c r="G59" s="33"/>
      <c r="H59" s="33"/>
      <c r="I59" s="33"/>
      <c r="J59" s="33"/>
      <c r="K59" s="33"/>
      <c r="L59" s="34"/>
      <c r="M59" s="34"/>
      <c r="N59" s="34"/>
      <c r="O59" s="34"/>
      <c r="P59" s="33"/>
      <c r="Q59" s="35"/>
      <c r="R59" s="33"/>
      <c r="S59" s="33"/>
      <c r="T59" s="33"/>
      <c r="U59" s="33"/>
      <c r="V59" s="33"/>
      <c r="W59" s="33"/>
    </row>
    <row r="60" customFormat="false" ht="15" hidden="false" customHeight="false" outlineLevel="0" collapsed="false">
      <c r="A60" s="33"/>
      <c r="B60" s="33"/>
      <c r="C60" s="33"/>
      <c r="D60" s="33"/>
      <c r="E60" s="33"/>
      <c r="F60" s="33"/>
      <c r="G60" s="33"/>
      <c r="H60" s="33"/>
      <c r="I60" s="33"/>
      <c r="J60" s="33"/>
      <c r="K60" s="33"/>
      <c r="L60" s="34"/>
      <c r="M60" s="34"/>
      <c r="N60" s="34"/>
      <c r="O60" s="34"/>
      <c r="P60" s="33"/>
      <c r="Q60" s="35"/>
      <c r="R60" s="33"/>
      <c r="S60" s="33"/>
      <c r="T60" s="33"/>
      <c r="U60" s="33"/>
      <c r="V60" s="33"/>
      <c r="W60" s="33"/>
    </row>
    <row r="61" customFormat="false" ht="15" hidden="false" customHeight="false" outlineLevel="0" collapsed="false">
      <c r="A61" s="33"/>
      <c r="B61" s="33"/>
      <c r="C61" s="33"/>
      <c r="D61" s="33"/>
      <c r="E61" s="33"/>
      <c r="F61" s="33"/>
      <c r="G61" s="33"/>
      <c r="H61" s="33"/>
      <c r="I61" s="33"/>
      <c r="J61" s="33"/>
      <c r="K61" s="33"/>
      <c r="L61" s="34"/>
      <c r="M61" s="34"/>
      <c r="N61" s="34"/>
      <c r="O61" s="34"/>
      <c r="P61" s="33"/>
      <c r="Q61" s="35"/>
      <c r="R61" s="33"/>
      <c r="S61" s="33"/>
      <c r="T61" s="33"/>
      <c r="U61" s="33"/>
      <c r="V61" s="33"/>
      <c r="W61" s="33"/>
    </row>
    <row r="62" customFormat="false" ht="15" hidden="false" customHeight="false" outlineLevel="0" collapsed="false">
      <c r="A62" s="33"/>
      <c r="B62" s="33"/>
      <c r="C62" s="33"/>
      <c r="D62" s="33"/>
      <c r="E62" s="33"/>
      <c r="F62" s="33"/>
      <c r="G62" s="33"/>
      <c r="H62" s="33"/>
      <c r="I62" s="33"/>
      <c r="J62" s="33"/>
      <c r="K62" s="33"/>
      <c r="L62" s="34"/>
      <c r="M62" s="34"/>
      <c r="N62" s="34"/>
      <c r="O62" s="34"/>
      <c r="P62" s="33"/>
      <c r="Q62" s="35"/>
      <c r="R62" s="33"/>
      <c r="S62" s="33"/>
      <c r="T62" s="33"/>
      <c r="U62" s="33"/>
      <c r="V62" s="33"/>
      <c r="W62" s="33"/>
    </row>
    <row r="63" customFormat="false" ht="15" hidden="false" customHeight="false" outlineLevel="0" collapsed="false">
      <c r="A63" s="33"/>
      <c r="B63" s="33"/>
      <c r="C63" s="33"/>
      <c r="D63" s="33"/>
      <c r="E63" s="33"/>
      <c r="F63" s="33"/>
      <c r="G63" s="33"/>
      <c r="H63" s="33"/>
      <c r="I63" s="33"/>
      <c r="J63" s="33"/>
      <c r="K63" s="33"/>
      <c r="L63" s="34"/>
      <c r="M63" s="34"/>
      <c r="N63" s="34"/>
      <c r="O63" s="34"/>
      <c r="P63" s="33"/>
      <c r="Q63" s="35"/>
      <c r="R63" s="33"/>
      <c r="S63" s="33"/>
      <c r="T63" s="33"/>
      <c r="U63" s="33"/>
      <c r="V63" s="33"/>
      <c r="W63" s="33"/>
    </row>
    <row r="64" customFormat="false" ht="15" hidden="false" customHeight="false" outlineLevel="0" collapsed="false">
      <c r="A64" s="33"/>
      <c r="B64" s="33"/>
      <c r="C64" s="33"/>
      <c r="D64" s="33"/>
      <c r="E64" s="33"/>
      <c r="F64" s="33"/>
      <c r="G64" s="33"/>
      <c r="H64" s="33"/>
      <c r="I64" s="33"/>
      <c r="J64" s="33"/>
      <c r="K64" s="33"/>
      <c r="L64" s="34"/>
      <c r="M64" s="34"/>
      <c r="N64" s="34"/>
      <c r="O64" s="34"/>
      <c r="P64" s="33"/>
      <c r="Q64" s="35"/>
      <c r="R64" s="33"/>
      <c r="S64" s="33"/>
      <c r="T64" s="33"/>
      <c r="U64" s="33"/>
      <c r="V64" s="33"/>
      <c r="W64" s="33"/>
    </row>
    <row r="65" customFormat="false" ht="15" hidden="false" customHeight="false" outlineLevel="0" collapsed="false">
      <c r="A65" s="33"/>
      <c r="B65" s="33"/>
      <c r="C65" s="33"/>
      <c r="D65" s="33"/>
      <c r="E65" s="33"/>
      <c r="F65" s="33"/>
      <c r="G65" s="33"/>
      <c r="H65" s="33"/>
      <c r="I65" s="33"/>
      <c r="J65" s="33"/>
      <c r="K65" s="33"/>
      <c r="L65" s="34"/>
      <c r="M65" s="34"/>
      <c r="N65" s="34"/>
      <c r="O65" s="34"/>
      <c r="P65" s="33"/>
      <c r="Q65" s="35"/>
      <c r="R65" s="33"/>
      <c r="S65" s="33"/>
      <c r="T65" s="33"/>
      <c r="U65" s="33"/>
      <c r="V65" s="33"/>
      <c r="W65" s="33"/>
    </row>
    <row r="66" customFormat="false" ht="15" hidden="false" customHeight="false" outlineLevel="0" collapsed="false">
      <c r="A66" s="33"/>
      <c r="B66" s="33"/>
      <c r="C66" s="33"/>
      <c r="D66" s="33"/>
      <c r="E66" s="33"/>
      <c r="F66" s="33"/>
      <c r="G66" s="33"/>
      <c r="H66" s="33"/>
      <c r="I66" s="33"/>
      <c r="J66" s="33"/>
      <c r="K66" s="33"/>
      <c r="L66" s="34"/>
      <c r="M66" s="34"/>
      <c r="N66" s="34"/>
      <c r="O66" s="34"/>
      <c r="P66" s="33"/>
      <c r="Q66" s="35"/>
      <c r="R66" s="33"/>
      <c r="S66" s="33"/>
      <c r="T66" s="33"/>
      <c r="U66" s="33"/>
      <c r="V66" s="33"/>
      <c r="W66" s="33"/>
    </row>
    <row r="67" customFormat="false" ht="15" hidden="false" customHeight="false" outlineLevel="0" collapsed="false">
      <c r="A67" s="33"/>
      <c r="B67" s="33"/>
      <c r="C67" s="33"/>
      <c r="D67" s="33"/>
      <c r="E67" s="33"/>
      <c r="F67" s="33"/>
      <c r="G67" s="33"/>
      <c r="H67" s="33"/>
      <c r="I67" s="33"/>
      <c r="J67" s="33"/>
      <c r="K67" s="33"/>
      <c r="L67" s="34"/>
      <c r="M67" s="34"/>
      <c r="N67" s="34"/>
      <c r="O67" s="34"/>
      <c r="P67" s="33"/>
      <c r="Q67" s="35"/>
      <c r="R67" s="33"/>
      <c r="S67" s="33"/>
      <c r="T67" s="33"/>
      <c r="U67" s="33"/>
      <c r="V67" s="33"/>
      <c r="W67" s="33"/>
    </row>
    <row r="68" customFormat="false" ht="15" hidden="false" customHeight="false" outlineLevel="0" collapsed="false">
      <c r="A68" s="33"/>
      <c r="B68" s="33"/>
      <c r="C68" s="33"/>
      <c r="D68" s="33"/>
      <c r="E68" s="33"/>
      <c r="F68" s="33"/>
      <c r="G68" s="33"/>
      <c r="H68" s="33"/>
      <c r="I68" s="33"/>
      <c r="J68" s="33"/>
      <c r="K68" s="33"/>
      <c r="L68" s="34"/>
      <c r="M68" s="34"/>
      <c r="N68" s="34"/>
      <c r="O68" s="34"/>
      <c r="P68" s="33"/>
      <c r="Q68" s="35"/>
      <c r="R68" s="33"/>
      <c r="S68" s="33"/>
      <c r="T68" s="33"/>
      <c r="U68" s="33"/>
      <c r="V68" s="33"/>
      <c r="W68" s="33"/>
    </row>
    <row r="69" customFormat="false" ht="15" hidden="false" customHeight="false" outlineLevel="0" collapsed="false">
      <c r="A69" s="33"/>
      <c r="B69" s="33"/>
      <c r="C69" s="33"/>
      <c r="D69" s="33"/>
      <c r="E69" s="33"/>
      <c r="F69" s="33"/>
      <c r="G69" s="33"/>
      <c r="H69" s="33"/>
      <c r="I69" s="33"/>
      <c r="J69" s="33"/>
      <c r="K69" s="33"/>
      <c r="L69" s="34"/>
      <c r="M69" s="34"/>
      <c r="N69" s="34"/>
      <c r="O69" s="34"/>
      <c r="P69" s="33"/>
      <c r="Q69" s="35"/>
      <c r="R69" s="33"/>
      <c r="S69" s="33"/>
      <c r="T69" s="33"/>
      <c r="U69" s="33"/>
      <c r="V69" s="33"/>
      <c r="W69" s="33"/>
    </row>
    <row r="70" customFormat="false" ht="15" hidden="false" customHeight="false" outlineLevel="0" collapsed="false">
      <c r="A70" s="33"/>
      <c r="B70" s="33"/>
      <c r="C70" s="33"/>
      <c r="D70" s="33"/>
      <c r="E70" s="33"/>
      <c r="F70" s="33"/>
      <c r="G70" s="33"/>
      <c r="H70" s="33"/>
      <c r="I70" s="33"/>
      <c r="J70" s="33"/>
      <c r="K70" s="33"/>
      <c r="L70" s="34"/>
      <c r="M70" s="34"/>
      <c r="N70" s="34"/>
      <c r="O70" s="34"/>
      <c r="P70" s="33"/>
      <c r="Q70" s="35"/>
      <c r="R70" s="33"/>
      <c r="S70" s="33"/>
      <c r="T70" s="33"/>
      <c r="U70" s="33"/>
      <c r="V70" s="33"/>
      <c r="W70" s="33"/>
    </row>
    <row r="71" customFormat="false" ht="15" hidden="false" customHeight="false" outlineLevel="0" collapsed="false">
      <c r="A71" s="33"/>
      <c r="B71" s="33"/>
      <c r="C71" s="33"/>
      <c r="D71" s="33"/>
      <c r="E71" s="33"/>
      <c r="F71" s="33"/>
      <c r="G71" s="33"/>
      <c r="H71" s="33"/>
      <c r="I71" s="33"/>
      <c r="J71" s="33"/>
      <c r="K71" s="33"/>
      <c r="L71" s="34"/>
      <c r="M71" s="34"/>
      <c r="N71" s="34"/>
      <c r="O71" s="34"/>
      <c r="P71" s="33"/>
      <c r="Q71" s="35"/>
      <c r="R71" s="33"/>
      <c r="S71" s="33"/>
      <c r="T71" s="33"/>
      <c r="U71" s="33"/>
      <c r="V71" s="33"/>
      <c r="W71" s="33"/>
    </row>
    <row r="72" customFormat="false" ht="15" hidden="false" customHeight="false" outlineLevel="0" collapsed="false">
      <c r="A72" s="33"/>
      <c r="B72" s="33"/>
      <c r="C72" s="33"/>
      <c r="D72" s="33"/>
      <c r="E72" s="33"/>
      <c r="F72" s="33"/>
      <c r="G72" s="33"/>
      <c r="H72" s="33"/>
      <c r="I72" s="33"/>
      <c r="J72" s="33"/>
      <c r="K72" s="33"/>
      <c r="L72" s="34"/>
      <c r="M72" s="34"/>
      <c r="N72" s="34"/>
      <c r="O72" s="34"/>
      <c r="P72" s="33"/>
      <c r="Q72" s="35"/>
      <c r="R72" s="33"/>
      <c r="S72" s="33"/>
      <c r="T72" s="33"/>
      <c r="U72" s="33"/>
      <c r="V72" s="33"/>
      <c r="W72" s="33"/>
    </row>
    <row r="73" customFormat="false" ht="15" hidden="false" customHeight="false" outlineLevel="0" collapsed="false">
      <c r="A73" s="33"/>
      <c r="B73" s="33"/>
      <c r="C73" s="33"/>
      <c r="D73" s="33"/>
      <c r="E73" s="33"/>
      <c r="F73" s="33"/>
      <c r="G73" s="33"/>
      <c r="H73" s="33"/>
      <c r="I73" s="33"/>
      <c r="J73" s="33"/>
      <c r="K73" s="33"/>
      <c r="L73" s="34"/>
      <c r="M73" s="34"/>
      <c r="N73" s="34"/>
      <c r="O73" s="34"/>
      <c r="P73" s="33"/>
      <c r="Q73" s="35"/>
      <c r="R73" s="33"/>
      <c r="S73" s="33"/>
      <c r="T73" s="33"/>
      <c r="U73" s="33"/>
      <c r="V73" s="33"/>
      <c r="W73" s="33"/>
    </row>
    <row r="74" customFormat="false" ht="15" hidden="false" customHeight="false" outlineLevel="0" collapsed="false">
      <c r="A74" s="33"/>
      <c r="B74" s="33"/>
      <c r="C74" s="33"/>
      <c r="D74" s="33"/>
      <c r="E74" s="33"/>
      <c r="F74" s="33"/>
      <c r="G74" s="33"/>
      <c r="H74" s="33"/>
      <c r="I74" s="33"/>
      <c r="J74" s="33"/>
      <c r="K74" s="33"/>
      <c r="L74" s="34"/>
      <c r="M74" s="34"/>
      <c r="N74" s="34"/>
      <c r="O74" s="34"/>
      <c r="P74" s="33"/>
      <c r="Q74" s="35"/>
      <c r="R74" s="33"/>
      <c r="S74" s="33"/>
      <c r="T74" s="33"/>
      <c r="U74" s="33"/>
      <c r="V74" s="33"/>
      <c r="W74" s="33"/>
    </row>
    <row r="75" customFormat="false" ht="15" hidden="false" customHeight="false" outlineLevel="0" collapsed="false">
      <c r="A75" s="33"/>
      <c r="B75" s="33"/>
      <c r="C75" s="33"/>
      <c r="D75" s="33"/>
      <c r="E75" s="33"/>
      <c r="F75" s="33"/>
      <c r="G75" s="33"/>
      <c r="H75" s="33"/>
      <c r="I75" s="33"/>
      <c r="J75" s="33"/>
      <c r="K75" s="33"/>
      <c r="L75" s="34"/>
      <c r="M75" s="34"/>
      <c r="N75" s="34"/>
      <c r="O75" s="34"/>
      <c r="P75" s="33"/>
      <c r="Q75" s="35"/>
      <c r="R75" s="33"/>
      <c r="S75" s="33"/>
      <c r="T75" s="33"/>
      <c r="U75" s="33"/>
      <c r="V75" s="33"/>
      <c r="W75" s="33"/>
    </row>
    <row r="76" customFormat="false" ht="15" hidden="false" customHeight="false" outlineLevel="0" collapsed="false">
      <c r="A76" s="33"/>
      <c r="B76" s="33"/>
      <c r="C76" s="33"/>
      <c r="D76" s="33"/>
      <c r="E76" s="33"/>
      <c r="F76" s="33"/>
      <c r="G76" s="33"/>
      <c r="H76" s="33"/>
      <c r="I76" s="33"/>
      <c r="J76" s="33"/>
      <c r="K76" s="33"/>
      <c r="L76" s="34"/>
      <c r="M76" s="34"/>
      <c r="N76" s="34"/>
      <c r="O76" s="34"/>
      <c r="P76" s="33"/>
      <c r="Q76" s="35"/>
      <c r="R76" s="33"/>
      <c r="S76" s="33"/>
      <c r="T76" s="33"/>
      <c r="U76" s="33"/>
      <c r="V76" s="33"/>
      <c r="W76" s="33"/>
    </row>
    <row r="77" customFormat="false" ht="15" hidden="false" customHeight="false" outlineLevel="0" collapsed="false">
      <c r="A77" s="33"/>
      <c r="B77" s="33"/>
      <c r="C77" s="33"/>
      <c r="D77" s="33"/>
      <c r="E77" s="33"/>
      <c r="F77" s="33"/>
      <c r="G77" s="33"/>
      <c r="H77" s="33"/>
      <c r="I77" s="33"/>
      <c r="J77" s="33"/>
      <c r="K77" s="33"/>
      <c r="L77" s="34"/>
      <c r="M77" s="34"/>
      <c r="N77" s="34"/>
      <c r="O77" s="34"/>
      <c r="P77" s="33"/>
      <c r="Q77" s="35"/>
      <c r="R77" s="33"/>
      <c r="S77" s="33"/>
      <c r="T77" s="33"/>
      <c r="U77" s="33"/>
      <c r="V77" s="33"/>
      <c r="W77" s="33"/>
    </row>
    <row r="78" customFormat="false" ht="15" hidden="false" customHeight="false" outlineLevel="0" collapsed="false">
      <c r="A78" s="33"/>
      <c r="B78" s="33"/>
      <c r="C78" s="33"/>
      <c r="D78" s="33"/>
      <c r="E78" s="33"/>
      <c r="F78" s="33"/>
      <c r="G78" s="33"/>
      <c r="H78" s="33"/>
      <c r="I78" s="33"/>
      <c r="J78" s="33"/>
      <c r="K78" s="33"/>
      <c r="L78" s="34"/>
      <c r="M78" s="34"/>
      <c r="N78" s="34"/>
      <c r="O78" s="34"/>
      <c r="P78" s="33"/>
      <c r="Q78" s="35"/>
      <c r="R78" s="33"/>
      <c r="S78" s="33"/>
      <c r="T78" s="33"/>
      <c r="U78" s="33"/>
      <c r="V78" s="33"/>
      <c r="W78" s="33"/>
    </row>
    <row r="79" customFormat="false" ht="15" hidden="false" customHeight="false" outlineLevel="0" collapsed="false">
      <c r="A79" s="33"/>
      <c r="B79" s="33"/>
      <c r="C79" s="33"/>
      <c r="D79" s="33"/>
      <c r="E79" s="33"/>
      <c r="F79" s="33"/>
      <c r="G79" s="33"/>
      <c r="H79" s="33"/>
      <c r="I79" s="33"/>
      <c r="J79" s="33"/>
      <c r="K79" s="33"/>
      <c r="L79" s="34"/>
      <c r="M79" s="34"/>
      <c r="N79" s="34"/>
      <c r="O79" s="34"/>
      <c r="P79" s="33"/>
      <c r="Q79" s="35"/>
      <c r="R79" s="33"/>
      <c r="S79" s="33"/>
      <c r="T79" s="33"/>
      <c r="U79" s="33"/>
      <c r="V79" s="33"/>
      <c r="W79" s="33"/>
    </row>
    <row r="80" customFormat="false" ht="15" hidden="false" customHeight="false" outlineLevel="0" collapsed="false">
      <c r="A80" s="33"/>
      <c r="B80" s="33"/>
      <c r="C80" s="33"/>
      <c r="D80" s="33"/>
      <c r="E80" s="33"/>
      <c r="F80" s="33"/>
      <c r="G80" s="33"/>
      <c r="H80" s="33"/>
      <c r="I80" s="33"/>
      <c r="J80" s="33"/>
      <c r="K80" s="33"/>
      <c r="L80" s="34"/>
      <c r="M80" s="34"/>
      <c r="N80" s="34"/>
      <c r="O80" s="34"/>
      <c r="P80" s="33"/>
      <c r="Q80" s="35"/>
      <c r="R80" s="33"/>
      <c r="S80" s="33"/>
      <c r="T80" s="33"/>
      <c r="U80" s="33"/>
      <c r="V80" s="33"/>
      <c r="W80" s="33"/>
    </row>
    <row r="81" customFormat="false" ht="15" hidden="false" customHeight="false" outlineLevel="0" collapsed="false">
      <c r="A81" s="33"/>
      <c r="B81" s="33"/>
      <c r="C81" s="33"/>
      <c r="D81" s="33"/>
      <c r="E81" s="33"/>
      <c r="F81" s="33"/>
      <c r="G81" s="33"/>
      <c r="H81" s="33"/>
      <c r="I81" s="33"/>
      <c r="J81" s="33"/>
      <c r="K81" s="33"/>
      <c r="L81" s="34"/>
      <c r="M81" s="34"/>
      <c r="N81" s="34"/>
      <c r="O81" s="34"/>
      <c r="P81" s="33"/>
      <c r="Q81" s="35"/>
      <c r="R81" s="33"/>
      <c r="S81" s="33"/>
      <c r="T81" s="33"/>
      <c r="U81" s="33"/>
      <c r="V81" s="33"/>
      <c r="W81" s="33"/>
    </row>
    <row r="82" customFormat="false" ht="15" hidden="false" customHeight="false" outlineLevel="0" collapsed="false">
      <c r="A82" s="33"/>
      <c r="B82" s="33"/>
      <c r="C82" s="33"/>
      <c r="D82" s="33"/>
      <c r="E82" s="33"/>
      <c r="F82" s="33"/>
      <c r="G82" s="33"/>
      <c r="H82" s="33"/>
      <c r="I82" s="33"/>
      <c r="J82" s="33"/>
      <c r="K82" s="33"/>
      <c r="L82" s="34"/>
      <c r="M82" s="34"/>
      <c r="N82" s="34"/>
      <c r="O82" s="34"/>
      <c r="P82" s="33"/>
      <c r="Q82" s="35"/>
      <c r="R82" s="33"/>
      <c r="S82" s="33"/>
      <c r="T82" s="33"/>
      <c r="U82" s="33"/>
      <c r="V82" s="33"/>
      <c r="W82" s="33"/>
    </row>
    <row r="83" customFormat="false" ht="15" hidden="false" customHeight="false" outlineLevel="0" collapsed="false">
      <c r="A83" s="33"/>
      <c r="B83" s="33"/>
      <c r="C83" s="33"/>
      <c r="D83" s="33"/>
      <c r="E83" s="33"/>
      <c r="F83" s="33"/>
      <c r="G83" s="33"/>
      <c r="H83" s="33"/>
      <c r="I83" s="33"/>
      <c r="J83" s="33"/>
      <c r="K83" s="33"/>
      <c r="L83" s="34"/>
      <c r="M83" s="34"/>
      <c r="N83" s="34"/>
      <c r="O83" s="34"/>
      <c r="P83" s="33"/>
      <c r="Q83" s="35"/>
      <c r="R83" s="33"/>
      <c r="S83" s="33"/>
      <c r="T83" s="33"/>
      <c r="U83" s="33"/>
      <c r="V83" s="33"/>
      <c r="W83" s="33"/>
    </row>
    <row r="84" customFormat="false" ht="15" hidden="false" customHeight="false" outlineLevel="0" collapsed="false">
      <c r="A84" s="33"/>
      <c r="B84" s="33"/>
      <c r="C84" s="33"/>
      <c r="D84" s="33"/>
      <c r="E84" s="33"/>
      <c r="F84" s="33"/>
      <c r="G84" s="33"/>
      <c r="H84" s="33"/>
      <c r="I84" s="33"/>
      <c r="J84" s="33"/>
      <c r="K84" s="33"/>
      <c r="L84" s="34"/>
      <c r="M84" s="34"/>
      <c r="N84" s="34"/>
      <c r="O84" s="34"/>
      <c r="P84" s="33"/>
      <c r="Q84" s="35"/>
      <c r="R84" s="33"/>
      <c r="S84" s="33"/>
      <c r="T84" s="33"/>
      <c r="U84" s="33"/>
      <c r="V84" s="33"/>
      <c r="W84" s="33"/>
    </row>
    <row r="85" customFormat="false" ht="15" hidden="false" customHeight="false" outlineLevel="0" collapsed="false">
      <c r="A85" s="33"/>
      <c r="B85" s="33"/>
      <c r="C85" s="33"/>
      <c r="D85" s="33"/>
      <c r="E85" s="33"/>
      <c r="F85" s="33"/>
      <c r="G85" s="33"/>
      <c r="H85" s="33"/>
      <c r="I85" s="33"/>
      <c r="J85" s="33"/>
      <c r="K85" s="33"/>
      <c r="L85" s="34"/>
      <c r="M85" s="34"/>
      <c r="N85" s="34"/>
      <c r="O85" s="34"/>
      <c r="P85" s="33"/>
      <c r="Q85" s="35"/>
      <c r="R85" s="33"/>
      <c r="S85" s="33"/>
      <c r="T85" s="33"/>
      <c r="U85" s="33"/>
      <c r="V85" s="33"/>
      <c r="W85" s="33"/>
    </row>
    <row r="86" customFormat="false" ht="15" hidden="false" customHeight="false" outlineLevel="0" collapsed="false">
      <c r="A86" s="33"/>
      <c r="B86" s="33"/>
      <c r="C86" s="33"/>
      <c r="D86" s="33"/>
      <c r="E86" s="33"/>
      <c r="F86" s="33"/>
      <c r="G86" s="33"/>
      <c r="H86" s="33"/>
      <c r="I86" s="33"/>
      <c r="J86" s="33"/>
      <c r="K86" s="33"/>
      <c r="L86" s="34"/>
      <c r="M86" s="34"/>
      <c r="N86" s="34"/>
      <c r="O86" s="34"/>
      <c r="P86" s="33"/>
      <c r="Q86" s="35"/>
      <c r="R86" s="33"/>
      <c r="S86" s="33"/>
      <c r="T86" s="33"/>
      <c r="U86" s="33"/>
      <c r="V86" s="33"/>
      <c r="W86" s="33"/>
    </row>
    <row r="87" customFormat="false" ht="15" hidden="false" customHeight="false" outlineLevel="0" collapsed="false">
      <c r="A87" s="33"/>
      <c r="B87" s="33"/>
      <c r="C87" s="33"/>
      <c r="D87" s="33"/>
      <c r="E87" s="33"/>
      <c r="F87" s="33"/>
      <c r="G87" s="33"/>
      <c r="H87" s="33"/>
      <c r="I87" s="33"/>
      <c r="J87" s="33"/>
      <c r="K87" s="33"/>
      <c r="L87" s="34"/>
      <c r="M87" s="34"/>
      <c r="N87" s="34"/>
      <c r="O87" s="34"/>
      <c r="P87" s="33"/>
      <c r="Q87" s="35"/>
      <c r="R87" s="33"/>
      <c r="S87" s="33"/>
      <c r="T87" s="33"/>
      <c r="U87" s="33"/>
      <c r="V87" s="33"/>
      <c r="W87" s="33"/>
    </row>
    <row r="88" customFormat="false" ht="15" hidden="false" customHeight="false" outlineLevel="0" collapsed="false">
      <c r="A88" s="33"/>
      <c r="B88" s="33"/>
      <c r="C88" s="33"/>
      <c r="D88" s="33"/>
      <c r="E88" s="33"/>
      <c r="F88" s="33"/>
      <c r="G88" s="33"/>
      <c r="H88" s="33"/>
      <c r="I88" s="33"/>
      <c r="J88" s="33"/>
      <c r="K88" s="33"/>
      <c r="L88" s="34"/>
      <c r="M88" s="34"/>
      <c r="N88" s="34"/>
      <c r="O88" s="34"/>
      <c r="P88" s="33"/>
      <c r="Q88" s="35"/>
      <c r="R88" s="33"/>
      <c r="S88" s="33"/>
      <c r="T88" s="33"/>
      <c r="U88" s="33"/>
      <c r="V88" s="33"/>
      <c r="W88" s="33"/>
    </row>
    <row r="89" customFormat="false" ht="15" hidden="false" customHeight="false" outlineLevel="0" collapsed="false">
      <c r="A89" s="33"/>
      <c r="B89" s="33"/>
      <c r="C89" s="33"/>
      <c r="D89" s="33"/>
      <c r="E89" s="33"/>
      <c r="F89" s="33"/>
      <c r="G89" s="33"/>
      <c r="H89" s="33"/>
      <c r="I89" s="33"/>
      <c r="J89" s="33"/>
      <c r="K89" s="33"/>
      <c r="L89" s="34"/>
      <c r="M89" s="34"/>
      <c r="N89" s="34"/>
      <c r="O89" s="34"/>
      <c r="P89" s="33"/>
      <c r="Q89" s="35"/>
      <c r="R89" s="33"/>
      <c r="S89" s="33"/>
      <c r="T89" s="33"/>
      <c r="U89" s="33"/>
      <c r="V89" s="33"/>
      <c r="W89" s="33"/>
    </row>
    <row r="90" customFormat="false" ht="15" hidden="false" customHeight="false" outlineLevel="0" collapsed="false">
      <c r="A90" s="33"/>
      <c r="B90" s="33"/>
      <c r="C90" s="33"/>
      <c r="D90" s="33"/>
      <c r="E90" s="33"/>
      <c r="F90" s="33"/>
      <c r="G90" s="33"/>
      <c r="H90" s="33"/>
      <c r="I90" s="33"/>
      <c r="J90" s="33"/>
      <c r="K90" s="33"/>
      <c r="L90" s="34"/>
      <c r="M90" s="34"/>
      <c r="N90" s="34"/>
      <c r="O90" s="34"/>
      <c r="P90" s="33"/>
      <c r="Q90" s="35"/>
      <c r="R90" s="33"/>
      <c r="S90" s="33"/>
      <c r="T90" s="33"/>
      <c r="U90" s="33"/>
      <c r="V90" s="33"/>
      <c r="W90" s="33"/>
    </row>
    <row r="91" customFormat="false" ht="15" hidden="false" customHeight="false" outlineLevel="0" collapsed="false">
      <c r="A91" s="33"/>
      <c r="B91" s="33"/>
      <c r="C91" s="33"/>
      <c r="D91" s="33"/>
      <c r="E91" s="33"/>
      <c r="F91" s="33"/>
      <c r="G91" s="33"/>
      <c r="H91" s="33"/>
      <c r="I91" s="33"/>
      <c r="J91" s="33"/>
      <c r="K91" s="33"/>
      <c r="L91" s="34"/>
      <c r="M91" s="34"/>
      <c r="N91" s="34"/>
      <c r="O91" s="34"/>
      <c r="P91" s="33"/>
      <c r="Q91" s="35"/>
      <c r="R91" s="33"/>
      <c r="S91" s="33"/>
      <c r="T91" s="33"/>
      <c r="U91" s="33"/>
      <c r="V91" s="33"/>
      <c r="W91" s="33"/>
    </row>
    <row r="92" customFormat="false" ht="15" hidden="false" customHeight="false" outlineLevel="0" collapsed="false">
      <c r="A92" s="33"/>
      <c r="B92" s="33"/>
      <c r="C92" s="33"/>
      <c r="D92" s="33"/>
      <c r="E92" s="33"/>
      <c r="F92" s="33"/>
      <c r="G92" s="33"/>
      <c r="H92" s="33"/>
      <c r="I92" s="33"/>
      <c r="J92" s="33"/>
      <c r="K92" s="33"/>
      <c r="L92" s="34"/>
      <c r="M92" s="34"/>
      <c r="N92" s="34"/>
      <c r="O92" s="34"/>
      <c r="P92" s="33"/>
      <c r="Q92" s="35"/>
      <c r="R92" s="33"/>
      <c r="S92" s="33"/>
      <c r="T92" s="33"/>
      <c r="U92" s="33"/>
      <c r="V92" s="33"/>
      <c r="W92" s="33"/>
    </row>
    <row r="93" customFormat="false" ht="15" hidden="false" customHeight="false" outlineLevel="0" collapsed="false">
      <c r="A93" s="33"/>
      <c r="B93" s="33"/>
      <c r="C93" s="33"/>
      <c r="D93" s="33"/>
      <c r="E93" s="33"/>
      <c r="F93" s="33"/>
      <c r="G93" s="33"/>
      <c r="H93" s="33"/>
      <c r="I93" s="33"/>
      <c r="J93" s="33"/>
      <c r="K93" s="33"/>
      <c r="L93" s="34"/>
      <c r="M93" s="34"/>
      <c r="N93" s="34"/>
      <c r="O93" s="34"/>
      <c r="P93" s="33"/>
      <c r="Q93" s="35"/>
      <c r="R93" s="33"/>
      <c r="S93" s="33"/>
      <c r="T93" s="33"/>
      <c r="U93" s="33"/>
      <c r="V93" s="33"/>
      <c r="W93" s="33"/>
    </row>
    <row r="94" customFormat="false" ht="15" hidden="false" customHeight="false" outlineLevel="0" collapsed="false">
      <c r="A94" s="33"/>
      <c r="B94" s="33"/>
      <c r="C94" s="33"/>
      <c r="D94" s="33"/>
      <c r="E94" s="33"/>
      <c r="F94" s="33"/>
      <c r="G94" s="33"/>
      <c r="H94" s="33"/>
      <c r="I94" s="33"/>
      <c r="J94" s="33"/>
      <c r="K94" s="33"/>
      <c r="L94" s="34"/>
      <c r="M94" s="34"/>
      <c r="N94" s="34"/>
      <c r="O94" s="34"/>
      <c r="P94" s="33"/>
      <c r="Q94" s="35"/>
      <c r="R94" s="33"/>
      <c r="S94" s="33"/>
      <c r="T94" s="33"/>
      <c r="U94" s="33"/>
      <c r="V94" s="33"/>
      <c r="W94" s="33"/>
    </row>
    <row r="95" customFormat="false" ht="15" hidden="false" customHeight="false" outlineLevel="0" collapsed="false">
      <c r="A95" s="33"/>
      <c r="B95" s="33"/>
      <c r="C95" s="33"/>
      <c r="D95" s="33"/>
      <c r="E95" s="33"/>
      <c r="F95" s="33"/>
      <c r="G95" s="33"/>
      <c r="H95" s="33"/>
      <c r="I95" s="33"/>
      <c r="J95" s="33"/>
      <c r="K95" s="33"/>
      <c r="L95" s="34"/>
      <c r="M95" s="34"/>
      <c r="N95" s="34"/>
      <c r="O95" s="34"/>
      <c r="P95" s="33"/>
      <c r="Q95" s="35"/>
      <c r="R95" s="33"/>
      <c r="S95" s="33"/>
      <c r="T95" s="33"/>
      <c r="U95" s="33"/>
      <c r="V95" s="33"/>
      <c r="W95" s="33"/>
    </row>
    <row r="96" customFormat="false" ht="15" hidden="false" customHeight="false" outlineLevel="0" collapsed="false">
      <c r="A96" s="33"/>
      <c r="B96" s="33"/>
      <c r="C96" s="33"/>
      <c r="D96" s="33"/>
      <c r="E96" s="33"/>
      <c r="F96" s="33"/>
      <c r="G96" s="33"/>
      <c r="H96" s="33"/>
      <c r="I96" s="33"/>
      <c r="J96" s="33"/>
      <c r="K96" s="33"/>
      <c r="L96" s="34"/>
      <c r="M96" s="34"/>
      <c r="N96" s="34"/>
      <c r="O96" s="34"/>
      <c r="P96" s="33"/>
      <c r="Q96" s="35"/>
      <c r="R96" s="33"/>
      <c r="S96" s="33"/>
      <c r="T96" s="33"/>
      <c r="U96" s="33"/>
      <c r="V96" s="33"/>
      <c r="W96" s="33"/>
    </row>
    <row r="97" customFormat="false" ht="15" hidden="false" customHeight="false" outlineLevel="0" collapsed="false">
      <c r="A97" s="33"/>
      <c r="B97" s="33"/>
      <c r="C97" s="33"/>
      <c r="D97" s="33"/>
      <c r="E97" s="33"/>
      <c r="F97" s="33"/>
      <c r="G97" s="33"/>
      <c r="H97" s="33"/>
      <c r="I97" s="33"/>
      <c r="J97" s="33"/>
      <c r="K97" s="33"/>
      <c r="L97" s="34"/>
      <c r="M97" s="34"/>
      <c r="N97" s="34"/>
      <c r="O97" s="34"/>
      <c r="P97" s="33"/>
      <c r="Q97" s="35"/>
      <c r="R97" s="33"/>
      <c r="S97" s="33"/>
      <c r="T97" s="33"/>
      <c r="U97" s="33"/>
      <c r="V97" s="33"/>
      <c r="W97" s="33"/>
    </row>
    <row r="98" customFormat="false" ht="15" hidden="false" customHeight="false" outlineLevel="0" collapsed="false">
      <c r="A98" s="33"/>
      <c r="B98" s="33"/>
      <c r="C98" s="33"/>
      <c r="D98" s="33"/>
      <c r="E98" s="33"/>
      <c r="F98" s="33"/>
      <c r="G98" s="33"/>
      <c r="H98" s="33"/>
      <c r="I98" s="33"/>
      <c r="J98" s="33"/>
      <c r="K98" s="33"/>
      <c r="L98" s="34"/>
      <c r="M98" s="34"/>
      <c r="N98" s="34"/>
      <c r="O98" s="34"/>
      <c r="P98" s="33"/>
      <c r="Q98" s="35"/>
      <c r="R98" s="33"/>
      <c r="S98" s="33"/>
      <c r="T98" s="33"/>
      <c r="U98" s="33"/>
      <c r="V98" s="33"/>
      <c r="W98" s="33"/>
    </row>
    <row r="99" customFormat="false" ht="15" hidden="false" customHeight="false" outlineLevel="0" collapsed="false">
      <c r="A99" s="33"/>
      <c r="B99" s="33"/>
      <c r="C99" s="33"/>
      <c r="D99" s="33"/>
      <c r="E99" s="33"/>
      <c r="F99" s="33"/>
      <c r="G99" s="33"/>
      <c r="H99" s="33"/>
      <c r="I99" s="33"/>
      <c r="J99" s="33"/>
      <c r="K99" s="33"/>
      <c r="L99" s="34"/>
      <c r="M99" s="34"/>
      <c r="N99" s="34"/>
      <c r="O99" s="34"/>
      <c r="P99" s="33"/>
      <c r="Q99" s="35"/>
      <c r="R99" s="33"/>
      <c r="S99" s="33"/>
      <c r="T99" s="33"/>
      <c r="U99" s="33"/>
      <c r="V99" s="33"/>
      <c r="W99" s="33"/>
    </row>
    <row r="100" customFormat="false" ht="15" hidden="false" customHeight="false" outlineLevel="0" collapsed="false">
      <c r="A100" s="33"/>
      <c r="B100" s="33"/>
      <c r="C100" s="33"/>
      <c r="D100" s="33"/>
      <c r="E100" s="33"/>
      <c r="F100" s="33"/>
      <c r="G100" s="33"/>
      <c r="H100" s="33"/>
      <c r="I100" s="33"/>
      <c r="J100" s="33"/>
      <c r="K100" s="33"/>
      <c r="L100" s="34"/>
      <c r="M100" s="34"/>
      <c r="N100" s="34"/>
      <c r="O100" s="34"/>
      <c r="P100" s="33"/>
      <c r="Q100" s="35"/>
      <c r="R100" s="33"/>
      <c r="S100" s="33"/>
      <c r="T100" s="33"/>
      <c r="U100" s="33"/>
      <c r="V100" s="33"/>
      <c r="W100" s="33"/>
    </row>
    <row r="101" customFormat="false" ht="15" hidden="false" customHeight="false" outlineLevel="0" collapsed="false">
      <c r="A101" s="33"/>
      <c r="B101" s="33"/>
      <c r="C101" s="33"/>
      <c r="D101" s="33"/>
      <c r="E101" s="33"/>
      <c r="F101" s="33"/>
      <c r="G101" s="33"/>
      <c r="H101" s="33"/>
      <c r="I101" s="33"/>
      <c r="J101" s="33"/>
      <c r="K101" s="33"/>
      <c r="L101" s="34"/>
      <c r="M101" s="34"/>
      <c r="N101" s="34"/>
      <c r="O101" s="34"/>
      <c r="P101" s="33"/>
      <c r="Q101" s="35"/>
      <c r="R101" s="33"/>
      <c r="S101" s="33"/>
      <c r="T101" s="33"/>
      <c r="U101" s="33"/>
      <c r="V101" s="33"/>
      <c r="W101" s="33"/>
    </row>
    <row r="102" customFormat="false" ht="15" hidden="false" customHeight="false" outlineLevel="0" collapsed="false">
      <c r="A102" s="33"/>
      <c r="B102" s="33"/>
      <c r="C102" s="33"/>
      <c r="D102" s="33"/>
      <c r="E102" s="33"/>
      <c r="F102" s="33"/>
      <c r="G102" s="33"/>
      <c r="H102" s="33"/>
      <c r="I102" s="33"/>
      <c r="J102" s="33"/>
      <c r="K102" s="33"/>
      <c r="L102" s="34"/>
      <c r="M102" s="34"/>
      <c r="N102" s="34"/>
      <c r="O102" s="34"/>
      <c r="P102" s="33"/>
      <c r="Q102" s="35"/>
      <c r="R102" s="33"/>
      <c r="S102" s="33"/>
      <c r="T102" s="33"/>
      <c r="U102" s="33"/>
      <c r="V102" s="33"/>
      <c r="W102" s="33"/>
    </row>
    <row r="103" customFormat="false" ht="15" hidden="false" customHeight="false" outlineLevel="0" collapsed="false">
      <c r="A103" s="33"/>
      <c r="B103" s="33"/>
      <c r="C103" s="33"/>
      <c r="D103" s="33"/>
      <c r="E103" s="33"/>
      <c r="F103" s="33"/>
      <c r="G103" s="33"/>
      <c r="H103" s="33"/>
      <c r="I103" s="33"/>
      <c r="J103" s="33"/>
      <c r="K103" s="33"/>
      <c r="L103" s="34"/>
      <c r="M103" s="34"/>
      <c r="N103" s="34"/>
      <c r="O103" s="34"/>
      <c r="P103" s="33"/>
      <c r="Q103" s="35"/>
      <c r="R103" s="33"/>
      <c r="S103" s="33"/>
      <c r="T103" s="33"/>
      <c r="U103" s="33"/>
      <c r="V103" s="33"/>
      <c r="W103" s="33"/>
    </row>
    <row r="104" customFormat="false" ht="15" hidden="false" customHeight="false" outlineLevel="0" collapsed="false">
      <c r="A104" s="33"/>
      <c r="B104" s="33"/>
      <c r="C104" s="33"/>
      <c r="D104" s="33"/>
      <c r="E104" s="33"/>
      <c r="F104" s="33"/>
      <c r="G104" s="33"/>
      <c r="H104" s="33"/>
      <c r="I104" s="33"/>
      <c r="J104" s="33"/>
      <c r="K104" s="33"/>
      <c r="L104" s="34"/>
      <c r="M104" s="34"/>
      <c r="N104" s="34"/>
      <c r="O104" s="34"/>
      <c r="P104" s="33"/>
      <c r="Q104" s="35"/>
      <c r="R104" s="33"/>
      <c r="S104" s="33"/>
      <c r="T104" s="33"/>
      <c r="U104" s="33"/>
      <c r="V104" s="33"/>
      <c r="W104" s="33"/>
    </row>
    <row r="105" customFormat="false" ht="15" hidden="false" customHeight="false" outlineLevel="0" collapsed="false">
      <c r="A105" s="33"/>
      <c r="B105" s="33"/>
      <c r="C105" s="33"/>
      <c r="D105" s="33"/>
      <c r="E105" s="33"/>
      <c r="F105" s="33"/>
      <c r="G105" s="33"/>
      <c r="H105" s="33"/>
      <c r="I105" s="33"/>
      <c r="J105" s="33"/>
      <c r="K105" s="33"/>
      <c r="L105" s="34"/>
      <c r="M105" s="34"/>
      <c r="N105" s="34"/>
      <c r="O105" s="34"/>
      <c r="P105" s="33"/>
      <c r="Q105" s="35"/>
      <c r="R105" s="33"/>
      <c r="S105" s="33"/>
      <c r="T105" s="33"/>
      <c r="U105" s="33"/>
      <c r="V105" s="33"/>
      <c r="W105" s="33"/>
    </row>
    <row r="106" customFormat="false" ht="15" hidden="false" customHeight="false" outlineLevel="0" collapsed="false">
      <c r="A106" s="33"/>
      <c r="B106" s="33"/>
      <c r="C106" s="33"/>
      <c r="D106" s="33"/>
      <c r="E106" s="33"/>
      <c r="F106" s="33"/>
      <c r="G106" s="33"/>
      <c r="H106" s="33"/>
      <c r="I106" s="33"/>
      <c r="J106" s="33"/>
      <c r="K106" s="33"/>
      <c r="L106" s="34"/>
      <c r="M106" s="34"/>
      <c r="N106" s="34"/>
      <c r="O106" s="34"/>
      <c r="P106" s="33"/>
      <c r="Q106" s="35"/>
      <c r="R106" s="33"/>
      <c r="S106" s="33"/>
      <c r="T106" s="33"/>
      <c r="U106" s="33"/>
      <c r="V106" s="33"/>
      <c r="W106" s="33"/>
    </row>
    <row r="107" customFormat="false" ht="15" hidden="false" customHeight="false" outlineLevel="0" collapsed="false">
      <c r="A107" s="33"/>
      <c r="B107" s="33"/>
      <c r="C107" s="33"/>
      <c r="D107" s="33"/>
      <c r="E107" s="33"/>
      <c r="F107" s="33"/>
      <c r="G107" s="33"/>
      <c r="H107" s="33"/>
      <c r="I107" s="33"/>
      <c r="J107" s="33"/>
      <c r="K107" s="33"/>
      <c r="L107" s="34"/>
      <c r="M107" s="34"/>
      <c r="N107" s="34"/>
      <c r="O107" s="34"/>
      <c r="P107" s="33"/>
      <c r="Q107" s="35"/>
      <c r="R107" s="33"/>
      <c r="S107" s="33"/>
      <c r="T107" s="33"/>
      <c r="U107" s="33"/>
      <c r="V107" s="33"/>
      <c r="W107" s="33"/>
    </row>
    <row r="108" customFormat="false" ht="15" hidden="false" customHeight="false" outlineLevel="0" collapsed="false">
      <c r="A108" s="33"/>
      <c r="B108" s="33"/>
      <c r="C108" s="33"/>
      <c r="D108" s="33"/>
      <c r="E108" s="33"/>
      <c r="F108" s="33"/>
      <c r="G108" s="33"/>
      <c r="H108" s="33"/>
      <c r="I108" s="33"/>
      <c r="J108" s="33"/>
      <c r="K108" s="33"/>
      <c r="L108" s="34"/>
      <c r="M108" s="34"/>
      <c r="N108" s="34"/>
      <c r="O108" s="34"/>
      <c r="P108" s="33"/>
      <c r="Q108" s="35"/>
      <c r="R108" s="33"/>
      <c r="S108" s="33"/>
      <c r="T108" s="33"/>
      <c r="U108" s="33"/>
      <c r="V108" s="33"/>
      <c r="W108" s="33"/>
    </row>
    <row r="109" customFormat="false" ht="15" hidden="false" customHeight="false" outlineLevel="0" collapsed="false">
      <c r="A109" s="33"/>
      <c r="B109" s="33"/>
      <c r="C109" s="33"/>
      <c r="D109" s="33"/>
      <c r="E109" s="33"/>
      <c r="F109" s="33"/>
      <c r="G109" s="33"/>
      <c r="H109" s="33"/>
      <c r="I109" s="33"/>
      <c r="J109" s="33"/>
      <c r="K109" s="33"/>
      <c r="L109" s="34"/>
      <c r="M109" s="34"/>
      <c r="N109" s="34"/>
      <c r="O109" s="34"/>
      <c r="P109" s="33"/>
      <c r="Q109" s="35"/>
      <c r="R109" s="33"/>
      <c r="S109" s="33"/>
      <c r="T109" s="33"/>
      <c r="U109" s="33"/>
      <c r="V109" s="33"/>
      <c r="W109" s="33"/>
    </row>
    <row r="110" customFormat="false" ht="15" hidden="false" customHeight="false" outlineLevel="0" collapsed="false">
      <c r="A110" s="33"/>
      <c r="B110" s="33"/>
      <c r="C110" s="33"/>
      <c r="D110" s="33"/>
      <c r="E110" s="33"/>
      <c r="F110" s="33"/>
      <c r="G110" s="33"/>
      <c r="H110" s="33"/>
      <c r="I110" s="33"/>
      <c r="J110" s="33"/>
      <c r="K110" s="33"/>
      <c r="L110" s="34"/>
      <c r="M110" s="34"/>
      <c r="N110" s="34"/>
      <c r="O110" s="34"/>
      <c r="P110" s="33"/>
      <c r="Q110" s="35"/>
      <c r="R110" s="33"/>
      <c r="S110" s="33"/>
      <c r="T110" s="33"/>
      <c r="U110" s="33"/>
      <c r="V110" s="33"/>
      <c r="W110" s="33"/>
    </row>
    <row r="111" customFormat="false" ht="15" hidden="false" customHeight="false" outlineLevel="0" collapsed="false">
      <c r="A111" s="33"/>
      <c r="B111" s="33"/>
      <c r="C111" s="33"/>
      <c r="D111" s="33"/>
      <c r="E111" s="33"/>
      <c r="F111" s="33"/>
      <c r="G111" s="33"/>
      <c r="H111" s="33"/>
      <c r="I111" s="33"/>
      <c r="J111" s="33"/>
      <c r="K111" s="33"/>
      <c r="L111" s="34"/>
      <c r="M111" s="34"/>
      <c r="N111" s="34"/>
      <c r="O111" s="34"/>
      <c r="P111" s="33"/>
      <c r="Q111" s="35"/>
      <c r="R111" s="33"/>
      <c r="S111" s="33"/>
      <c r="T111" s="33"/>
      <c r="U111" s="33"/>
      <c r="V111" s="33"/>
      <c r="W111" s="33"/>
    </row>
    <row r="112" customFormat="false" ht="15" hidden="false" customHeight="false" outlineLevel="0" collapsed="false">
      <c r="A112" s="33"/>
      <c r="B112" s="33"/>
      <c r="C112" s="33"/>
      <c r="D112" s="33"/>
      <c r="E112" s="33"/>
      <c r="F112" s="33"/>
      <c r="G112" s="33"/>
      <c r="H112" s="33"/>
      <c r="I112" s="33"/>
      <c r="J112" s="33"/>
      <c r="K112" s="33"/>
      <c r="L112" s="34"/>
      <c r="M112" s="34"/>
      <c r="N112" s="34"/>
      <c r="O112" s="34"/>
      <c r="P112" s="33"/>
      <c r="Q112" s="35"/>
      <c r="R112" s="33"/>
      <c r="S112" s="33"/>
      <c r="T112" s="33"/>
      <c r="U112" s="33"/>
      <c r="V112" s="33"/>
      <c r="W112" s="33"/>
    </row>
    <row r="113" customFormat="false" ht="15" hidden="false" customHeight="false" outlineLevel="0" collapsed="false">
      <c r="A113" s="33"/>
      <c r="B113" s="33"/>
      <c r="C113" s="33"/>
      <c r="D113" s="33"/>
      <c r="E113" s="33"/>
      <c r="F113" s="33"/>
      <c r="G113" s="33"/>
      <c r="H113" s="33"/>
      <c r="I113" s="33"/>
      <c r="J113" s="33"/>
      <c r="K113" s="33"/>
      <c r="L113" s="34"/>
      <c r="M113" s="34"/>
      <c r="N113" s="34"/>
      <c r="O113" s="34"/>
      <c r="P113" s="33"/>
      <c r="Q113" s="35"/>
      <c r="R113" s="33"/>
      <c r="S113" s="33"/>
      <c r="T113" s="33"/>
      <c r="U113" s="33"/>
      <c r="V113" s="33"/>
      <c r="W113" s="33"/>
    </row>
    <row r="114" customFormat="false" ht="15" hidden="false" customHeight="false" outlineLevel="0" collapsed="false">
      <c r="A114" s="33"/>
      <c r="B114" s="33"/>
      <c r="C114" s="33"/>
      <c r="D114" s="33"/>
      <c r="E114" s="33"/>
      <c r="F114" s="33"/>
      <c r="G114" s="33"/>
      <c r="H114" s="33"/>
      <c r="I114" s="33"/>
      <c r="J114" s="33"/>
      <c r="K114" s="33"/>
      <c r="L114" s="34"/>
      <c r="M114" s="34"/>
      <c r="N114" s="34"/>
      <c r="O114" s="34"/>
      <c r="P114" s="33"/>
      <c r="Q114" s="35"/>
      <c r="R114" s="33"/>
      <c r="S114" s="33"/>
      <c r="T114" s="33"/>
      <c r="U114" s="33"/>
      <c r="V114" s="33"/>
      <c r="W114" s="33"/>
    </row>
    <row r="115" customFormat="false" ht="15" hidden="false" customHeight="false" outlineLevel="0" collapsed="false">
      <c r="A115" s="33"/>
      <c r="B115" s="33"/>
      <c r="C115" s="33"/>
      <c r="D115" s="33"/>
      <c r="E115" s="33"/>
      <c r="F115" s="33"/>
      <c r="G115" s="33"/>
      <c r="H115" s="33"/>
      <c r="I115" s="33"/>
      <c r="J115" s="33"/>
      <c r="K115" s="33"/>
      <c r="L115" s="34"/>
      <c r="M115" s="34"/>
      <c r="N115" s="34"/>
      <c r="O115" s="34"/>
      <c r="P115" s="33"/>
      <c r="Q115" s="35"/>
      <c r="R115" s="33"/>
      <c r="S115" s="33"/>
      <c r="T115" s="33"/>
      <c r="U115" s="33"/>
      <c r="V115" s="33"/>
      <c r="W115" s="33"/>
    </row>
    <row r="116" customFormat="false" ht="15" hidden="false" customHeight="false" outlineLevel="0" collapsed="false">
      <c r="A116" s="33"/>
      <c r="B116" s="33"/>
      <c r="C116" s="33"/>
      <c r="D116" s="33"/>
      <c r="E116" s="33"/>
      <c r="F116" s="33"/>
      <c r="G116" s="33"/>
      <c r="H116" s="33"/>
      <c r="I116" s="33"/>
      <c r="J116" s="33"/>
      <c r="K116" s="33"/>
      <c r="L116" s="34"/>
      <c r="M116" s="34"/>
      <c r="N116" s="34"/>
      <c r="O116" s="34"/>
      <c r="P116" s="33"/>
      <c r="Q116" s="35"/>
      <c r="R116" s="33"/>
      <c r="S116" s="33"/>
      <c r="T116" s="33"/>
      <c r="U116" s="33"/>
      <c r="V116" s="33"/>
      <c r="W116" s="33"/>
    </row>
    <row r="117" customFormat="false" ht="15" hidden="false" customHeight="false" outlineLevel="0" collapsed="false">
      <c r="A117" s="33"/>
      <c r="B117" s="33"/>
      <c r="C117" s="33"/>
      <c r="D117" s="33"/>
      <c r="E117" s="33"/>
      <c r="F117" s="33"/>
      <c r="G117" s="33"/>
      <c r="H117" s="33"/>
      <c r="I117" s="33"/>
      <c r="J117" s="33"/>
      <c r="K117" s="33"/>
      <c r="L117" s="34"/>
      <c r="M117" s="34"/>
      <c r="N117" s="34"/>
      <c r="O117" s="34"/>
      <c r="P117" s="33"/>
      <c r="Q117" s="35"/>
      <c r="R117" s="33"/>
      <c r="S117" s="33"/>
      <c r="T117" s="33"/>
      <c r="U117" s="33"/>
      <c r="V117" s="33"/>
      <c r="W117" s="33"/>
    </row>
    <row r="118" customFormat="false" ht="15" hidden="false" customHeight="false" outlineLevel="0" collapsed="false">
      <c r="A118" s="33"/>
      <c r="B118" s="33"/>
      <c r="C118" s="33"/>
      <c r="D118" s="33"/>
      <c r="E118" s="33"/>
      <c r="F118" s="33"/>
      <c r="G118" s="33"/>
      <c r="H118" s="33"/>
      <c r="I118" s="33"/>
      <c r="J118" s="33"/>
      <c r="K118" s="33"/>
      <c r="L118" s="34"/>
      <c r="M118" s="34"/>
      <c r="N118" s="34"/>
      <c r="O118" s="34"/>
      <c r="P118" s="33"/>
      <c r="Q118" s="35"/>
      <c r="R118" s="33"/>
      <c r="S118" s="33"/>
      <c r="T118" s="33"/>
      <c r="U118" s="33"/>
      <c r="V118" s="33"/>
      <c r="W118" s="33"/>
    </row>
    <row r="119" customFormat="false" ht="15" hidden="false" customHeight="false" outlineLevel="0" collapsed="false">
      <c r="A119" s="33"/>
      <c r="B119" s="33"/>
      <c r="C119" s="33"/>
      <c r="D119" s="33"/>
      <c r="E119" s="33"/>
      <c r="F119" s="33"/>
      <c r="G119" s="33"/>
      <c r="H119" s="33"/>
      <c r="I119" s="33"/>
      <c r="J119" s="33"/>
      <c r="K119" s="33"/>
      <c r="L119" s="34"/>
      <c r="M119" s="34"/>
      <c r="N119" s="34"/>
      <c r="O119" s="34"/>
      <c r="P119" s="33"/>
      <c r="Q119" s="35"/>
      <c r="R119" s="33"/>
      <c r="S119" s="33"/>
      <c r="T119" s="33"/>
      <c r="U119" s="33"/>
      <c r="V119" s="33"/>
      <c r="W119" s="33"/>
    </row>
    <row r="120" customFormat="false" ht="15" hidden="false" customHeight="false" outlineLevel="0" collapsed="false">
      <c r="A120" s="33"/>
      <c r="B120" s="33"/>
      <c r="C120" s="33"/>
      <c r="D120" s="33"/>
      <c r="E120" s="33"/>
      <c r="F120" s="33"/>
      <c r="G120" s="33"/>
      <c r="H120" s="33"/>
      <c r="I120" s="33"/>
      <c r="J120" s="33"/>
      <c r="K120" s="33"/>
      <c r="L120" s="34"/>
      <c r="M120" s="34"/>
      <c r="N120" s="34"/>
      <c r="O120" s="34"/>
      <c r="P120" s="33"/>
      <c r="Q120" s="35"/>
      <c r="R120" s="33"/>
      <c r="S120" s="33"/>
      <c r="T120" s="33"/>
      <c r="U120" s="33"/>
      <c r="V120" s="33"/>
      <c r="W120" s="33"/>
    </row>
    <row r="121" customFormat="false" ht="15" hidden="false" customHeight="false" outlineLevel="0" collapsed="false">
      <c r="A121" s="33"/>
      <c r="B121" s="33"/>
      <c r="C121" s="33"/>
      <c r="D121" s="33"/>
      <c r="E121" s="33"/>
      <c r="F121" s="33"/>
      <c r="G121" s="33"/>
      <c r="H121" s="33"/>
      <c r="I121" s="33"/>
      <c r="J121" s="33"/>
      <c r="K121" s="33"/>
      <c r="L121" s="34"/>
      <c r="M121" s="34"/>
      <c r="N121" s="34"/>
      <c r="O121" s="34"/>
      <c r="P121" s="33"/>
      <c r="Q121" s="35"/>
      <c r="R121" s="33"/>
      <c r="S121" s="33"/>
      <c r="T121" s="33"/>
      <c r="U121" s="33"/>
      <c r="V121" s="33"/>
      <c r="W121" s="33"/>
    </row>
    <row r="122" customFormat="false" ht="15" hidden="false" customHeight="false" outlineLevel="0" collapsed="false">
      <c r="A122" s="33"/>
      <c r="B122" s="33"/>
      <c r="C122" s="33"/>
      <c r="D122" s="33"/>
      <c r="E122" s="33"/>
      <c r="F122" s="33"/>
      <c r="G122" s="33"/>
      <c r="H122" s="33"/>
      <c r="I122" s="33"/>
      <c r="J122" s="33"/>
      <c r="K122" s="33"/>
      <c r="L122" s="34"/>
      <c r="M122" s="34"/>
      <c r="N122" s="34"/>
      <c r="O122" s="34"/>
      <c r="P122" s="33"/>
      <c r="Q122" s="35"/>
      <c r="R122" s="33"/>
      <c r="S122" s="33"/>
      <c r="T122" s="33"/>
      <c r="U122" s="33"/>
      <c r="V122" s="33"/>
      <c r="W122" s="33"/>
    </row>
    <row r="123" customFormat="false" ht="15" hidden="false" customHeight="false" outlineLevel="0" collapsed="false">
      <c r="A123" s="33"/>
      <c r="B123" s="33"/>
      <c r="C123" s="33"/>
      <c r="D123" s="33"/>
      <c r="E123" s="33"/>
      <c r="F123" s="33"/>
      <c r="G123" s="33"/>
      <c r="H123" s="33"/>
      <c r="I123" s="33"/>
      <c r="J123" s="33"/>
      <c r="K123" s="33"/>
      <c r="L123" s="34"/>
      <c r="M123" s="34"/>
      <c r="N123" s="34"/>
      <c r="O123" s="34"/>
      <c r="P123" s="33"/>
      <c r="Q123" s="35"/>
      <c r="R123" s="33"/>
      <c r="S123" s="33"/>
      <c r="T123" s="33"/>
      <c r="U123" s="33"/>
      <c r="V123" s="33"/>
      <c r="W123" s="33"/>
    </row>
    <row r="124" customFormat="false" ht="15" hidden="false" customHeight="false" outlineLevel="0" collapsed="false">
      <c r="A124" s="33"/>
      <c r="B124" s="33"/>
      <c r="C124" s="33"/>
      <c r="D124" s="33"/>
      <c r="E124" s="33"/>
      <c r="F124" s="33"/>
      <c r="G124" s="33"/>
      <c r="H124" s="33"/>
      <c r="I124" s="33"/>
      <c r="J124" s="33"/>
      <c r="K124" s="33"/>
      <c r="L124" s="34"/>
      <c r="M124" s="34"/>
      <c r="N124" s="34"/>
      <c r="O124" s="34"/>
      <c r="P124" s="33"/>
      <c r="Q124" s="35"/>
      <c r="R124" s="33"/>
      <c r="S124" s="33"/>
      <c r="T124" s="33"/>
      <c r="U124" s="33"/>
      <c r="V124" s="33"/>
      <c r="W124" s="33"/>
    </row>
    <row r="125" customFormat="false" ht="15" hidden="false" customHeight="false" outlineLevel="0" collapsed="false">
      <c r="A125" s="33"/>
      <c r="B125" s="33"/>
      <c r="C125" s="33"/>
      <c r="D125" s="33"/>
      <c r="E125" s="33"/>
      <c r="F125" s="33"/>
      <c r="G125" s="33"/>
      <c r="H125" s="33"/>
      <c r="I125" s="33"/>
      <c r="J125" s="33"/>
      <c r="K125" s="33"/>
      <c r="L125" s="34"/>
      <c r="M125" s="34"/>
      <c r="N125" s="34"/>
      <c r="O125" s="34"/>
      <c r="P125" s="33"/>
      <c r="Q125" s="35"/>
      <c r="R125" s="33"/>
      <c r="S125" s="33"/>
      <c r="T125" s="33"/>
      <c r="U125" s="33"/>
      <c r="V125" s="33"/>
      <c r="W125" s="33"/>
    </row>
    <row r="126" customFormat="false" ht="15" hidden="false" customHeight="false" outlineLevel="0" collapsed="false">
      <c r="A126" s="33"/>
      <c r="B126" s="33"/>
      <c r="C126" s="33"/>
      <c r="D126" s="33"/>
      <c r="E126" s="33"/>
      <c r="F126" s="33"/>
      <c r="G126" s="33"/>
      <c r="H126" s="33"/>
      <c r="I126" s="33"/>
      <c r="J126" s="33"/>
      <c r="K126" s="33"/>
      <c r="L126" s="34"/>
      <c r="M126" s="34"/>
      <c r="N126" s="34"/>
      <c r="O126" s="34"/>
      <c r="P126" s="33"/>
      <c r="Q126" s="35"/>
      <c r="R126" s="33"/>
      <c r="S126" s="33"/>
      <c r="T126" s="33"/>
      <c r="U126" s="33"/>
      <c r="V126" s="33"/>
      <c r="W126" s="33"/>
    </row>
    <row r="127" customFormat="false" ht="15" hidden="false" customHeight="false" outlineLevel="0" collapsed="false">
      <c r="A127" s="33"/>
      <c r="B127" s="33"/>
      <c r="C127" s="33"/>
      <c r="D127" s="33"/>
      <c r="E127" s="33"/>
      <c r="F127" s="33"/>
      <c r="G127" s="33"/>
      <c r="H127" s="33"/>
      <c r="I127" s="33"/>
      <c r="J127" s="33"/>
      <c r="K127" s="33"/>
      <c r="L127" s="34"/>
      <c r="M127" s="34"/>
      <c r="N127" s="34"/>
      <c r="O127" s="34"/>
      <c r="P127" s="33"/>
      <c r="Q127" s="35"/>
      <c r="R127" s="33"/>
      <c r="S127" s="33"/>
      <c r="T127" s="33"/>
      <c r="U127" s="33"/>
      <c r="V127" s="33"/>
      <c r="W127" s="33"/>
    </row>
    <row r="128" customFormat="false" ht="15" hidden="false" customHeight="false" outlineLevel="0" collapsed="false">
      <c r="A128" s="33"/>
      <c r="B128" s="33"/>
      <c r="C128" s="33"/>
      <c r="D128" s="33"/>
      <c r="E128" s="33"/>
      <c r="F128" s="33"/>
      <c r="G128" s="33"/>
      <c r="H128" s="33"/>
      <c r="I128" s="33"/>
      <c r="J128" s="33"/>
      <c r="K128" s="33"/>
      <c r="L128" s="34"/>
      <c r="M128" s="34"/>
      <c r="N128" s="34"/>
      <c r="O128" s="34"/>
      <c r="P128" s="33"/>
      <c r="Q128" s="35"/>
      <c r="R128" s="33"/>
      <c r="S128" s="33"/>
      <c r="T128" s="33"/>
      <c r="U128" s="33"/>
      <c r="V128" s="33"/>
      <c r="W128" s="33"/>
    </row>
    <row r="129" customFormat="false" ht="15" hidden="false" customHeight="false" outlineLevel="0" collapsed="false">
      <c r="A129" s="33"/>
      <c r="B129" s="33"/>
      <c r="C129" s="33"/>
      <c r="D129" s="33"/>
      <c r="E129" s="33"/>
      <c r="F129" s="33"/>
      <c r="G129" s="33"/>
      <c r="H129" s="33"/>
      <c r="I129" s="33"/>
      <c r="J129" s="33"/>
      <c r="K129" s="33"/>
      <c r="L129" s="34"/>
      <c r="M129" s="34"/>
      <c r="N129" s="34"/>
      <c r="O129" s="34"/>
      <c r="P129" s="33"/>
      <c r="Q129" s="35"/>
      <c r="R129" s="33"/>
      <c r="S129" s="33"/>
      <c r="T129" s="33"/>
      <c r="U129" s="33"/>
      <c r="V129" s="33"/>
      <c r="W129" s="33"/>
    </row>
    <row r="130" customFormat="false" ht="15" hidden="false" customHeight="false" outlineLevel="0" collapsed="false">
      <c r="A130" s="33"/>
      <c r="B130" s="33"/>
      <c r="C130" s="33"/>
      <c r="D130" s="33"/>
      <c r="E130" s="33"/>
      <c r="F130" s="33"/>
      <c r="G130" s="33"/>
      <c r="H130" s="33"/>
      <c r="I130" s="33"/>
      <c r="J130" s="33"/>
      <c r="K130" s="33"/>
      <c r="L130" s="34"/>
      <c r="M130" s="34"/>
      <c r="N130" s="34"/>
      <c r="O130" s="34"/>
      <c r="P130" s="33"/>
      <c r="Q130" s="35"/>
      <c r="R130" s="33"/>
      <c r="S130" s="33"/>
      <c r="T130" s="33"/>
      <c r="U130" s="33"/>
      <c r="V130" s="33"/>
      <c r="W130" s="33"/>
    </row>
    <row r="131" customFormat="false" ht="15" hidden="false" customHeight="false" outlineLevel="0" collapsed="false">
      <c r="A131" s="33"/>
      <c r="B131" s="33"/>
      <c r="C131" s="33"/>
      <c r="D131" s="33"/>
      <c r="E131" s="33"/>
      <c r="F131" s="33"/>
      <c r="G131" s="33"/>
      <c r="H131" s="33"/>
      <c r="I131" s="33"/>
      <c r="J131" s="33"/>
      <c r="K131" s="33"/>
      <c r="L131" s="34"/>
      <c r="M131" s="34"/>
      <c r="N131" s="34"/>
      <c r="O131" s="34"/>
      <c r="P131" s="33"/>
      <c r="Q131" s="35"/>
      <c r="R131" s="33"/>
      <c r="S131" s="33"/>
      <c r="T131" s="33"/>
      <c r="U131" s="33"/>
      <c r="V131" s="33"/>
      <c r="W131" s="33"/>
    </row>
    <row r="132" customFormat="false" ht="15" hidden="false" customHeight="false" outlineLevel="0" collapsed="false">
      <c r="A132" s="33"/>
      <c r="B132" s="33"/>
      <c r="C132" s="33"/>
      <c r="D132" s="33"/>
      <c r="E132" s="33"/>
      <c r="F132" s="33"/>
      <c r="G132" s="33"/>
      <c r="H132" s="33"/>
      <c r="I132" s="33"/>
      <c r="J132" s="33"/>
      <c r="K132" s="33"/>
      <c r="L132" s="34"/>
      <c r="M132" s="34"/>
      <c r="N132" s="34"/>
      <c r="O132" s="34"/>
      <c r="P132" s="33"/>
      <c r="Q132" s="35"/>
      <c r="R132" s="33"/>
      <c r="S132" s="33"/>
      <c r="T132" s="33"/>
      <c r="U132" s="33"/>
      <c r="V132" s="33"/>
      <c r="W132" s="33"/>
    </row>
    <row r="133" customFormat="false" ht="15" hidden="false" customHeight="false" outlineLevel="0" collapsed="false">
      <c r="A133" s="33"/>
      <c r="B133" s="33"/>
      <c r="C133" s="33"/>
      <c r="D133" s="33"/>
      <c r="E133" s="33"/>
      <c r="F133" s="33"/>
      <c r="G133" s="33"/>
      <c r="H133" s="33"/>
      <c r="I133" s="33"/>
      <c r="J133" s="33"/>
      <c r="K133" s="33"/>
      <c r="L133" s="34"/>
      <c r="M133" s="34"/>
      <c r="N133" s="34"/>
      <c r="O133" s="34"/>
      <c r="P133" s="33"/>
      <c r="Q133" s="35"/>
      <c r="R133" s="33"/>
      <c r="S133" s="33"/>
      <c r="T133" s="33"/>
      <c r="U133" s="33"/>
      <c r="V133" s="33"/>
      <c r="W133" s="33"/>
    </row>
    <row r="134" customFormat="false" ht="15" hidden="false" customHeight="false" outlineLevel="0" collapsed="false">
      <c r="A134" s="33"/>
      <c r="B134" s="33"/>
      <c r="C134" s="33"/>
      <c r="D134" s="33"/>
      <c r="E134" s="33"/>
      <c r="F134" s="33"/>
      <c r="G134" s="33"/>
      <c r="H134" s="33"/>
      <c r="I134" s="33"/>
      <c r="J134" s="33"/>
      <c r="K134" s="33"/>
      <c r="L134" s="34"/>
      <c r="M134" s="34"/>
      <c r="N134" s="34"/>
      <c r="O134" s="34"/>
      <c r="P134" s="33"/>
      <c r="Q134" s="35"/>
      <c r="R134" s="33"/>
      <c r="S134" s="33"/>
      <c r="T134" s="33"/>
      <c r="U134" s="33"/>
      <c r="V134" s="33"/>
      <c r="W134" s="33"/>
    </row>
    <row r="135" customFormat="false" ht="15" hidden="false" customHeight="false" outlineLevel="0" collapsed="false">
      <c r="A135" s="33"/>
      <c r="B135" s="33"/>
      <c r="C135" s="33"/>
      <c r="D135" s="33"/>
      <c r="E135" s="33"/>
      <c r="F135" s="33"/>
      <c r="G135" s="33"/>
      <c r="H135" s="33"/>
      <c r="I135" s="33"/>
      <c r="J135" s="33"/>
      <c r="K135" s="33"/>
      <c r="L135" s="34"/>
      <c r="M135" s="34"/>
      <c r="N135" s="34"/>
      <c r="O135" s="34"/>
      <c r="P135" s="33"/>
      <c r="Q135" s="35"/>
      <c r="R135" s="33"/>
      <c r="S135" s="33"/>
      <c r="T135" s="33"/>
      <c r="U135" s="33"/>
      <c r="V135" s="33"/>
      <c r="W135" s="33"/>
    </row>
    <row r="136" customFormat="false" ht="15" hidden="false" customHeight="false" outlineLevel="0" collapsed="false">
      <c r="A136" s="33"/>
      <c r="B136" s="33"/>
      <c r="C136" s="33"/>
      <c r="D136" s="33"/>
      <c r="E136" s="33"/>
      <c r="F136" s="33"/>
      <c r="G136" s="33"/>
      <c r="H136" s="33"/>
      <c r="I136" s="33"/>
      <c r="J136" s="33"/>
      <c r="K136" s="33"/>
      <c r="L136" s="34"/>
      <c r="M136" s="34"/>
      <c r="N136" s="34"/>
      <c r="O136" s="34"/>
      <c r="P136" s="33"/>
      <c r="Q136" s="35"/>
      <c r="R136" s="33"/>
      <c r="S136" s="33"/>
      <c r="T136" s="33"/>
      <c r="U136" s="33"/>
      <c r="V136" s="33"/>
      <c r="W136" s="33"/>
    </row>
    <row r="137" customFormat="false" ht="15" hidden="false" customHeight="false" outlineLevel="0" collapsed="false">
      <c r="A137" s="33"/>
      <c r="B137" s="33"/>
      <c r="C137" s="33"/>
      <c r="D137" s="33"/>
      <c r="E137" s="33"/>
      <c r="F137" s="33"/>
      <c r="G137" s="33"/>
      <c r="H137" s="33"/>
      <c r="I137" s="33"/>
      <c r="J137" s="33"/>
      <c r="K137" s="33"/>
      <c r="L137" s="34"/>
      <c r="M137" s="34"/>
      <c r="N137" s="34"/>
      <c r="O137" s="34"/>
      <c r="P137" s="33"/>
      <c r="Q137" s="35"/>
      <c r="R137" s="33"/>
      <c r="S137" s="33"/>
      <c r="T137" s="33"/>
      <c r="U137" s="33"/>
      <c r="V137" s="33"/>
      <c r="W137" s="33"/>
    </row>
    <row r="138" customFormat="false" ht="15" hidden="false" customHeight="false" outlineLevel="0" collapsed="false">
      <c r="A138" s="33"/>
      <c r="B138" s="33"/>
      <c r="C138" s="33"/>
      <c r="D138" s="33"/>
      <c r="E138" s="33"/>
      <c r="F138" s="33"/>
      <c r="G138" s="33"/>
      <c r="H138" s="33"/>
      <c r="I138" s="33"/>
      <c r="J138" s="33"/>
      <c r="K138" s="33"/>
      <c r="L138" s="34"/>
      <c r="M138" s="34"/>
      <c r="N138" s="34"/>
      <c r="O138" s="34"/>
      <c r="P138" s="33"/>
      <c r="Q138" s="35"/>
      <c r="R138" s="33"/>
      <c r="S138" s="33"/>
      <c r="T138" s="33"/>
      <c r="U138" s="33"/>
      <c r="V138" s="33"/>
      <c r="W138" s="33"/>
    </row>
    <row r="139" customFormat="false" ht="15" hidden="false" customHeight="false" outlineLevel="0" collapsed="false">
      <c r="A139" s="33"/>
      <c r="B139" s="33"/>
      <c r="C139" s="33"/>
      <c r="D139" s="33"/>
      <c r="E139" s="33"/>
      <c r="F139" s="33"/>
      <c r="G139" s="33"/>
      <c r="H139" s="33"/>
      <c r="I139" s="33"/>
      <c r="J139" s="33"/>
      <c r="K139" s="33"/>
      <c r="L139" s="34"/>
      <c r="M139" s="34"/>
      <c r="N139" s="34"/>
      <c r="O139" s="34"/>
      <c r="P139" s="33"/>
      <c r="Q139" s="35"/>
      <c r="R139" s="33"/>
      <c r="S139" s="33"/>
      <c r="T139" s="33"/>
      <c r="U139" s="33"/>
      <c r="V139" s="33"/>
      <c r="W139" s="33"/>
    </row>
    <row r="140" customFormat="false" ht="15" hidden="false" customHeight="false" outlineLevel="0" collapsed="false">
      <c r="A140" s="33"/>
      <c r="B140" s="33"/>
      <c r="C140" s="33"/>
      <c r="D140" s="33"/>
      <c r="E140" s="33"/>
      <c r="F140" s="33"/>
      <c r="G140" s="33"/>
      <c r="H140" s="33"/>
      <c r="I140" s="33"/>
      <c r="J140" s="33"/>
      <c r="K140" s="33"/>
      <c r="L140" s="34"/>
      <c r="M140" s="34"/>
      <c r="N140" s="34"/>
      <c r="O140" s="34"/>
      <c r="P140" s="33"/>
      <c r="Q140" s="35"/>
      <c r="R140" s="33"/>
      <c r="S140" s="33"/>
      <c r="T140" s="33"/>
      <c r="U140" s="33"/>
      <c r="V140" s="33"/>
      <c r="W140" s="33"/>
    </row>
    <row r="141" customFormat="false" ht="15" hidden="false" customHeight="false" outlineLevel="0" collapsed="false">
      <c r="A141" s="33"/>
      <c r="B141" s="33"/>
      <c r="C141" s="33"/>
      <c r="D141" s="33"/>
      <c r="E141" s="33"/>
      <c r="F141" s="33"/>
      <c r="G141" s="33"/>
      <c r="H141" s="33"/>
      <c r="I141" s="33"/>
      <c r="J141" s="33"/>
      <c r="K141" s="33"/>
      <c r="L141" s="34"/>
      <c r="M141" s="34"/>
      <c r="N141" s="34"/>
      <c r="O141" s="34"/>
      <c r="P141" s="33"/>
      <c r="Q141" s="35"/>
      <c r="R141" s="33"/>
      <c r="S141" s="33"/>
      <c r="T141" s="33"/>
      <c r="U141" s="33"/>
      <c r="V141" s="33"/>
      <c r="W141" s="33"/>
    </row>
    <row r="142" customFormat="false" ht="15" hidden="false" customHeight="false" outlineLevel="0" collapsed="false">
      <c r="A142" s="33"/>
      <c r="B142" s="33"/>
      <c r="C142" s="33"/>
      <c r="D142" s="33"/>
      <c r="E142" s="33"/>
      <c r="F142" s="33"/>
      <c r="G142" s="33"/>
      <c r="H142" s="33"/>
      <c r="I142" s="33"/>
      <c r="J142" s="33"/>
      <c r="K142" s="33"/>
      <c r="L142" s="34"/>
      <c r="M142" s="34"/>
      <c r="N142" s="34"/>
      <c r="O142" s="34"/>
      <c r="P142" s="33"/>
      <c r="Q142" s="35"/>
      <c r="R142" s="33"/>
      <c r="S142" s="33"/>
      <c r="T142" s="33"/>
      <c r="U142" s="33"/>
      <c r="V142" s="33"/>
      <c r="W142" s="33"/>
    </row>
    <row r="143" customFormat="false" ht="15" hidden="false" customHeight="false" outlineLevel="0" collapsed="false">
      <c r="A143" s="33"/>
      <c r="B143" s="33"/>
      <c r="C143" s="33"/>
      <c r="D143" s="33"/>
      <c r="E143" s="33"/>
      <c r="F143" s="33"/>
      <c r="G143" s="33"/>
      <c r="H143" s="33"/>
      <c r="I143" s="33"/>
      <c r="J143" s="33"/>
      <c r="K143" s="33"/>
      <c r="L143" s="34"/>
      <c r="M143" s="34"/>
      <c r="N143" s="34"/>
      <c r="O143" s="34"/>
      <c r="P143" s="33"/>
      <c r="Q143" s="35"/>
      <c r="R143" s="33"/>
      <c r="S143" s="33"/>
      <c r="T143" s="33"/>
      <c r="U143" s="33"/>
      <c r="V143" s="33"/>
      <c r="W143" s="33"/>
    </row>
    <row r="144" customFormat="false" ht="15" hidden="false" customHeight="false" outlineLevel="0" collapsed="false">
      <c r="A144" s="33"/>
      <c r="B144" s="33"/>
      <c r="C144" s="33"/>
      <c r="D144" s="33"/>
      <c r="E144" s="33"/>
      <c r="F144" s="33"/>
      <c r="G144" s="33"/>
      <c r="H144" s="33"/>
      <c r="I144" s="33"/>
      <c r="J144" s="33"/>
      <c r="K144" s="33"/>
      <c r="L144" s="34"/>
      <c r="M144" s="34"/>
      <c r="N144" s="34"/>
      <c r="O144" s="34"/>
      <c r="P144" s="33"/>
      <c r="Q144" s="35"/>
      <c r="R144" s="33"/>
      <c r="S144" s="33"/>
      <c r="T144" s="33"/>
      <c r="U144" s="33"/>
      <c r="V144" s="33"/>
      <c r="W144" s="33"/>
    </row>
    <row r="145" customFormat="false" ht="15" hidden="false" customHeight="false" outlineLevel="0" collapsed="false">
      <c r="A145" s="33"/>
      <c r="B145" s="33"/>
      <c r="C145" s="33"/>
      <c r="D145" s="33"/>
      <c r="E145" s="33"/>
      <c r="F145" s="33"/>
      <c r="G145" s="33"/>
      <c r="H145" s="33"/>
      <c r="I145" s="33"/>
      <c r="J145" s="33"/>
      <c r="K145" s="33"/>
      <c r="L145" s="34"/>
      <c r="M145" s="34"/>
      <c r="N145" s="34"/>
      <c r="O145" s="34"/>
      <c r="P145" s="33"/>
      <c r="Q145" s="35"/>
      <c r="R145" s="33"/>
      <c r="S145" s="33"/>
      <c r="T145" s="33"/>
      <c r="U145" s="33"/>
      <c r="V145" s="33"/>
      <c r="W145" s="33"/>
    </row>
    <row r="146" customFormat="false" ht="15" hidden="false" customHeight="false" outlineLevel="0" collapsed="false">
      <c r="A146" s="33"/>
      <c r="B146" s="33"/>
      <c r="C146" s="33"/>
      <c r="D146" s="33"/>
      <c r="E146" s="33"/>
      <c r="F146" s="33"/>
      <c r="G146" s="33"/>
      <c r="H146" s="33"/>
      <c r="I146" s="33"/>
      <c r="J146" s="33"/>
      <c r="K146" s="33"/>
      <c r="L146" s="34"/>
      <c r="M146" s="34"/>
      <c r="N146" s="34"/>
      <c r="O146" s="34"/>
      <c r="P146" s="33"/>
      <c r="Q146" s="35"/>
      <c r="R146" s="33"/>
      <c r="S146" s="33"/>
      <c r="T146" s="33"/>
      <c r="U146" s="33"/>
      <c r="V146" s="33"/>
      <c r="W146" s="33"/>
    </row>
    <row r="147" customFormat="false" ht="15" hidden="false" customHeight="false" outlineLevel="0" collapsed="false">
      <c r="A147" s="33"/>
      <c r="B147" s="33"/>
      <c r="C147" s="33"/>
      <c r="D147" s="33"/>
      <c r="E147" s="33"/>
      <c r="F147" s="33"/>
      <c r="G147" s="33"/>
      <c r="H147" s="33"/>
      <c r="I147" s="33"/>
      <c r="J147" s="33"/>
      <c r="K147" s="33"/>
      <c r="L147" s="34"/>
      <c r="M147" s="34"/>
      <c r="N147" s="34"/>
      <c r="O147" s="34"/>
      <c r="P147" s="33"/>
      <c r="Q147" s="35"/>
      <c r="R147" s="33"/>
      <c r="S147" s="33"/>
      <c r="T147" s="33"/>
      <c r="U147" s="33"/>
      <c r="V147" s="33"/>
      <c r="W147" s="33"/>
    </row>
    <row r="148" customFormat="false" ht="15" hidden="false" customHeight="false" outlineLevel="0" collapsed="false">
      <c r="A148" s="33"/>
      <c r="B148" s="33"/>
      <c r="C148" s="33"/>
      <c r="D148" s="33"/>
      <c r="E148" s="33"/>
      <c r="F148" s="33"/>
      <c r="G148" s="33"/>
      <c r="H148" s="33"/>
      <c r="I148" s="33"/>
      <c r="J148" s="33"/>
      <c r="K148" s="33"/>
      <c r="L148" s="34"/>
      <c r="M148" s="34"/>
      <c r="N148" s="34"/>
      <c r="O148" s="34"/>
      <c r="P148" s="33"/>
      <c r="Q148" s="35"/>
      <c r="R148" s="33"/>
      <c r="S148" s="33"/>
      <c r="T148" s="33"/>
      <c r="U148" s="33"/>
      <c r="V148" s="33"/>
      <c r="W148" s="33"/>
    </row>
    <row r="149" customFormat="false" ht="15" hidden="false" customHeight="false" outlineLevel="0" collapsed="false">
      <c r="A149" s="33"/>
      <c r="B149" s="33"/>
      <c r="C149" s="33"/>
      <c r="D149" s="33"/>
      <c r="E149" s="33"/>
      <c r="F149" s="33"/>
      <c r="G149" s="33"/>
      <c r="H149" s="33"/>
      <c r="I149" s="33"/>
      <c r="J149" s="33"/>
      <c r="K149" s="33"/>
      <c r="L149" s="34"/>
      <c r="M149" s="34"/>
      <c r="N149" s="34"/>
      <c r="O149" s="34"/>
      <c r="P149" s="33"/>
      <c r="Q149" s="35"/>
      <c r="R149" s="33"/>
      <c r="S149" s="33"/>
      <c r="T149" s="33"/>
      <c r="U149" s="33"/>
      <c r="V149" s="33"/>
      <c r="W149" s="33"/>
    </row>
    <row r="150" customFormat="false" ht="15" hidden="false" customHeight="false" outlineLevel="0" collapsed="false">
      <c r="A150" s="33"/>
      <c r="B150" s="33"/>
      <c r="C150" s="33"/>
      <c r="D150" s="33"/>
      <c r="E150" s="33"/>
      <c r="F150" s="33"/>
      <c r="G150" s="33"/>
      <c r="H150" s="33"/>
      <c r="I150" s="33"/>
      <c r="J150" s="33"/>
      <c r="K150" s="33"/>
      <c r="L150" s="34"/>
      <c r="M150" s="34"/>
      <c r="N150" s="34"/>
      <c r="O150" s="34"/>
      <c r="P150" s="33"/>
      <c r="Q150" s="35"/>
      <c r="R150" s="33"/>
      <c r="S150" s="33"/>
      <c r="T150" s="33"/>
      <c r="U150" s="33"/>
      <c r="V150" s="33"/>
      <c r="W150" s="33"/>
    </row>
    <row r="151" customFormat="false" ht="15" hidden="false" customHeight="false" outlineLevel="0" collapsed="false">
      <c r="A151" s="33"/>
      <c r="B151" s="33"/>
      <c r="C151" s="33"/>
      <c r="D151" s="33"/>
      <c r="E151" s="33"/>
      <c r="F151" s="33"/>
      <c r="G151" s="33"/>
      <c r="H151" s="33"/>
      <c r="I151" s="33"/>
      <c r="J151" s="33"/>
      <c r="K151" s="33"/>
      <c r="L151" s="34"/>
      <c r="M151" s="34"/>
      <c r="N151" s="34"/>
      <c r="O151" s="34"/>
      <c r="P151" s="33"/>
      <c r="Q151" s="35"/>
      <c r="R151" s="33"/>
      <c r="S151" s="33"/>
      <c r="T151" s="33"/>
      <c r="U151" s="33"/>
      <c r="V151" s="33"/>
      <c r="W151" s="33"/>
    </row>
    <row r="152" customFormat="false" ht="15" hidden="false" customHeight="false" outlineLevel="0" collapsed="false">
      <c r="A152" s="33"/>
      <c r="B152" s="33"/>
      <c r="C152" s="33"/>
      <c r="D152" s="33"/>
      <c r="E152" s="33"/>
      <c r="F152" s="33"/>
      <c r="G152" s="33"/>
      <c r="H152" s="33"/>
      <c r="I152" s="33"/>
      <c r="J152" s="33"/>
      <c r="K152" s="33"/>
      <c r="L152" s="34"/>
      <c r="M152" s="34"/>
      <c r="N152" s="34"/>
      <c r="O152" s="34"/>
      <c r="P152" s="33"/>
      <c r="Q152" s="35"/>
      <c r="R152" s="33"/>
      <c r="S152" s="33"/>
      <c r="T152" s="33"/>
      <c r="U152" s="33"/>
      <c r="V152" s="33"/>
      <c r="W152" s="33"/>
    </row>
    <row r="153" customFormat="false" ht="15" hidden="false" customHeight="false" outlineLevel="0" collapsed="false">
      <c r="A153" s="33"/>
      <c r="B153" s="33"/>
      <c r="C153" s="33"/>
      <c r="D153" s="33"/>
      <c r="E153" s="33"/>
      <c r="F153" s="33"/>
      <c r="G153" s="33"/>
      <c r="H153" s="33"/>
      <c r="I153" s="33"/>
      <c r="J153" s="33"/>
      <c r="K153" s="33"/>
      <c r="L153" s="34"/>
      <c r="M153" s="34"/>
      <c r="N153" s="34"/>
      <c r="O153" s="34"/>
      <c r="P153" s="33"/>
      <c r="Q153" s="35"/>
      <c r="R153" s="33"/>
      <c r="S153" s="33"/>
      <c r="T153" s="33"/>
      <c r="U153" s="33"/>
      <c r="V153" s="33"/>
      <c r="W153" s="33"/>
    </row>
    <row r="154" customFormat="false" ht="15" hidden="false" customHeight="false" outlineLevel="0" collapsed="false">
      <c r="A154" s="33"/>
      <c r="B154" s="33"/>
      <c r="C154" s="33"/>
      <c r="D154" s="33"/>
      <c r="E154" s="33"/>
      <c r="F154" s="33"/>
      <c r="G154" s="33"/>
      <c r="H154" s="33"/>
      <c r="I154" s="33"/>
      <c r="J154" s="33"/>
      <c r="K154" s="33"/>
      <c r="L154" s="34"/>
      <c r="M154" s="34"/>
      <c r="N154" s="34"/>
      <c r="O154" s="34"/>
      <c r="P154" s="33"/>
      <c r="Q154" s="35"/>
      <c r="R154" s="33"/>
      <c r="S154" s="33"/>
      <c r="T154" s="33"/>
      <c r="U154" s="33"/>
      <c r="V154" s="33"/>
      <c r="W154" s="33"/>
    </row>
    <row r="155" customFormat="false" ht="15" hidden="false" customHeight="false" outlineLevel="0" collapsed="false">
      <c r="A155" s="33"/>
      <c r="B155" s="33"/>
      <c r="C155" s="33"/>
      <c r="D155" s="33"/>
      <c r="E155" s="33"/>
      <c r="F155" s="33"/>
      <c r="G155" s="33"/>
      <c r="H155" s="33"/>
      <c r="I155" s="33"/>
      <c r="J155" s="33"/>
      <c r="K155" s="33"/>
      <c r="L155" s="34"/>
      <c r="M155" s="34"/>
      <c r="N155" s="34"/>
      <c r="O155" s="34"/>
      <c r="P155" s="33"/>
      <c r="Q155" s="35"/>
      <c r="R155" s="33"/>
      <c r="S155" s="33"/>
      <c r="T155" s="33"/>
      <c r="U155" s="33"/>
      <c r="V155" s="33"/>
      <c r="W155" s="33"/>
    </row>
    <row r="156" customFormat="false" ht="15" hidden="false" customHeight="false" outlineLevel="0" collapsed="false">
      <c r="A156" s="33"/>
      <c r="B156" s="33"/>
      <c r="C156" s="33"/>
      <c r="D156" s="33"/>
      <c r="E156" s="33"/>
      <c r="F156" s="33"/>
      <c r="G156" s="33"/>
      <c r="H156" s="33"/>
      <c r="I156" s="33"/>
      <c r="J156" s="33"/>
      <c r="K156" s="33"/>
      <c r="L156" s="34"/>
      <c r="M156" s="34"/>
      <c r="N156" s="34"/>
      <c r="O156" s="34"/>
      <c r="P156" s="33"/>
      <c r="Q156" s="35"/>
      <c r="R156" s="33"/>
      <c r="S156" s="33"/>
      <c r="T156" s="33"/>
      <c r="U156" s="33"/>
      <c r="V156" s="33"/>
      <c r="W156" s="33"/>
    </row>
    <row r="157" customFormat="false" ht="15" hidden="false" customHeight="false" outlineLevel="0" collapsed="false">
      <c r="A157" s="33"/>
      <c r="B157" s="33"/>
      <c r="C157" s="33"/>
      <c r="D157" s="33"/>
      <c r="E157" s="33"/>
      <c r="F157" s="33"/>
      <c r="G157" s="33"/>
      <c r="H157" s="33"/>
      <c r="I157" s="33"/>
      <c r="J157" s="33"/>
      <c r="K157" s="33"/>
      <c r="L157" s="34"/>
      <c r="M157" s="34"/>
      <c r="N157" s="34"/>
      <c r="O157" s="34"/>
      <c r="P157" s="33"/>
      <c r="Q157" s="35"/>
      <c r="R157" s="33"/>
      <c r="S157" s="33"/>
      <c r="T157" s="33"/>
      <c r="U157" s="33"/>
      <c r="V157" s="33"/>
      <c r="W157" s="33"/>
    </row>
    <row r="158" customFormat="false" ht="15" hidden="false" customHeight="false" outlineLevel="0" collapsed="false">
      <c r="A158" s="33"/>
      <c r="B158" s="33"/>
      <c r="C158" s="33"/>
      <c r="D158" s="33"/>
      <c r="E158" s="33"/>
      <c r="F158" s="33"/>
      <c r="G158" s="33"/>
      <c r="H158" s="33"/>
      <c r="I158" s="33"/>
      <c r="J158" s="33"/>
      <c r="K158" s="33"/>
      <c r="L158" s="34"/>
      <c r="M158" s="34"/>
      <c r="N158" s="34"/>
      <c r="O158" s="34"/>
      <c r="P158" s="33"/>
      <c r="Q158" s="35"/>
      <c r="R158" s="33"/>
      <c r="S158" s="33"/>
      <c r="T158" s="33"/>
      <c r="U158" s="33"/>
      <c r="V158" s="33"/>
      <c r="W158" s="33"/>
    </row>
    <row r="159" customFormat="false" ht="15" hidden="false" customHeight="false" outlineLevel="0" collapsed="false">
      <c r="A159" s="33"/>
      <c r="B159" s="33"/>
      <c r="C159" s="33"/>
      <c r="D159" s="33"/>
      <c r="E159" s="33"/>
      <c r="F159" s="33"/>
      <c r="G159" s="33"/>
      <c r="H159" s="33"/>
      <c r="I159" s="33"/>
      <c r="J159" s="33"/>
      <c r="K159" s="33"/>
      <c r="L159" s="34"/>
      <c r="M159" s="34"/>
      <c r="N159" s="34"/>
      <c r="O159" s="34"/>
      <c r="P159" s="33"/>
      <c r="Q159" s="35"/>
      <c r="R159" s="33"/>
      <c r="S159" s="33"/>
      <c r="T159" s="33"/>
      <c r="U159" s="33"/>
      <c r="V159" s="33"/>
      <c r="W159" s="33"/>
    </row>
    <row r="160" customFormat="false" ht="15" hidden="false" customHeight="false" outlineLevel="0" collapsed="false">
      <c r="A160" s="33"/>
      <c r="B160" s="33"/>
      <c r="C160" s="33"/>
      <c r="D160" s="33"/>
      <c r="E160" s="33"/>
      <c r="F160" s="33"/>
      <c r="G160" s="33"/>
      <c r="H160" s="33"/>
      <c r="I160" s="33"/>
      <c r="J160" s="33"/>
      <c r="K160" s="33"/>
      <c r="L160" s="34"/>
      <c r="M160" s="34"/>
      <c r="N160" s="34"/>
      <c r="O160" s="34"/>
      <c r="P160" s="33"/>
      <c r="Q160" s="35"/>
      <c r="R160" s="33"/>
      <c r="S160" s="33"/>
      <c r="T160" s="33"/>
      <c r="U160" s="33"/>
      <c r="V160" s="33"/>
      <c r="W160" s="33"/>
    </row>
    <row r="161" customFormat="false" ht="15" hidden="false" customHeight="false" outlineLevel="0" collapsed="false">
      <c r="A161" s="33"/>
      <c r="B161" s="33"/>
      <c r="C161" s="33"/>
      <c r="D161" s="33"/>
      <c r="E161" s="33"/>
      <c r="F161" s="33"/>
      <c r="G161" s="33"/>
      <c r="H161" s="33"/>
      <c r="I161" s="33"/>
      <c r="J161" s="33"/>
      <c r="K161" s="33"/>
      <c r="L161" s="34"/>
      <c r="M161" s="34"/>
      <c r="N161" s="34"/>
      <c r="O161" s="34"/>
      <c r="P161" s="33"/>
      <c r="Q161" s="35"/>
      <c r="R161" s="33"/>
      <c r="S161" s="33"/>
      <c r="T161" s="33"/>
      <c r="U161" s="33"/>
      <c r="V161" s="33"/>
      <c r="W161" s="33"/>
    </row>
    <row r="162" customFormat="false" ht="15" hidden="false" customHeight="false" outlineLevel="0" collapsed="false">
      <c r="A162" s="33"/>
      <c r="B162" s="33"/>
      <c r="C162" s="33"/>
      <c r="D162" s="33"/>
      <c r="E162" s="33"/>
      <c r="F162" s="33"/>
      <c r="G162" s="33"/>
      <c r="H162" s="33"/>
      <c r="I162" s="33"/>
      <c r="J162" s="33"/>
      <c r="K162" s="33"/>
      <c r="L162" s="34"/>
      <c r="M162" s="34"/>
      <c r="N162" s="34"/>
      <c r="O162" s="34"/>
      <c r="P162" s="33"/>
      <c r="Q162" s="35"/>
      <c r="R162" s="33"/>
      <c r="S162" s="33"/>
      <c r="T162" s="33"/>
      <c r="U162" s="33"/>
      <c r="V162" s="33"/>
      <c r="W162" s="33"/>
    </row>
    <row r="163" customFormat="false" ht="15" hidden="false" customHeight="false" outlineLevel="0" collapsed="false">
      <c r="A163" s="33"/>
      <c r="B163" s="33"/>
      <c r="C163" s="33"/>
      <c r="D163" s="33"/>
      <c r="E163" s="33"/>
      <c r="F163" s="33"/>
      <c r="G163" s="33"/>
      <c r="H163" s="33"/>
      <c r="I163" s="33"/>
      <c r="J163" s="33"/>
      <c r="K163" s="33"/>
      <c r="L163" s="34"/>
      <c r="M163" s="34"/>
      <c r="N163" s="34"/>
      <c r="O163" s="34"/>
      <c r="P163" s="33"/>
      <c r="Q163" s="35"/>
      <c r="R163" s="33"/>
      <c r="S163" s="33"/>
      <c r="T163" s="33"/>
      <c r="U163" s="33"/>
      <c r="V163" s="33"/>
      <c r="W163" s="33"/>
    </row>
    <row r="164" customFormat="false" ht="15" hidden="false" customHeight="false" outlineLevel="0" collapsed="false">
      <c r="A164" s="33"/>
      <c r="B164" s="33"/>
      <c r="C164" s="33"/>
      <c r="D164" s="33"/>
      <c r="E164" s="33"/>
      <c r="F164" s="33"/>
      <c r="G164" s="33"/>
      <c r="H164" s="33"/>
      <c r="I164" s="33"/>
      <c r="J164" s="33"/>
      <c r="K164" s="33"/>
      <c r="L164" s="34"/>
      <c r="M164" s="34"/>
      <c r="N164" s="34"/>
      <c r="O164" s="34"/>
      <c r="P164" s="33"/>
      <c r="Q164" s="35"/>
      <c r="R164" s="33"/>
      <c r="S164" s="33"/>
      <c r="T164" s="33"/>
      <c r="U164" s="33"/>
      <c r="V164" s="33"/>
      <c r="W164" s="33"/>
    </row>
    <row r="165" customFormat="false" ht="15" hidden="false" customHeight="false" outlineLevel="0" collapsed="false">
      <c r="A165" s="33"/>
      <c r="B165" s="33"/>
      <c r="C165" s="33"/>
      <c r="D165" s="33"/>
      <c r="E165" s="33"/>
      <c r="F165" s="33"/>
      <c r="G165" s="33"/>
      <c r="H165" s="33"/>
      <c r="I165" s="33"/>
      <c r="J165" s="33"/>
      <c r="K165" s="33"/>
      <c r="L165" s="34"/>
      <c r="M165" s="34"/>
      <c r="N165" s="34"/>
      <c r="O165" s="34"/>
      <c r="P165" s="33"/>
      <c r="Q165" s="35"/>
      <c r="R165" s="33"/>
      <c r="S165" s="33"/>
      <c r="T165" s="33"/>
      <c r="U165" s="33"/>
      <c r="V165" s="33"/>
      <c r="W165" s="33"/>
    </row>
    <row r="166" customFormat="false" ht="15" hidden="false" customHeight="false" outlineLevel="0" collapsed="false">
      <c r="A166" s="33"/>
      <c r="B166" s="33"/>
      <c r="C166" s="33"/>
      <c r="D166" s="33"/>
      <c r="E166" s="33"/>
      <c r="F166" s="33"/>
      <c r="G166" s="33"/>
      <c r="H166" s="33"/>
      <c r="I166" s="33"/>
      <c r="J166" s="33"/>
      <c r="K166" s="33"/>
      <c r="L166" s="34"/>
      <c r="M166" s="34"/>
      <c r="N166" s="34"/>
      <c r="O166" s="34"/>
      <c r="P166" s="33"/>
      <c r="Q166" s="35"/>
      <c r="R166" s="33"/>
      <c r="S166" s="33"/>
      <c r="T166" s="33"/>
      <c r="U166" s="33"/>
      <c r="V166" s="33"/>
      <c r="W166" s="33"/>
    </row>
    <row r="167" customFormat="false" ht="15" hidden="false" customHeight="false" outlineLevel="0" collapsed="false">
      <c r="A167" s="33"/>
      <c r="B167" s="33"/>
      <c r="C167" s="33"/>
      <c r="D167" s="33"/>
      <c r="E167" s="33"/>
      <c r="F167" s="33"/>
      <c r="G167" s="33"/>
      <c r="H167" s="33"/>
      <c r="I167" s="33"/>
      <c r="J167" s="33"/>
      <c r="K167" s="33"/>
      <c r="L167" s="34"/>
      <c r="M167" s="34"/>
      <c r="N167" s="34"/>
      <c r="O167" s="34"/>
      <c r="P167" s="33"/>
      <c r="Q167" s="35"/>
      <c r="R167" s="33"/>
      <c r="S167" s="33"/>
      <c r="T167" s="33"/>
      <c r="U167" s="33"/>
      <c r="V167" s="33"/>
      <c r="W167" s="33"/>
    </row>
    <row r="168" customFormat="false" ht="15" hidden="false" customHeight="false" outlineLevel="0" collapsed="false">
      <c r="A168" s="33"/>
      <c r="B168" s="33"/>
      <c r="C168" s="33"/>
      <c r="D168" s="33"/>
      <c r="E168" s="33"/>
      <c r="F168" s="33"/>
      <c r="G168" s="33"/>
      <c r="H168" s="33"/>
      <c r="I168" s="33"/>
      <c r="J168" s="33"/>
      <c r="K168" s="33"/>
      <c r="L168" s="34"/>
      <c r="M168" s="34"/>
      <c r="N168" s="34"/>
      <c r="O168" s="34"/>
      <c r="P168" s="33"/>
      <c r="Q168" s="35"/>
      <c r="R168" s="33"/>
      <c r="S168" s="33"/>
      <c r="T168" s="33"/>
      <c r="U168" s="33"/>
      <c r="V168" s="33"/>
      <c r="W168" s="33"/>
    </row>
    <row r="169" customFormat="false" ht="15" hidden="false" customHeight="false" outlineLevel="0" collapsed="false">
      <c r="A169" s="33"/>
      <c r="B169" s="33"/>
      <c r="C169" s="33"/>
      <c r="D169" s="33"/>
      <c r="E169" s="33"/>
      <c r="F169" s="33"/>
      <c r="G169" s="33"/>
      <c r="H169" s="33"/>
      <c r="I169" s="33"/>
      <c r="J169" s="33"/>
      <c r="K169" s="33"/>
      <c r="L169" s="34"/>
      <c r="M169" s="34"/>
      <c r="N169" s="34"/>
      <c r="O169" s="34"/>
      <c r="P169" s="33"/>
      <c r="Q169" s="35"/>
      <c r="R169" s="33"/>
      <c r="S169" s="33"/>
      <c r="T169" s="33"/>
      <c r="U169" s="33"/>
      <c r="V169" s="33"/>
      <c r="W169" s="33"/>
    </row>
    <row r="170" customFormat="false" ht="15" hidden="false" customHeight="false" outlineLevel="0" collapsed="false">
      <c r="A170" s="33"/>
      <c r="B170" s="33"/>
      <c r="C170" s="33"/>
      <c r="D170" s="33"/>
      <c r="E170" s="33"/>
      <c r="F170" s="33"/>
      <c r="G170" s="33"/>
      <c r="H170" s="33"/>
      <c r="I170" s="33"/>
      <c r="J170" s="33"/>
      <c r="K170" s="33"/>
      <c r="L170" s="34"/>
      <c r="M170" s="34"/>
      <c r="N170" s="34"/>
      <c r="O170" s="34"/>
      <c r="P170" s="33"/>
      <c r="Q170" s="35"/>
      <c r="R170" s="33"/>
      <c r="S170" s="33"/>
      <c r="T170" s="33"/>
      <c r="U170" s="33"/>
      <c r="V170" s="33"/>
      <c r="W170" s="33"/>
    </row>
    <row r="171" customFormat="false" ht="15" hidden="false" customHeight="false" outlineLevel="0" collapsed="false">
      <c r="A171" s="33"/>
      <c r="B171" s="33"/>
      <c r="C171" s="33"/>
      <c r="D171" s="33"/>
      <c r="E171" s="33"/>
      <c r="F171" s="33"/>
      <c r="G171" s="33"/>
      <c r="H171" s="33"/>
      <c r="I171" s="33"/>
      <c r="J171" s="33"/>
      <c r="K171" s="33"/>
      <c r="L171" s="34"/>
      <c r="M171" s="34"/>
      <c r="N171" s="34"/>
      <c r="O171" s="34"/>
      <c r="P171" s="33"/>
      <c r="Q171" s="35"/>
      <c r="R171" s="33"/>
      <c r="S171" s="33"/>
      <c r="T171" s="33"/>
      <c r="U171" s="33"/>
      <c r="V171" s="33"/>
      <c r="W171" s="33"/>
    </row>
    <row r="172" customFormat="false" ht="15" hidden="false" customHeight="false" outlineLevel="0" collapsed="false">
      <c r="A172" s="33"/>
      <c r="B172" s="33"/>
      <c r="C172" s="33"/>
      <c r="D172" s="33"/>
      <c r="E172" s="33"/>
      <c r="F172" s="33"/>
      <c r="G172" s="33"/>
      <c r="H172" s="33"/>
      <c r="I172" s="33"/>
      <c r="J172" s="33"/>
      <c r="K172" s="33"/>
      <c r="L172" s="34"/>
      <c r="M172" s="34"/>
      <c r="N172" s="34"/>
      <c r="O172" s="34"/>
      <c r="P172" s="33"/>
      <c r="Q172" s="35"/>
      <c r="R172" s="33"/>
      <c r="S172" s="33"/>
      <c r="T172" s="33"/>
      <c r="U172" s="33"/>
      <c r="V172" s="33"/>
      <c r="W172" s="33"/>
    </row>
    <row r="173" customFormat="false" ht="15" hidden="false" customHeight="false" outlineLevel="0" collapsed="false">
      <c r="A173" s="33"/>
      <c r="B173" s="33"/>
      <c r="C173" s="33"/>
      <c r="D173" s="33"/>
      <c r="E173" s="33"/>
      <c r="F173" s="33"/>
      <c r="G173" s="33"/>
      <c r="H173" s="33"/>
      <c r="I173" s="33"/>
      <c r="J173" s="33"/>
      <c r="K173" s="33"/>
      <c r="L173" s="34"/>
      <c r="M173" s="34"/>
      <c r="N173" s="34"/>
      <c r="O173" s="34"/>
      <c r="P173" s="33"/>
      <c r="Q173" s="35"/>
      <c r="R173" s="33"/>
      <c r="S173" s="33"/>
      <c r="T173" s="33"/>
      <c r="U173" s="33"/>
      <c r="V173" s="33"/>
      <c r="W173" s="33"/>
    </row>
    <row r="174" customFormat="false" ht="15" hidden="false" customHeight="false" outlineLevel="0" collapsed="false">
      <c r="A174" s="33"/>
      <c r="B174" s="33"/>
      <c r="C174" s="33"/>
      <c r="D174" s="33"/>
      <c r="E174" s="33"/>
      <c r="F174" s="33"/>
      <c r="G174" s="33"/>
      <c r="H174" s="33"/>
      <c r="I174" s="33"/>
      <c r="J174" s="33"/>
      <c r="K174" s="33"/>
      <c r="L174" s="34"/>
      <c r="M174" s="34"/>
      <c r="N174" s="34"/>
      <c r="O174" s="34"/>
      <c r="P174" s="33"/>
      <c r="Q174" s="35"/>
      <c r="R174" s="33"/>
      <c r="S174" s="33"/>
      <c r="T174" s="33"/>
      <c r="U174" s="33"/>
      <c r="V174" s="33"/>
      <c r="W174" s="33"/>
    </row>
    <row r="175" customFormat="false" ht="15" hidden="false" customHeight="false" outlineLevel="0" collapsed="false">
      <c r="A175" s="33"/>
      <c r="B175" s="33"/>
      <c r="C175" s="33"/>
      <c r="D175" s="33"/>
      <c r="E175" s="33"/>
      <c r="F175" s="33"/>
      <c r="G175" s="33"/>
      <c r="H175" s="33"/>
      <c r="I175" s="33"/>
      <c r="J175" s="33"/>
      <c r="K175" s="33"/>
      <c r="L175" s="34"/>
      <c r="M175" s="34"/>
      <c r="N175" s="34"/>
      <c r="O175" s="34"/>
      <c r="P175" s="33"/>
      <c r="Q175" s="35"/>
      <c r="R175" s="33"/>
      <c r="S175" s="33"/>
      <c r="T175" s="33"/>
      <c r="U175" s="33"/>
      <c r="V175" s="33"/>
      <c r="W175" s="33"/>
    </row>
    <row r="176" customFormat="false" ht="15" hidden="false" customHeight="false" outlineLevel="0" collapsed="false">
      <c r="A176" s="33"/>
      <c r="B176" s="33"/>
      <c r="C176" s="33"/>
      <c r="D176" s="33"/>
      <c r="E176" s="33"/>
      <c r="F176" s="33"/>
      <c r="G176" s="33"/>
      <c r="H176" s="33"/>
      <c r="I176" s="33"/>
      <c r="J176" s="33"/>
      <c r="K176" s="33"/>
      <c r="L176" s="34"/>
      <c r="M176" s="34"/>
      <c r="N176" s="34"/>
      <c r="O176" s="34"/>
      <c r="P176" s="33"/>
      <c r="Q176" s="35"/>
      <c r="R176" s="33"/>
      <c r="S176" s="33"/>
      <c r="T176" s="33"/>
      <c r="U176" s="33"/>
      <c r="V176" s="33"/>
      <c r="W176" s="33"/>
    </row>
    <row r="177" customFormat="false" ht="15" hidden="false" customHeight="false" outlineLevel="0" collapsed="false">
      <c r="A177" s="33"/>
      <c r="B177" s="33"/>
      <c r="C177" s="33"/>
      <c r="D177" s="33"/>
      <c r="E177" s="33"/>
      <c r="F177" s="33"/>
      <c r="G177" s="33"/>
      <c r="H177" s="33"/>
      <c r="I177" s="33"/>
      <c r="J177" s="33"/>
      <c r="K177" s="33"/>
      <c r="L177" s="34"/>
      <c r="M177" s="34"/>
      <c r="N177" s="34"/>
      <c r="O177" s="34"/>
      <c r="P177" s="33"/>
      <c r="Q177" s="35"/>
      <c r="R177" s="33"/>
      <c r="S177" s="33"/>
      <c r="T177" s="33"/>
      <c r="U177" s="33"/>
      <c r="V177" s="33"/>
      <c r="W177" s="33"/>
    </row>
    <row r="178" customFormat="false" ht="15" hidden="false" customHeight="false" outlineLevel="0" collapsed="false">
      <c r="A178" s="33"/>
      <c r="B178" s="33"/>
      <c r="C178" s="33"/>
      <c r="D178" s="33"/>
      <c r="E178" s="33"/>
      <c r="F178" s="33"/>
      <c r="G178" s="33"/>
      <c r="H178" s="33"/>
      <c r="I178" s="33"/>
      <c r="J178" s="33"/>
      <c r="K178" s="33"/>
      <c r="L178" s="34"/>
      <c r="M178" s="34"/>
      <c r="N178" s="34"/>
      <c r="O178" s="34"/>
      <c r="P178" s="33"/>
      <c r="Q178" s="35"/>
      <c r="R178" s="33"/>
      <c r="S178" s="33"/>
      <c r="T178" s="33"/>
      <c r="U178" s="33"/>
      <c r="V178" s="33"/>
      <c r="W178" s="33"/>
    </row>
    <row r="179" customFormat="false" ht="15" hidden="false" customHeight="false" outlineLevel="0" collapsed="false">
      <c r="A179" s="33"/>
      <c r="B179" s="33"/>
      <c r="C179" s="33"/>
      <c r="D179" s="33"/>
      <c r="E179" s="33"/>
      <c r="F179" s="33"/>
      <c r="G179" s="33"/>
      <c r="H179" s="33"/>
      <c r="I179" s="33"/>
      <c r="J179" s="33"/>
      <c r="K179" s="33"/>
      <c r="L179" s="34"/>
      <c r="M179" s="34"/>
      <c r="N179" s="34"/>
      <c r="O179" s="34"/>
      <c r="P179" s="33"/>
      <c r="Q179" s="35"/>
      <c r="R179" s="33"/>
      <c r="S179" s="33"/>
      <c r="T179" s="33"/>
      <c r="U179" s="33"/>
      <c r="V179" s="33"/>
      <c r="W179" s="33"/>
    </row>
    <row r="180" customFormat="false" ht="15" hidden="false" customHeight="false" outlineLevel="0" collapsed="false">
      <c r="A180" s="33"/>
      <c r="B180" s="33"/>
      <c r="C180" s="33"/>
      <c r="D180" s="33"/>
      <c r="E180" s="33"/>
      <c r="F180" s="33"/>
      <c r="G180" s="33"/>
      <c r="H180" s="33"/>
      <c r="I180" s="33"/>
      <c r="J180" s="33"/>
      <c r="K180" s="33"/>
      <c r="L180" s="34"/>
      <c r="M180" s="34"/>
      <c r="N180" s="34"/>
      <c r="O180" s="34"/>
      <c r="P180" s="33"/>
      <c r="Q180" s="35"/>
      <c r="R180" s="33"/>
      <c r="S180" s="33"/>
      <c r="T180" s="33"/>
      <c r="U180" s="33"/>
      <c r="V180" s="33"/>
      <c r="W180" s="33"/>
    </row>
    <row r="181" customFormat="false" ht="15" hidden="false" customHeight="false" outlineLevel="0" collapsed="false">
      <c r="A181" s="33"/>
      <c r="B181" s="33"/>
      <c r="C181" s="33"/>
      <c r="D181" s="33"/>
      <c r="E181" s="33"/>
      <c r="F181" s="33"/>
      <c r="G181" s="33"/>
      <c r="H181" s="33"/>
      <c r="I181" s="33"/>
      <c r="J181" s="33"/>
      <c r="K181" s="33"/>
      <c r="L181" s="34"/>
      <c r="M181" s="34"/>
      <c r="N181" s="34"/>
      <c r="O181" s="34"/>
      <c r="P181" s="33"/>
      <c r="Q181" s="35"/>
      <c r="R181" s="33"/>
      <c r="S181" s="33"/>
      <c r="T181" s="33"/>
      <c r="U181" s="33"/>
      <c r="V181" s="33"/>
      <c r="W181" s="33"/>
    </row>
    <row r="182" customFormat="false" ht="15" hidden="false" customHeight="false" outlineLevel="0" collapsed="false">
      <c r="A182" s="33"/>
      <c r="B182" s="33"/>
      <c r="C182" s="33"/>
      <c r="D182" s="33"/>
      <c r="E182" s="33"/>
      <c r="F182" s="33"/>
      <c r="G182" s="33"/>
      <c r="H182" s="33"/>
      <c r="I182" s="33"/>
      <c r="J182" s="33"/>
      <c r="K182" s="33"/>
      <c r="L182" s="34"/>
      <c r="M182" s="34"/>
      <c r="N182" s="34"/>
      <c r="O182" s="34"/>
      <c r="P182" s="33"/>
      <c r="Q182" s="35"/>
      <c r="R182" s="33"/>
      <c r="S182" s="33"/>
      <c r="T182" s="33"/>
      <c r="U182" s="33"/>
      <c r="V182" s="33"/>
      <c r="W182" s="33"/>
    </row>
    <row r="183" customFormat="false" ht="15" hidden="false" customHeight="false" outlineLevel="0" collapsed="false">
      <c r="A183" s="33"/>
      <c r="B183" s="33"/>
      <c r="C183" s="33"/>
      <c r="D183" s="33"/>
      <c r="E183" s="33"/>
      <c r="F183" s="33"/>
      <c r="G183" s="33"/>
      <c r="H183" s="33"/>
      <c r="I183" s="33"/>
      <c r="J183" s="33"/>
      <c r="K183" s="33"/>
      <c r="L183" s="34"/>
      <c r="M183" s="34"/>
      <c r="N183" s="34"/>
      <c r="O183" s="34"/>
      <c r="P183" s="33"/>
      <c r="Q183" s="35"/>
      <c r="R183" s="33"/>
      <c r="S183" s="33"/>
      <c r="T183" s="33"/>
      <c r="U183" s="33"/>
      <c r="V183" s="33"/>
      <c r="W183" s="33"/>
    </row>
    <row r="184" customFormat="false" ht="15" hidden="false" customHeight="false" outlineLevel="0" collapsed="false">
      <c r="A184" s="33"/>
      <c r="B184" s="33"/>
      <c r="C184" s="33"/>
      <c r="D184" s="33"/>
      <c r="E184" s="33"/>
      <c r="F184" s="33"/>
      <c r="G184" s="33"/>
      <c r="H184" s="33"/>
      <c r="I184" s="33"/>
      <c r="J184" s="33"/>
      <c r="K184" s="33"/>
      <c r="L184" s="34"/>
      <c r="M184" s="34"/>
      <c r="N184" s="34"/>
      <c r="O184" s="34"/>
      <c r="P184" s="33"/>
      <c r="Q184" s="35"/>
      <c r="R184" s="33"/>
      <c r="S184" s="33"/>
      <c r="T184" s="33"/>
      <c r="U184" s="33"/>
      <c r="V184" s="33"/>
      <c r="W184" s="33"/>
    </row>
    <row r="185" customFormat="false" ht="15" hidden="false" customHeight="false" outlineLevel="0" collapsed="false">
      <c r="A185" s="33"/>
      <c r="B185" s="33"/>
      <c r="C185" s="33"/>
      <c r="D185" s="33"/>
      <c r="E185" s="33"/>
      <c r="F185" s="33"/>
      <c r="G185" s="33"/>
      <c r="H185" s="33"/>
      <c r="I185" s="33"/>
      <c r="J185" s="33"/>
      <c r="K185" s="33"/>
      <c r="L185" s="34"/>
      <c r="M185" s="34"/>
      <c r="N185" s="34"/>
      <c r="O185" s="34"/>
      <c r="P185" s="33"/>
      <c r="Q185" s="35"/>
      <c r="R185" s="33"/>
      <c r="S185" s="33"/>
      <c r="T185" s="33"/>
      <c r="U185" s="33"/>
      <c r="V185" s="33"/>
      <c r="W185" s="33"/>
    </row>
    <row r="186" customFormat="false" ht="15" hidden="false" customHeight="false" outlineLevel="0" collapsed="false">
      <c r="A186" s="33"/>
      <c r="B186" s="33"/>
      <c r="C186" s="33"/>
      <c r="D186" s="33"/>
      <c r="E186" s="33"/>
      <c r="F186" s="33"/>
      <c r="G186" s="33"/>
      <c r="H186" s="33"/>
      <c r="I186" s="33"/>
      <c r="J186" s="33"/>
      <c r="K186" s="33"/>
      <c r="L186" s="34"/>
      <c r="M186" s="34"/>
      <c r="N186" s="34"/>
      <c r="O186" s="34"/>
      <c r="P186" s="33"/>
      <c r="Q186" s="35"/>
      <c r="R186" s="33"/>
      <c r="S186" s="33"/>
      <c r="T186" s="33"/>
      <c r="U186" s="33"/>
      <c r="V186" s="33"/>
      <c r="W186" s="33"/>
    </row>
    <row r="187" customFormat="false" ht="15" hidden="false" customHeight="false" outlineLevel="0" collapsed="false">
      <c r="A187" s="33"/>
      <c r="B187" s="33"/>
      <c r="C187" s="33"/>
      <c r="D187" s="33"/>
      <c r="E187" s="33"/>
      <c r="F187" s="33"/>
      <c r="G187" s="33"/>
      <c r="H187" s="33"/>
      <c r="I187" s="33"/>
      <c r="J187" s="33"/>
      <c r="K187" s="33"/>
      <c r="L187" s="34"/>
      <c r="M187" s="34"/>
      <c r="N187" s="34"/>
      <c r="O187" s="34"/>
      <c r="P187" s="33"/>
      <c r="Q187" s="35"/>
      <c r="R187" s="33"/>
      <c r="S187" s="33"/>
      <c r="T187" s="33"/>
      <c r="U187" s="33"/>
      <c r="V187" s="33"/>
      <c r="W187" s="33"/>
    </row>
    <row r="188" customFormat="false" ht="15" hidden="false" customHeight="false" outlineLevel="0" collapsed="false">
      <c r="A188" s="33"/>
      <c r="B188" s="33"/>
      <c r="C188" s="33"/>
      <c r="D188" s="33"/>
      <c r="E188" s="33"/>
      <c r="F188" s="33"/>
      <c r="G188" s="33"/>
      <c r="H188" s="33"/>
      <c r="I188" s="33"/>
      <c r="J188" s="33"/>
      <c r="K188" s="33"/>
      <c r="L188" s="34"/>
      <c r="M188" s="34"/>
      <c r="N188" s="34"/>
      <c r="O188" s="34"/>
      <c r="P188" s="33"/>
      <c r="Q188" s="35"/>
      <c r="R188" s="33"/>
      <c r="S188" s="33"/>
      <c r="T188" s="33"/>
      <c r="U188" s="33"/>
      <c r="V188" s="33"/>
      <c r="W188" s="33"/>
    </row>
    <row r="189" customFormat="false" ht="15" hidden="false" customHeight="false" outlineLevel="0" collapsed="false">
      <c r="A189" s="33"/>
      <c r="B189" s="33"/>
      <c r="C189" s="33"/>
      <c r="D189" s="33"/>
      <c r="E189" s="33"/>
      <c r="F189" s="33"/>
      <c r="G189" s="33"/>
      <c r="H189" s="33"/>
      <c r="I189" s="33"/>
      <c r="J189" s="33"/>
      <c r="K189" s="33"/>
      <c r="L189" s="34"/>
      <c r="M189" s="34"/>
      <c r="N189" s="34"/>
      <c r="O189" s="34"/>
      <c r="P189" s="33"/>
      <c r="Q189" s="35"/>
      <c r="R189" s="33"/>
      <c r="S189" s="33"/>
      <c r="T189" s="33"/>
      <c r="U189" s="33"/>
      <c r="V189" s="33"/>
      <c r="W189" s="33"/>
    </row>
    <row r="190" customFormat="false" ht="15" hidden="false" customHeight="false" outlineLevel="0" collapsed="false">
      <c r="A190" s="33"/>
      <c r="B190" s="33"/>
      <c r="C190" s="33"/>
      <c r="D190" s="33"/>
      <c r="E190" s="33"/>
      <c r="F190" s="33"/>
      <c r="G190" s="33"/>
      <c r="H190" s="33"/>
      <c r="I190" s="33"/>
      <c r="J190" s="33"/>
      <c r="K190" s="33"/>
      <c r="L190" s="34"/>
      <c r="M190" s="34"/>
      <c r="N190" s="34"/>
      <c r="O190" s="34"/>
      <c r="P190" s="33"/>
      <c r="Q190" s="35"/>
      <c r="R190" s="33"/>
      <c r="S190" s="33"/>
      <c r="T190" s="33"/>
      <c r="U190" s="33"/>
      <c r="V190" s="33"/>
      <c r="W190" s="33"/>
    </row>
    <row r="191" customFormat="false" ht="15" hidden="false" customHeight="false" outlineLevel="0" collapsed="false">
      <c r="A191" s="33"/>
      <c r="B191" s="33"/>
      <c r="C191" s="33"/>
      <c r="D191" s="33"/>
      <c r="E191" s="33"/>
      <c r="F191" s="33"/>
      <c r="G191" s="33"/>
      <c r="H191" s="33"/>
      <c r="I191" s="33"/>
      <c r="J191" s="33"/>
      <c r="K191" s="33"/>
      <c r="L191" s="34"/>
      <c r="M191" s="34"/>
      <c r="N191" s="34"/>
      <c r="O191" s="34"/>
      <c r="P191" s="33"/>
      <c r="Q191" s="35"/>
      <c r="R191" s="33"/>
      <c r="S191" s="33"/>
      <c r="T191" s="33"/>
      <c r="U191" s="33"/>
      <c r="V191" s="33"/>
      <c r="W191" s="33"/>
    </row>
    <row r="192" customFormat="false" ht="15" hidden="false" customHeight="false" outlineLevel="0" collapsed="false">
      <c r="A192" s="33"/>
      <c r="B192" s="33"/>
      <c r="C192" s="33"/>
      <c r="D192" s="33"/>
      <c r="E192" s="33"/>
      <c r="F192" s="33"/>
      <c r="G192" s="33"/>
      <c r="H192" s="33"/>
      <c r="I192" s="33"/>
      <c r="J192" s="33"/>
      <c r="K192" s="33"/>
      <c r="L192" s="34"/>
      <c r="M192" s="34"/>
      <c r="N192" s="34"/>
      <c r="O192" s="34"/>
      <c r="P192" s="33"/>
      <c r="Q192" s="35"/>
      <c r="R192" s="33"/>
      <c r="S192" s="33"/>
      <c r="T192" s="33"/>
      <c r="U192" s="33"/>
      <c r="V192" s="33"/>
      <c r="W192" s="33"/>
    </row>
    <row r="193" customFormat="false" ht="15" hidden="false" customHeight="false" outlineLevel="0" collapsed="false">
      <c r="A193" s="33"/>
      <c r="B193" s="33"/>
      <c r="C193" s="33"/>
      <c r="D193" s="33"/>
      <c r="E193" s="33"/>
      <c r="F193" s="33"/>
      <c r="G193" s="33"/>
      <c r="H193" s="33"/>
      <c r="I193" s="33"/>
      <c r="J193" s="33"/>
      <c r="K193" s="33"/>
      <c r="L193" s="34"/>
      <c r="M193" s="34"/>
      <c r="N193" s="34"/>
      <c r="O193" s="34"/>
      <c r="P193" s="33"/>
      <c r="Q193" s="35"/>
      <c r="R193" s="33"/>
      <c r="S193" s="33"/>
      <c r="T193" s="33"/>
      <c r="U193" s="33"/>
      <c r="V193" s="33"/>
      <c r="W193" s="33"/>
    </row>
    <row r="194" customFormat="false" ht="15" hidden="false" customHeight="false" outlineLevel="0" collapsed="false">
      <c r="A194" s="33"/>
      <c r="B194" s="33"/>
      <c r="C194" s="33"/>
      <c r="D194" s="33"/>
      <c r="E194" s="33"/>
      <c r="F194" s="33"/>
      <c r="G194" s="33"/>
      <c r="H194" s="33"/>
      <c r="I194" s="33"/>
      <c r="J194" s="33"/>
      <c r="K194" s="33"/>
      <c r="L194" s="34"/>
      <c r="M194" s="34"/>
      <c r="N194" s="34"/>
      <c r="O194" s="34"/>
      <c r="P194" s="33"/>
      <c r="Q194" s="35"/>
      <c r="R194" s="33"/>
      <c r="S194" s="33"/>
      <c r="T194" s="33"/>
      <c r="U194" s="33"/>
      <c r="V194" s="33"/>
      <c r="W194" s="33"/>
    </row>
    <row r="195" customFormat="false" ht="15" hidden="false" customHeight="false" outlineLevel="0" collapsed="false">
      <c r="A195" s="33"/>
      <c r="B195" s="33"/>
      <c r="C195" s="33"/>
      <c r="D195" s="33"/>
      <c r="E195" s="33"/>
      <c r="F195" s="33"/>
      <c r="G195" s="33"/>
      <c r="H195" s="33"/>
      <c r="I195" s="33"/>
      <c r="J195" s="33"/>
      <c r="K195" s="33"/>
      <c r="L195" s="34"/>
      <c r="M195" s="34"/>
      <c r="N195" s="34"/>
      <c r="O195" s="34"/>
      <c r="P195" s="33"/>
      <c r="Q195" s="35"/>
      <c r="R195" s="33"/>
      <c r="S195" s="33"/>
      <c r="T195" s="33"/>
      <c r="U195" s="33"/>
      <c r="V195" s="33"/>
      <c r="W195" s="33"/>
    </row>
    <row r="196" customFormat="false" ht="15" hidden="false" customHeight="false" outlineLevel="0" collapsed="false">
      <c r="A196" s="33"/>
      <c r="B196" s="33"/>
      <c r="C196" s="33"/>
      <c r="D196" s="33"/>
      <c r="E196" s="33"/>
      <c r="F196" s="33"/>
      <c r="G196" s="33"/>
      <c r="H196" s="33"/>
      <c r="I196" s="33"/>
      <c r="J196" s="33"/>
      <c r="K196" s="33"/>
      <c r="L196" s="34"/>
      <c r="M196" s="34"/>
      <c r="N196" s="34"/>
      <c r="O196" s="34"/>
      <c r="P196" s="33"/>
      <c r="Q196" s="35"/>
      <c r="R196" s="33"/>
      <c r="S196" s="33"/>
      <c r="T196" s="33"/>
      <c r="U196" s="33"/>
      <c r="V196" s="33"/>
      <c r="W196" s="33"/>
    </row>
    <row r="197" customFormat="false" ht="15" hidden="false" customHeight="false" outlineLevel="0" collapsed="false">
      <c r="A197" s="33"/>
      <c r="B197" s="33"/>
      <c r="C197" s="33"/>
      <c r="D197" s="33"/>
      <c r="E197" s="33"/>
      <c r="F197" s="33"/>
      <c r="G197" s="33"/>
      <c r="H197" s="33"/>
      <c r="I197" s="33"/>
      <c r="J197" s="33"/>
      <c r="K197" s="33"/>
      <c r="L197" s="34"/>
      <c r="M197" s="34"/>
      <c r="N197" s="34"/>
      <c r="O197" s="34"/>
      <c r="P197" s="33"/>
      <c r="Q197" s="35"/>
      <c r="R197" s="33"/>
      <c r="S197" s="33"/>
      <c r="T197" s="33"/>
      <c r="U197" s="33"/>
      <c r="V197" s="33"/>
      <c r="W197" s="33"/>
    </row>
    <row r="198" customFormat="false" ht="15" hidden="false" customHeight="false" outlineLevel="0" collapsed="false">
      <c r="A198" s="33"/>
      <c r="B198" s="33"/>
      <c r="C198" s="33"/>
      <c r="D198" s="33"/>
      <c r="E198" s="33"/>
      <c r="F198" s="33"/>
      <c r="G198" s="33"/>
      <c r="H198" s="33"/>
      <c r="I198" s="33"/>
      <c r="J198" s="33"/>
      <c r="K198" s="33"/>
      <c r="L198" s="34"/>
      <c r="M198" s="34"/>
      <c r="N198" s="34"/>
      <c r="O198" s="34"/>
      <c r="P198" s="33"/>
      <c r="Q198" s="35"/>
      <c r="R198" s="33"/>
      <c r="S198" s="33"/>
      <c r="T198" s="33"/>
      <c r="U198" s="33"/>
      <c r="V198" s="33"/>
      <c r="W198" s="33"/>
    </row>
    <row r="199" customFormat="false" ht="15" hidden="false" customHeight="false" outlineLevel="0" collapsed="false">
      <c r="A199" s="33"/>
      <c r="B199" s="33"/>
      <c r="C199" s="33"/>
      <c r="D199" s="33"/>
      <c r="E199" s="33"/>
      <c r="F199" s="33"/>
      <c r="G199" s="33"/>
      <c r="H199" s="33"/>
      <c r="I199" s="33"/>
      <c r="J199" s="33"/>
      <c r="K199" s="33"/>
      <c r="L199" s="34"/>
      <c r="M199" s="34"/>
      <c r="N199" s="34"/>
      <c r="O199" s="34"/>
      <c r="P199" s="33"/>
      <c r="Q199" s="35"/>
      <c r="R199" s="33"/>
      <c r="S199" s="33"/>
      <c r="T199" s="33"/>
      <c r="U199" s="33"/>
      <c r="V199" s="33"/>
      <c r="W199" s="33"/>
    </row>
    <row r="200" customFormat="false" ht="15" hidden="false" customHeight="false" outlineLevel="0" collapsed="false">
      <c r="A200" s="33"/>
      <c r="B200" s="33"/>
      <c r="C200" s="33"/>
      <c r="D200" s="33"/>
      <c r="E200" s="33"/>
      <c r="F200" s="33"/>
      <c r="G200" s="33"/>
      <c r="H200" s="33"/>
      <c r="I200" s="33"/>
      <c r="J200" s="33"/>
      <c r="K200" s="33"/>
      <c r="L200" s="34"/>
      <c r="M200" s="34"/>
      <c r="N200" s="34"/>
      <c r="O200" s="34"/>
      <c r="P200" s="33"/>
      <c r="Q200" s="35"/>
      <c r="R200" s="33"/>
      <c r="S200" s="33"/>
      <c r="T200" s="33"/>
      <c r="U200" s="33"/>
      <c r="V200" s="33"/>
      <c r="W200" s="33"/>
    </row>
    <row r="201" customFormat="false" ht="15" hidden="false" customHeight="false" outlineLevel="0" collapsed="false">
      <c r="A201" s="33"/>
      <c r="B201" s="33"/>
      <c r="C201" s="33"/>
      <c r="D201" s="33"/>
      <c r="E201" s="33"/>
      <c r="F201" s="33"/>
      <c r="G201" s="33"/>
      <c r="H201" s="33"/>
      <c r="I201" s="33"/>
      <c r="J201" s="33"/>
      <c r="K201" s="33"/>
      <c r="L201" s="34"/>
      <c r="M201" s="34"/>
      <c r="N201" s="34"/>
      <c r="O201" s="34"/>
      <c r="P201" s="33"/>
      <c r="Q201" s="35"/>
      <c r="R201" s="33"/>
      <c r="S201" s="33"/>
      <c r="T201" s="33"/>
      <c r="U201" s="33"/>
      <c r="V201" s="33"/>
      <c r="W201" s="33"/>
    </row>
    <row r="202" customFormat="false" ht="15" hidden="false" customHeight="false" outlineLevel="0" collapsed="false">
      <c r="A202" s="33"/>
      <c r="B202" s="33"/>
      <c r="C202" s="33"/>
      <c r="D202" s="33"/>
      <c r="E202" s="33"/>
      <c r="F202" s="33"/>
      <c r="G202" s="33"/>
      <c r="H202" s="33"/>
      <c r="I202" s="33"/>
      <c r="J202" s="33"/>
      <c r="K202" s="33"/>
      <c r="L202" s="34"/>
      <c r="M202" s="34"/>
      <c r="N202" s="34"/>
      <c r="O202" s="34"/>
      <c r="P202" s="33"/>
      <c r="Q202" s="35"/>
      <c r="R202" s="33"/>
      <c r="S202" s="33"/>
      <c r="T202" s="33"/>
      <c r="U202" s="33"/>
      <c r="V202" s="33"/>
      <c r="W202" s="33"/>
    </row>
    <row r="203" customFormat="false" ht="15" hidden="false" customHeight="false" outlineLevel="0" collapsed="false">
      <c r="A203" s="33"/>
      <c r="B203" s="33"/>
      <c r="C203" s="33"/>
      <c r="D203" s="33"/>
      <c r="E203" s="33"/>
      <c r="F203" s="33"/>
      <c r="G203" s="33"/>
      <c r="H203" s="33"/>
      <c r="I203" s="33"/>
      <c r="J203" s="33"/>
      <c r="K203" s="33"/>
      <c r="L203" s="34"/>
      <c r="M203" s="34"/>
      <c r="N203" s="34"/>
      <c r="O203" s="34"/>
      <c r="P203" s="33"/>
      <c r="Q203" s="35"/>
      <c r="R203" s="33"/>
      <c r="S203" s="33"/>
      <c r="T203" s="33"/>
      <c r="U203" s="33"/>
      <c r="V203" s="33"/>
      <c r="W203" s="33"/>
    </row>
    <row r="204" customFormat="false" ht="15" hidden="false" customHeight="false" outlineLevel="0" collapsed="false">
      <c r="A204" s="33"/>
      <c r="B204" s="33"/>
      <c r="C204" s="33"/>
      <c r="D204" s="33"/>
      <c r="E204" s="33"/>
      <c r="F204" s="33"/>
      <c r="G204" s="33"/>
      <c r="H204" s="33"/>
      <c r="I204" s="33"/>
      <c r="J204" s="33"/>
      <c r="K204" s="33"/>
      <c r="L204" s="34"/>
      <c r="M204" s="34"/>
      <c r="N204" s="34"/>
      <c r="O204" s="34"/>
      <c r="P204" s="33"/>
      <c r="Q204" s="35"/>
      <c r="R204" s="33"/>
      <c r="S204" s="33"/>
      <c r="T204" s="33"/>
      <c r="U204" s="33"/>
      <c r="V204" s="33"/>
      <c r="W204" s="33"/>
    </row>
    <row r="205" customFormat="false" ht="15" hidden="false" customHeight="false" outlineLevel="0" collapsed="false">
      <c r="A205" s="33"/>
      <c r="B205" s="33"/>
      <c r="C205" s="33"/>
      <c r="D205" s="33"/>
      <c r="E205" s="33"/>
      <c r="F205" s="33"/>
      <c r="G205" s="33"/>
      <c r="H205" s="33"/>
      <c r="I205" s="33"/>
      <c r="J205" s="33"/>
      <c r="K205" s="33"/>
      <c r="L205" s="34"/>
      <c r="M205" s="34"/>
      <c r="N205" s="34"/>
      <c r="O205" s="34"/>
      <c r="P205" s="33"/>
      <c r="Q205" s="35"/>
      <c r="R205" s="33"/>
      <c r="S205" s="33"/>
      <c r="T205" s="33"/>
      <c r="U205" s="33"/>
      <c r="V205" s="33"/>
      <c r="W205" s="33"/>
    </row>
    <row r="206" customFormat="false" ht="15" hidden="false" customHeight="false" outlineLevel="0" collapsed="false">
      <c r="A206" s="33"/>
      <c r="B206" s="33"/>
      <c r="C206" s="33"/>
      <c r="D206" s="33"/>
      <c r="E206" s="33"/>
      <c r="F206" s="33"/>
      <c r="G206" s="33"/>
      <c r="H206" s="33"/>
      <c r="I206" s="33"/>
      <c r="J206" s="33"/>
      <c r="K206" s="33"/>
      <c r="L206" s="34"/>
      <c r="M206" s="34"/>
      <c r="N206" s="34"/>
      <c r="O206" s="34"/>
      <c r="P206" s="33"/>
      <c r="Q206" s="35"/>
      <c r="R206" s="33"/>
      <c r="S206" s="33"/>
      <c r="T206" s="33"/>
      <c r="U206" s="33"/>
      <c r="V206" s="33"/>
      <c r="W206" s="33"/>
    </row>
    <row r="207" customFormat="false" ht="15" hidden="false" customHeight="false" outlineLevel="0" collapsed="false">
      <c r="A207" s="33"/>
      <c r="B207" s="33"/>
      <c r="C207" s="33"/>
      <c r="D207" s="33"/>
      <c r="E207" s="33"/>
      <c r="F207" s="33"/>
      <c r="G207" s="33"/>
      <c r="H207" s="33"/>
      <c r="I207" s="33"/>
      <c r="J207" s="33"/>
      <c r="K207" s="33"/>
      <c r="L207" s="34"/>
      <c r="M207" s="34"/>
      <c r="N207" s="34"/>
      <c r="O207" s="34"/>
      <c r="P207" s="33"/>
      <c r="Q207" s="35"/>
      <c r="R207" s="33"/>
      <c r="S207" s="33"/>
      <c r="T207" s="33"/>
      <c r="U207" s="33"/>
      <c r="V207" s="33"/>
      <c r="W207" s="33"/>
    </row>
    <row r="208" customFormat="false" ht="15" hidden="false" customHeight="false" outlineLevel="0" collapsed="false">
      <c r="A208" s="33"/>
      <c r="B208" s="33"/>
      <c r="C208" s="33"/>
      <c r="D208" s="33"/>
      <c r="E208" s="33"/>
      <c r="F208" s="33"/>
      <c r="G208" s="33"/>
      <c r="H208" s="33"/>
      <c r="I208" s="33"/>
      <c r="J208" s="33"/>
      <c r="K208" s="33"/>
      <c r="L208" s="34"/>
      <c r="M208" s="34"/>
      <c r="N208" s="34"/>
      <c r="O208" s="34"/>
      <c r="P208" s="33"/>
      <c r="Q208" s="35"/>
      <c r="R208" s="33"/>
      <c r="S208" s="33"/>
      <c r="T208" s="33"/>
      <c r="U208" s="33"/>
      <c r="V208" s="33"/>
      <c r="W208" s="33"/>
    </row>
    <row r="209" customFormat="false" ht="15" hidden="false" customHeight="false" outlineLevel="0" collapsed="false">
      <c r="A209" s="33"/>
      <c r="B209" s="33"/>
      <c r="C209" s="33"/>
      <c r="D209" s="33"/>
      <c r="E209" s="33"/>
      <c r="F209" s="33"/>
      <c r="G209" s="33"/>
      <c r="H209" s="33"/>
      <c r="I209" s="33"/>
      <c r="J209" s="33"/>
      <c r="K209" s="33"/>
      <c r="L209" s="34"/>
      <c r="M209" s="34"/>
      <c r="N209" s="34"/>
      <c r="O209" s="34"/>
      <c r="P209" s="33"/>
      <c r="Q209" s="35"/>
      <c r="R209" s="33"/>
      <c r="S209" s="33"/>
      <c r="T209" s="33"/>
      <c r="U209" s="33"/>
      <c r="V209" s="33"/>
      <c r="W209" s="33"/>
    </row>
    <row r="210" customFormat="false" ht="15" hidden="false" customHeight="false" outlineLevel="0" collapsed="false">
      <c r="A210" s="33"/>
      <c r="B210" s="33"/>
      <c r="C210" s="33"/>
      <c r="D210" s="33"/>
      <c r="E210" s="33"/>
      <c r="F210" s="33"/>
      <c r="G210" s="33"/>
      <c r="H210" s="33"/>
      <c r="I210" s="33"/>
      <c r="J210" s="33"/>
      <c r="K210" s="33"/>
      <c r="L210" s="34"/>
      <c r="M210" s="34"/>
      <c r="N210" s="34"/>
      <c r="O210" s="34"/>
      <c r="P210" s="33"/>
      <c r="Q210" s="35"/>
      <c r="R210" s="33"/>
      <c r="S210" s="33"/>
      <c r="T210" s="33"/>
      <c r="U210" s="33"/>
      <c r="V210" s="33"/>
      <c r="W210" s="33"/>
    </row>
    <row r="211" customFormat="false" ht="15" hidden="false" customHeight="false" outlineLevel="0" collapsed="false">
      <c r="A211" s="33"/>
      <c r="B211" s="33"/>
      <c r="C211" s="33"/>
      <c r="D211" s="33"/>
      <c r="E211" s="33"/>
      <c r="F211" s="33"/>
      <c r="G211" s="33"/>
      <c r="H211" s="33"/>
      <c r="I211" s="33"/>
      <c r="J211" s="33"/>
      <c r="K211" s="33"/>
      <c r="L211" s="34"/>
      <c r="M211" s="34"/>
      <c r="N211" s="34"/>
      <c r="O211" s="34"/>
      <c r="P211" s="33"/>
      <c r="Q211" s="35"/>
      <c r="R211" s="33"/>
      <c r="S211" s="33"/>
      <c r="T211" s="33"/>
      <c r="U211" s="33"/>
      <c r="V211" s="33"/>
      <c r="W211" s="33"/>
    </row>
    <row r="212" customFormat="false" ht="15" hidden="false" customHeight="false" outlineLevel="0" collapsed="false">
      <c r="A212" s="33"/>
      <c r="B212" s="33"/>
      <c r="C212" s="33"/>
      <c r="D212" s="33"/>
      <c r="E212" s="33"/>
      <c r="F212" s="33"/>
      <c r="G212" s="33"/>
      <c r="H212" s="33"/>
      <c r="I212" s="33"/>
      <c r="J212" s="33"/>
      <c r="K212" s="33"/>
      <c r="L212" s="34"/>
      <c r="M212" s="34"/>
      <c r="N212" s="34"/>
      <c r="O212" s="34"/>
      <c r="P212" s="33"/>
      <c r="Q212" s="35"/>
      <c r="R212" s="33"/>
      <c r="S212" s="33"/>
      <c r="T212" s="33"/>
      <c r="U212" s="33"/>
      <c r="V212" s="33"/>
      <c r="W212" s="33"/>
    </row>
    <row r="213" customFormat="false" ht="15" hidden="false" customHeight="false" outlineLevel="0" collapsed="false">
      <c r="A213" s="33"/>
      <c r="B213" s="33"/>
      <c r="C213" s="33"/>
      <c r="D213" s="33"/>
      <c r="E213" s="33"/>
      <c r="F213" s="33"/>
      <c r="G213" s="33"/>
      <c r="H213" s="33"/>
      <c r="I213" s="33"/>
      <c r="J213" s="33"/>
      <c r="K213" s="33"/>
      <c r="L213" s="34"/>
      <c r="M213" s="34"/>
      <c r="N213" s="34"/>
      <c r="O213" s="34"/>
      <c r="P213" s="33"/>
      <c r="Q213" s="35"/>
      <c r="R213" s="33"/>
      <c r="S213" s="33"/>
      <c r="T213" s="33"/>
      <c r="U213" s="33"/>
      <c r="V213" s="33"/>
      <c r="W213" s="33"/>
    </row>
    <row r="214" customFormat="false" ht="15" hidden="false" customHeight="false" outlineLevel="0" collapsed="false">
      <c r="A214" s="33"/>
      <c r="B214" s="33"/>
      <c r="C214" s="33"/>
      <c r="D214" s="33"/>
      <c r="E214" s="33"/>
      <c r="F214" s="33"/>
      <c r="G214" s="33"/>
      <c r="H214" s="33"/>
      <c r="I214" s="33"/>
      <c r="J214" s="33"/>
      <c r="K214" s="33"/>
      <c r="L214" s="34"/>
      <c r="M214" s="34"/>
      <c r="N214" s="34"/>
      <c r="O214" s="34"/>
      <c r="P214" s="33"/>
      <c r="Q214" s="35"/>
      <c r="R214" s="33"/>
      <c r="S214" s="33"/>
      <c r="T214" s="33"/>
      <c r="U214" s="33"/>
      <c r="V214" s="33"/>
      <c r="W214" s="33"/>
    </row>
    <row r="215" customFormat="false" ht="15" hidden="false" customHeight="false" outlineLevel="0" collapsed="false">
      <c r="A215" s="33"/>
      <c r="B215" s="33"/>
      <c r="C215" s="33"/>
      <c r="D215" s="33"/>
      <c r="E215" s="33"/>
      <c r="F215" s="33"/>
      <c r="G215" s="33"/>
      <c r="H215" s="33"/>
      <c r="I215" s="33"/>
      <c r="J215" s="33"/>
      <c r="K215" s="33"/>
      <c r="L215" s="34"/>
      <c r="M215" s="34"/>
      <c r="N215" s="34"/>
      <c r="O215" s="34"/>
      <c r="P215" s="33"/>
      <c r="Q215" s="35"/>
      <c r="R215" s="33"/>
      <c r="S215" s="33"/>
      <c r="T215" s="33"/>
      <c r="U215" s="33"/>
      <c r="V215" s="33"/>
      <c r="W215" s="33"/>
    </row>
    <row r="216" customFormat="false" ht="15" hidden="false" customHeight="false" outlineLevel="0" collapsed="false">
      <c r="A216" s="33"/>
      <c r="B216" s="33"/>
      <c r="C216" s="33"/>
      <c r="D216" s="33"/>
      <c r="E216" s="33"/>
      <c r="F216" s="33"/>
      <c r="G216" s="33"/>
      <c r="H216" s="33"/>
      <c r="I216" s="33"/>
      <c r="J216" s="33"/>
      <c r="K216" s="33"/>
      <c r="L216" s="34"/>
      <c r="M216" s="34"/>
      <c r="N216" s="34"/>
      <c r="O216" s="34"/>
      <c r="P216" s="33"/>
      <c r="Q216" s="35"/>
      <c r="R216" s="33"/>
      <c r="S216" s="33"/>
      <c r="T216" s="33"/>
      <c r="U216" s="33"/>
      <c r="V216" s="33"/>
      <c r="W216" s="33"/>
    </row>
    <row r="217" customFormat="false" ht="15" hidden="false" customHeight="false" outlineLevel="0" collapsed="false">
      <c r="A217" s="33"/>
      <c r="B217" s="33"/>
      <c r="C217" s="33"/>
      <c r="D217" s="33"/>
      <c r="E217" s="33"/>
      <c r="F217" s="33"/>
      <c r="G217" s="33"/>
      <c r="H217" s="33"/>
      <c r="I217" s="33"/>
      <c r="J217" s="33"/>
      <c r="K217" s="33"/>
      <c r="L217" s="34"/>
      <c r="M217" s="34"/>
      <c r="N217" s="34"/>
      <c r="O217" s="34"/>
      <c r="P217" s="33"/>
      <c r="Q217" s="35"/>
      <c r="R217" s="33"/>
      <c r="S217" s="33"/>
      <c r="T217" s="33"/>
      <c r="U217" s="33"/>
      <c r="V217" s="33"/>
      <c r="W217" s="33"/>
    </row>
    <row r="218" customFormat="false" ht="15" hidden="false" customHeight="false" outlineLevel="0" collapsed="false">
      <c r="A218" s="33"/>
      <c r="B218" s="33"/>
      <c r="C218" s="33"/>
      <c r="D218" s="33"/>
      <c r="E218" s="33"/>
      <c r="F218" s="33"/>
      <c r="G218" s="33"/>
      <c r="H218" s="33"/>
      <c r="I218" s="33"/>
      <c r="J218" s="33"/>
      <c r="K218" s="33"/>
      <c r="L218" s="34"/>
      <c r="M218" s="34"/>
      <c r="N218" s="34"/>
      <c r="O218" s="34"/>
      <c r="P218" s="33"/>
      <c r="Q218" s="35"/>
      <c r="R218" s="33"/>
      <c r="S218" s="33"/>
      <c r="T218" s="33"/>
      <c r="U218" s="33"/>
      <c r="V218" s="33"/>
      <c r="W218" s="33"/>
    </row>
    <row r="219" customFormat="false" ht="15" hidden="false" customHeight="false" outlineLevel="0" collapsed="false">
      <c r="A219" s="33"/>
      <c r="B219" s="33"/>
      <c r="C219" s="33"/>
      <c r="D219" s="33"/>
      <c r="E219" s="33"/>
      <c r="F219" s="33"/>
      <c r="G219" s="33"/>
      <c r="H219" s="33"/>
      <c r="I219" s="33"/>
      <c r="J219" s="33"/>
      <c r="K219" s="33"/>
      <c r="L219" s="34"/>
      <c r="M219" s="34"/>
      <c r="N219" s="34"/>
      <c r="O219" s="34"/>
      <c r="P219" s="33"/>
      <c r="Q219" s="35"/>
      <c r="R219" s="33"/>
      <c r="S219" s="33"/>
      <c r="T219" s="33"/>
      <c r="U219" s="33"/>
      <c r="V219" s="33"/>
      <c r="W219" s="33"/>
    </row>
    <row r="220" customFormat="false" ht="15" hidden="false" customHeight="false" outlineLevel="0" collapsed="false">
      <c r="A220" s="33"/>
      <c r="B220" s="33"/>
      <c r="C220" s="33"/>
      <c r="D220" s="33"/>
      <c r="E220" s="33"/>
      <c r="F220" s="33"/>
      <c r="G220" s="33"/>
      <c r="H220" s="33"/>
      <c r="I220" s="33"/>
      <c r="J220" s="33"/>
      <c r="K220" s="33"/>
      <c r="L220" s="34"/>
      <c r="M220" s="34"/>
      <c r="N220" s="34"/>
      <c r="O220" s="34"/>
      <c r="P220" s="33"/>
      <c r="Q220" s="35"/>
      <c r="R220" s="33"/>
      <c r="S220" s="33"/>
      <c r="T220" s="33"/>
      <c r="U220" s="33"/>
      <c r="V220" s="33"/>
      <c r="W220" s="33"/>
    </row>
    <row r="221" customFormat="false" ht="15" hidden="false" customHeight="false" outlineLevel="0" collapsed="false">
      <c r="A221" s="33"/>
      <c r="B221" s="33"/>
      <c r="C221" s="33"/>
      <c r="D221" s="33"/>
      <c r="E221" s="33"/>
      <c r="F221" s="33"/>
      <c r="G221" s="33"/>
      <c r="H221" s="33"/>
      <c r="I221" s="33"/>
      <c r="J221" s="33"/>
      <c r="K221" s="33"/>
      <c r="L221" s="34"/>
      <c r="M221" s="34"/>
      <c r="N221" s="34"/>
      <c r="O221" s="34"/>
      <c r="P221" s="33"/>
      <c r="Q221" s="35"/>
      <c r="R221" s="33"/>
      <c r="S221" s="33"/>
      <c r="T221" s="33"/>
      <c r="U221" s="33"/>
      <c r="V221" s="33"/>
      <c r="W221" s="33"/>
    </row>
    <row r="222" customFormat="false" ht="15" hidden="false" customHeight="false" outlineLevel="0" collapsed="false">
      <c r="A222" s="33"/>
      <c r="B222" s="33"/>
      <c r="C222" s="33"/>
      <c r="D222" s="33"/>
      <c r="E222" s="33"/>
      <c r="F222" s="33"/>
      <c r="G222" s="33"/>
      <c r="H222" s="33"/>
      <c r="I222" s="33"/>
      <c r="J222" s="33"/>
      <c r="K222" s="33"/>
      <c r="L222" s="34"/>
      <c r="M222" s="34"/>
      <c r="N222" s="34"/>
      <c r="O222" s="34"/>
      <c r="P222" s="33"/>
      <c r="Q222" s="35"/>
      <c r="R222" s="33"/>
      <c r="S222" s="33"/>
      <c r="T222" s="33"/>
      <c r="U222" s="33"/>
      <c r="V222" s="33"/>
      <c r="W222" s="33"/>
    </row>
    <row r="223" customFormat="false" ht="15" hidden="false" customHeight="false" outlineLevel="0" collapsed="false">
      <c r="A223" s="33"/>
      <c r="B223" s="33"/>
      <c r="C223" s="33"/>
      <c r="D223" s="33"/>
      <c r="E223" s="33"/>
      <c r="F223" s="33"/>
      <c r="G223" s="33"/>
      <c r="H223" s="33"/>
      <c r="I223" s="33"/>
      <c r="J223" s="33"/>
      <c r="K223" s="33"/>
      <c r="L223" s="34"/>
      <c r="M223" s="34"/>
      <c r="N223" s="34"/>
      <c r="O223" s="34"/>
      <c r="P223" s="33"/>
      <c r="Q223" s="35"/>
      <c r="R223" s="33"/>
      <c r="S223" s="33"/>
      <c r="T223" s="33"/>
      <c r="U223" s="33"/>
      <c r="V223" s="33"/>
      <c r="W223" s="33"/>
    </row>
    <row r="224" customFormat="false" ht="15" hidden="false" customHeight="false" outlineLevel="0" collapsed="false">
      <c r="A224" s="33"/>
      <c r="B224" s="33"/>
      <c r="C224" s="33"/>
      <c r="D224" s="33"/>
      <c r="E224" s="33"/>
      <c r="F224" s="33"/>
      <c r="G224" s="33"/>
      <c r="H224" s="33"/>
      <c r="I224" s="33"/>
      <c r="J224" s="33"/>
      <c r="K224" s="33"/>
      <c r="L224" s="34"/>
      <c r="M224" s="34"/>
      <c r="N224" s="34"/>
      <c r="O224" s="34"/>
      <c r="P224" s="33"/>
      <c r="Q224" s="35"/>
      <c r="R224" s="33"/>
      <c r="S224" s="33"/>
      <c r="T224" s="33"/>
      <c r="U224" s="33"/>
      <c r="V224" s="33"/>
      <c r="W224" s="33"/>
    </row>
    <row r="225" customFormat="false" ht="15" hidden="false" customHeight="false" outlineLevel="0" collapsed="false">
      <c r="A225" s="33"/>
      <c r="B225" s="33"/>
      <c r="C225" s="33"/>
      <c r="D225" s="33"/>
      <c r="E225" s="33"/>
      <c r="F225" s="33"/>
      <c r="G225" s="33"/>
      <c r="H225" s="33"/>
      <c r="I225" s="33"/>
      <c r="J225" s="33"/>
      <c r="K225" s="33"/>
      <c r="L225" s="34"/>
      <c r="M225" s="34"/>
      <c r="N225" s="34"/>
      <c r="O225" s="34"/>
      <c r="P225" s="33"/>
      <c r="Q225" s="35"/>
      <c r="R225" s="33"/>
      <c r="S225" s="33"/>
      <c r="T225" s="33"/>
      <c r="U225" s="33"/>
      <c r="V225" s="33"/>
      <c r="W225" s="33"/>
    </row>
    <row r="226" customFormat="false" ht="15" hidden="false" customHeight="false" outlineLevel="0" collapsed="false">
      <c r="A226" s="33"/>
      <c r="B226" s="33"/>
      <c r="C226" s="33"/>
      <c r="D226" s="33"/>
      <c r="E226" s="33"/>
      <c r="F226" s="33"/>
      <c r="G226" s="33"/>
      <c r="H226" s="33"/>
      <c r="I226" s="33"/>
      <c r="J226" s="33"/>
      <c r="K226" s="33"/>
      <c r="L226" s="34"/>
      <c r="M226" s="34"/>
      <c r="N226" s="34"/>
      <c r="O226" s="34"/>
      <c r="P226" s="33"/>
      <c r="Q226" s="35"/>
      <c r="R226" s="33"/>
      <c r="S226" s="33"/>
      <c r="T226" s="33"/>
      <c r="U226" s="33"/>
      <c r="V226" s="33"/>
      <c r="W226" s="33"/>
    </row>
    <row r="227" customFormat="false" ht="15" hidden="false" customHeight="false" outlineLevel="0" collapsed="false">
      <c r="A227" s="33"/>
      <c r="B227" s="33"/>
      <c r="C227" s="33"/>
      <c r="D227" s="33"/>
      <c r="E227" s="33"/>
      <c r="F227" s="33"/>
      <c r="G227" s="33"/>
      <c r="H227" s="33"/>
      <c r="I227" s="33"/>
      <c r="J227" s="33"/>
      <c r="K227" s="33"/>
      <c r="L227" s="34"/>
      <c r="M227" s="34"/>
      <c r="N227" s="34"/>
      <c r="O227" s="34"/>
      <c r="P227" s="33"/>
      <c r="Q227" s="35"/>
      <c r="R227" s="33"/>
      <c r="S227" s="33"/>
      <c r="T227" s="33"/>
      <c r="U227" s="33"/>
      <c r="V227" s="33"/>
      <c r="W227" s="33"/>
    </row>
    <row r="228" customFormat="false" ht="15" hidden="false" customHeight="false" outlineLevel="0" collapsed="false">
      <c r="A228" s="33"/>
      <c r="B228" s="33"/>
      <c r="C228" s="33"/>
      <c r="D228" s="33"/>
      <c r="E228" s="33"/>
      <c r="F228" s="33"/>
      <c r="G228" s="33"/>
      <c r="H228" s="33"/>
      <c r="I228" s="33"/>
      <c r="J228" s="33"/>
      <c r="K228" s="33"/>
      <c r="L228" s="34"/>
      <c r="M228" s="34"/>
      <c r="N228" s="34"/>
      <c r="O228" s="34"/>
      <c r="P228" s="33"/>
      <c r="Q228" s="35"/>
      <c r="R228" s="33"/>
      <c r="S228" s="33"/>
      <c r="T228" s="33"/>
      <c r="U228" s="33"/>
      <c r="V228" s="33"/>
      <c r="W228" s="33"/>
    </row>
    <row r="229" customFormat="false" ht="15" hidden="false" customHeight="false" outlineLevel="0" collapsed="false">
      <c r="A229" s="33"/>
      <c r="B229" s="33"/>
      <c r="C229" s="33"/>
      <c r="D229" s="33"/>
      <c r="E229" s="33"/>
      <c r="F229" s="33"/>
      <c r="G229" s="33"/>
      <c r="H229" s="33"/>
      <c r="I229" s="33"/>
      <c r="J229" s="33"/>
      <c r="K229" s="33"/>
      <c r="L229" s="34"/>
      <c r="M229" s="34"/>
      <c r="N229" s="34"/>
      <c r="O229" s="34"/>
      <c r="P229" s="33"/>
      <c r="Q229" s="35"/>
      <c r="R229" s="33"/>
      <c r="S229" s="33"/>
      <c r="T229" s="33"/>
      <c r="U229" s="33"/>
      <c r="V229" s="33"/>
      <c r="W229" s="33"/>
    </row>
    <row r="230" customFormat="false" ht="15" hidden="false" customHeight="false" outlineLevel="0" collapsed="false">
      <c r="A230" s="33"/>
      <c r="B230" s="33"/>
      <c r="C230" s="33"/>
      <c r="D230" s="33"/>
      <c r="E230" s="33"/>
      <c r="F230" s="33"/>
      <c r="G230" s="33"/>
      <c r="H230" s="33"/>
      <c r="I230" s="33"/>
      <c r="J230" s="33"/>
      <c r="K230" s="33"/>
      <c r="L230" s="34"/>
      <c r="M230" s="34"/>
      <c r="N230" s="34"/>
      <c r="O230" s="34"/>
      <c r="P230" s="33"/>
      <c r="Q230" s="35"/>
      <c r="R230" s="33"/>
      <c r="S230" s="33"/>
      <c r="T230" s="33"/>
      <c r="U230" s="33"/>
      <c r="V230" s="33"/>
      <c r="W230" s="33"/>
    </row>
    <row r="231" customFormat="false" ht="15" hidden="false" customHeight="false" outlineLevel="0" collapsed="false">
      <c r="A231" s="33"/>
      <c r="B231" s="33"/>
      <c r="C231" s="33"/>
      <c r="D231" s="33"/>
      <c r="E231" s="33"/>
      <c r="F231" s="33"/>
      <c r="G231" s="33"/>
      <c r="H231" s="33"/>
      <c r="I231" s="33"/>
      <c r="J231" s="33"/>
      <c r="K231" s="33"/>
      <c r="L231" s="34"/>
      <c r="M231" s="34"/>
      <c r="N231" s="34"/>
      <c r="O231" s="34"/>
      <c r="P231" s="33"/>
      <c r="Q231" s="35"/>
      <c r="R231" s="33"/>
      <c r="S231" s="33"/>
      <c r="T231" s="33"/>
      <c r="U231" s="33"/>
      <c r="V231" s="33"/>
      <c r="W231" s="33"/>
    </row>
    <row r="232" customFormat="false" ht="15" hidden="false" customHeight="false" outlineLevel="0" collapsed="false">
      <c r="A232" s="33"/>
      <c r="B232" s="33"/>
      <c r="C232" s="33"/>
      <c r="D232" s="33"/>
      <c r="E232" s="33"/>
      <c r="F232" s="33"/>
      <c r="G232" s="33"/>
      <c r="H232" s="33"/>
      <c r="I232" s="33"/>
      <c r="J232" s="33"/>
      <c r="K232" s="33"/>
      <c r="L232" s="34"/>
      <c r="M232" s="34"/>
      <c r="N232" s="34"/>
      <c r="O232" s="34"/>
      <c r="P232" s="33"/>
      <c r="Q232" s="35"/>
      <c r="R232" s="33"/>
      <c r="S232" s="33"/>
      <c r="T232" s="33"/>
      <c r="U232" s="33"/>
      <c r="V232" s="33"/>
      <c r="W232" s="33"/>
    </row>
    <row r="233" customFormat="false" ht="15" hidden="false" customHeight="false" outlineLevel="0" collapsed="false">
      <c r="A233" s="33"/>
      <c r="B233" s="33"/>
      <c r="C233" s="33"/>
      <c r="D233" s="33"/>
      <c r="E233" s="33"/>
      <c r="F233" s="33"/>
      <c r="G233" s="33"/>
      <c r="H233" s="33"/>
      <c r="I233" s="33"/>
      <c r="J233" s="33"/>
      <c r="K233" s="33"/>
      <c r="L233" s="34"/>
      <c r="M233" s="34"/>
      <c r="N233" s="34"/>
      <c r="O233" s="34"/>
      <c r="P233" s="33"/>
      <c r="Q233" s="35"/>
      <c r="R233" s="33"/>
      <c r="S233" s="33"/>
      <c r="T233" s="33"/>
      <c r="U233" s="33"/>
      <c r="V233" s="33"/>
      <c r="W233" s="33"/>
    </row>
    <row r="234" customFormat="false" ht="15" hidden="false" customHeight="false" outlineLevel="0" collapsed="false">
      <c r="A234" s="33"/>
      <c r="B234" s="33"/>
      <c r="C234" s="33"/>
      <c r="D234" s="33"/>
      <c r="E234" s="33"/>
      <c r="F234" s="33"/>
      <c r="G234" s="33"/>
      <c r="H234" s="33"/>
      <c r="I234" s="33"/>
      <c r="J234" s="33"/>
      <c r="K234" s="33"/>
      <c r="L234" s="34"/>
      <c r="M234" s="34"/>
      <c r="N234" s="34"/>
      <c r="O234" s="34"/>
      <c r="P234" s="33"/>
      <c r="Q234" s="35"/>
      <c r="R234" s="33"/>
      <c r="S234" s="33"/>
      <c r="T234" s="33"/>
      <c r="U234" s="33"/>
      <c r="V234" s="33"/>
      <c r="W234" s="33"/>
    </row>
    <row r="235" customFormat="false" ht="15" hidden="false" customHeight="false" outlineLevel="0" collapsed="false">
      <c r="A235" s="33"/>
      <c r="B235" s="33"/>
      <c r="C235" s="33"/>
      <c r="D235" s="33"/>
      <c r="E235" s="33"/>
      <c r="F235" s="33"/>
      <c r="G235" s="33"/>
      <c r="H235" s="33"/>
      <c r="I235" s="33"/>
      <c r="J235" s="33"/>
      <c r="K235" s="33"/>
      <c r="L235" s="34"/>
      <c r="M235" s="34"/>
      <c r="N235" s="34"/>
      <c r="O235" s="34"/>
      <c r="P235" s="33"/>
      <c r="Q235" s="35"/>
      <c r="R235" s="33"/>
      <c r="S235" s="33"/>
      <c r="T235" s="33"/>
      <c r="U235" s="33"/>
      <c r="V235" s="33"/>
      <c r="W235" s="33"/>
    </row>
    <row r="236" customFormat="false" ht="15" hidden="false" customHeight="false" outlineLevel="0" collapsed="false">
      <c r="A236" s="33"/>
      <c r="B236" s="33"/>
      <c r="C236" s="33"/>
      <c r="D236" s="33"/>
      <c r="E236" s="33"/>
      <c r="F236" s="33"/>
      <c r="G236" s="33"/>
      <c r="H236" s="33"/>
      <c r="I236" s="33"/>
      <c r="J236" s="33"/>
      <c r="K236" s="33"/>
      <c r="L236" s="34"/>
      <c r="M236" s="34"/>
      <c r="N236" s="34"/>
      <c r="O236" s="34"/>
      <c r="P236" s="33"/>
      <c r="Q236" s="35"/>
      <c r="R236" s="33"/>
      <c r="S236" s="33"/>
      <c r="T236" s="33"/>
      <c r="U236" s="33"/>
      <c r="V236" s="33"/>
      <c r="W236" s="33"/>
    </row>
    <row r="237" customFormat="false" ht="15" hidden="false" customHeight="false" outlineLevel="0" collapsed="false">
      <c r="A237" s="33"/>
      <c r="B237" s="33"/>
      <c r="C237" s="33"/>
      <c r="D237" s="33"/>
      <c r="E237" s="33"/>
      <c r="F237" s="33"/>
      <c r="G237" s="33"/>
      <c r="H237" s="33"/>
      <c r="I237" s="33"/>
      <c r="J237" s="33"/>
      <c r="K237" s="33"/>
      <c r="L237" s="34"/>
      <c r="M237" s="34"/>
      <c r="N237" s="34"/>
      <c r="O237" s="34"/>
      <c r="P237" s="33"/>
      <c r="Q237" s="35"/>
      <c r="R237" s="33"/>
      <c r="S237" s="33"/>
      <c r="T237" s="33"/>
      <c r="U237" s="33"/>
      <c r="V237" s="33"/>
      <c r="W237" s="33"/>
    </row>
    <row r="238" customFormat="false" ht="15" hidden="false" customHeight="false" outlineLevel="0" collapsed="false">
      <c r="A238" s="33"/>
      <c r="B238" s="33"/>
      <c r="C238" s="33"/>
      <c r="D238" s="33"/>
      <c r="E238" s="33"/>
      <c r="F238" s="33"/>
      <c r="G238" s="33"/>
      <c r="H238" s="33"/>
      <c r="I238" s="33"/>
      <c r="J238" s="33"/>
      <c r="K238" s="33"/>
      <c r="L238" s="34"/>
      <c r="M238" s="34"/>
      <c r="N238" s="34"/>
      <c r="O238" s="34"/>
      <c r="P238" s="33"/>
      <c r="Q238" s="35"/>
      <c r="R238" s="33"/>
      <c r="S238" s="33"/>
      <c r="T238" s="33"/>
      <c r="U238" s="33"/>
      <c r="V238" s="33"/>
      <c r="W238" s="33"/>
    </row>
    <row r="239" customFormat="false" ht="15" hidden="false" customHeight="false" outlineLevel="0" collapsed="false">
      <c r="A239" s="33"/>
      <c r="B239" s="33"/>
      <c r="C239" s="33"/>
      <c r="D239" s="33"/>
      <c r="E239" s="33"/>
      <c r="F239" s="33"/>
      <c r="G239" s="33"/>
      <c r="H239" s="33"/>
      <c r="I239" s="33"/>
      <c r="J239" s="33"/>
      <c r="K239" s="33"/>
      <c r="L239" s="34"/>
      <c r="M239" s="34"/>
      <c r="N239" s="34"/>
      <c r="O239" s="34"/>
      <c r="P239" s="33"/>
      <c r="Q239" s="35"/>
      <c r="R239" s="33"/>
      <c r="S239" s="33"/>
      <c r="T239" s="33"/>
      <c r="U239" s="33"/>
      <c r="V239" s="33"/>
      <c r="W239" s="33"/>
    </row>
    <row r="240" customFormat="false" ht="15" hidden="false" customHeight="false" outlineLevel="0" collapsed="false">
      <c r="A240" s="33"/>
      <c r="B240" s="33"/>
      <c r="C240" s="33"/>
      <c r="D240" s="33"/>
      <c r="E240" s="33"/>
      <c r="F240" s="33"/>
      <c r="G240" s="33"/>
      <c r="H240" s="33"/>
      <c r="I240" s="33"/>
      <c r="J240" s="33"/>
      <c r="K240" s="33"/>
      <c r="L240" s="34"/>
      <c r="M240" s="34"/>
      <c r="N240" s="34"/>
      <c r="O240" s="34"/>
      <c r="P240" s="33"/>
      <c r="Q240" s="35"/>
      <c r="R240" s="33"/>
      <c r="S240" s="33"/>
      <c r="T240" s="33"/>
      <c r="U240" s="33"/>
      <c r="V240" s="33"/>
      <c r="W240" s="33"/>
    </row>
    <row r="241" customFormat="false" ht="15" hidden="false" customHeight="false" outlineLevel="0" collapsed="false">
      <c r="A241" s="33"/>
      <c r="B241" s="33"/>
      <c r="C241" s="33"/>
      <c r="D241" s="33"/>
      <c r="E241" s="33"/>
      <c r="F241" s="33"/>
      <c r="G241" s="33"/>
      <c r="H241" s="33"/>
      <c r="I241" s="33"/>
      <c r="J241" s="33"/>
      <c r="K241" s="33"/>
      <c r="L241" s="34"/>
      <c r="M241" s="34"/>
      <c r="N241" s="34"/>
      <c r="O241" s="34"/>
      <c r="P241" s="33"/>
      <c r="Q241" s="35"/>
      <c r="R241" s="33"/>
      <c r="S241" s="33"/>
      <c r="T241" s="33"/>
      <c r="U241" s="33"/>
      <c r="V241" s="33"/>
      <c r="W241" s="33"/>
    </row>
    <row r="242" customFormat="false" ht="15" hidden="false" customHeight="false" outlineLevel="0" collapsed="false">
      <c r="A242" s="33"/>
      <c r="B242" s="33"/>
      <c r="C242" s="33"/>
      <c r="D242" s="33"/>
      <c r="E242" s="33"/>
      <c r="F242" s="33"/>
      <c r="G242" s="33"/>
      <c r="H242" s="33"/>
      <c r="I242" s="33"/>
      <c r="J242" s="33"/>
      <c r="K242" s="33"/>
      <c r="L242" s="34"/>
      <c r="M242" s="34"/>
      <c r="N242" s="34"/>
      <c r="O242" s="34"/>
      <c r="P242" s="33"/>
      <c r="Q242" s="35"/>
      <c r="R242" s="33"/>
      <c r="S242" s="33"/>
      <c r="T242" s="33"/>
      <c r="U242" s="33"/>
      <c r="V242" s="33"/>
      <c r="W242" s="33"/>
    </row>
    <row r="243" customFormat="false" ht="15" hidden="false" customHeight="false" outlineLevel="0" collapsed="false">
      <c r="A243" s="33"/>
      <c r="B243" s="33"/>
      <c r="C243" s="33"/>
      <c r="D243" s="33"/>
      <c r="E243" s="33"/>
      <c r="F243" s="33"/>
      <c r="G243" s="33"/>
      <c r="H243" s="33"/>
      <c r="I243" s="33"/>
      <c r="J243" s="33"/>
      <c r="K243" s="33"/>
      <c r="L243" s="34"/>
      <c r="M243" s="34"/>
      <c r="N243" s="34"/>
      <c r="O243" s="34"/>
      <c r="P243" s="33"/>
      <c r="Q243" s="35"/>
      <c r="R243" s="33"/>
      <c r="S243" s="33"/>
      <c r="T243" s="33"/>
      <c r="U243" s="33"/>
      <c r="V243" s="33"/>
      <c r="W243" s="33"/>
    </row>
    <row r="244" customFormat="false" ht="15" hidden="false" customHeight="false" outlineLevel="0" collapsed="false">
      <c r="A244" s="33"/>
      <c r="B244" s="33"/>
      <c r="C244" s="33"/>
      <c r="D244" s="33"/>
      <c r="E244" s="33"/>
      <c r="F244" s="33"/>
      <c r="G244" s="33"/>
      <c r="H244" s="33"/>
      <c r="I244" s="33"/>
      <c r="J244" s="33"/>
      <c r="K244" s="33"/>
      <c r="L244" s="34"/>
      <c r="M244" s="34"/>
      <c r="N244" s="34"/>
      <c r="O244" s="34"/>
      <c r="P244" s="33"/>
      <c r="Q244" s="35"/>
      <c r="R244" s="33"/>
      <c r="S244" s="33"/>
      <c r="T244" s="33"/>
      <c r="U244" s="33"/>
      <c r="V244" s="33"/>
      <c r="W244" s="33"/>
    </row>
    <row r="245" customFormat="false" ht="15" hidden="false" customHeight="false" outlineLevel="0" collapsed="false">
      <c r="A245" s="33"/>
      <c r="B245" s="33"/>
      <c r="C245" s="33"/>
      <c r="D245" s="33"/>
      <c r="E245" s="33"/>
      <c r="F245" s="33"/>
      <c r="G245" s="33"/>
      <c r="H245" s="33"/>
      <c r="I245" s="33"/>
      <c r="J245" s="33"/>
      <c r="K245" s="33"/>
      <c r="L245" s="34"/>
      <c r="M245" s="34"/>
      <c r="N245" s="34"/>
      <c r="O245" s="34"/>
      <c r="P245" s="33"/>
      <c r="Q245" s="35"/>
      <c r="R245" s="33"/>
      <c r="S245" s="33"/>
      <c r="T245" s="33"/>
      <c r="U245" s="33"/>
      <c r="V245" s="33"/>
      <c r="W245" s="33"/>
    </row>
    <row r="246" customFormat="false" ht="15" hidden="false" customHeight="false" outlineLevel="0" collapsed="false">
      <c r="A246" s="33"/>
      <c r="B246" s="33"/>
      <c r="C246" s="33"/>
      <c r="D246" s="33"/>
      <c r="E246" s="33"/>
      <c r="F246" s="33"/>
      <c r="G246" s="33"/>
      <c r="H246" s="33"/>
      <c r="I246" s="33"/>
      <c r="J246" s="33"/>
      <c r="K246" s="33"/>
      <c r="L246" s="34"/>
      <c r="M246" s="34"/>
      <c r="N246" s="34"/>
      <c r="O246" s="34"/>
      <c r="P246" s="33"/>
      <c r="Q246" s="35"/>
      <c r="R246" s="33"/>
      <c r="S246" s="33"/>
      <c r="T246" s="33"/>
      <c r="U246" s="33"/>
      <c r="V246" s="33"/>
      <c r="W246" s="33"/>
    </row>
    <row r="247" customFormat="false" ht="15" hidden="false" customHeight="false" outlineLevel="0" collapsed="false">
      <c r="A247" s="33"/>
      <c r="B247" s="33"/>
      <c r="C247" s="33"/>
      <c r="D247" s="33"/>
      <c r="E247" s="33"/>
      <c r="F247" s="33"/>
      <c r="G247" s="33"/>
      <c r="H247" s="33"/>
      <c r="I247" s="33"/>
      <c r="J247" s="33"/>
      <c r="K247" s="33"/>
      <c r="L247" s="34"/>
      <c r="M247" s="34"/>
      <c r="N247" s="34"/>
      <c r="O247" s="34"/>
      <c r="P247" s="33"/>
      <c r="Q247" s="35"/>
      <c r="R247" s="33"/>
      <c r="S247" s="33"/>
      <c r="T247" s="33"/>
      <c r="U247" s="33"/>
      <c r="V247" s="33"/>
      <c r="W247" s="33"/>
    </row>
    <row r="248" customFormat="false" ht="15" hidden="false" customHeight="false" outlineLevel="0" collapsed="false">
      <c r="A248" s="33"/>
      <c r="B248" s="33"/>
      <c r="C248" s="33"/>
      <c r="D248" s="33"/>
      <c r="E248" s="33"/>
      <c r="F248" s="33"/>
      <c r="G248" s="33"/>
      <c r="H248" s="33"/>
      <c r="I248" s="33"/>
      <c r="J248" s="33"/>
      <c r="K248" s="33"/>
      <c r="L248" s="34"/>
      <c r="M248" s="34"/>
      <c r="N248" s="34"/>
      <c r="O248" s="34"/>
      <c r="P248" s="33"/>
      <c r="Q248" s="35"/>
      <c r="R248" s="33"/>
      <c r="S248" s="33"/>
      <c r="T248" s="33"/>
      <c r="U248" s="33"/>
      <c r="V248" s="33"/>
      <c r="W248" s="33"/>
    </row>
    <row r="249" customFormat="false" ht="15" hidden="false" customHeight="false" outlineLevel="0" collapsed="false">
      <c r="A249" s="33"/>
      <c r="B249" s="33"/>
      <c r="C249" s="33"/>
      <c r="D249" s="33"/>
      <c r="E249" s="33"/>
      <c r="F249" s="33"/>
      <c r="G249" s="33"/>
      <c r="H249" s="33"/>
      <c r="I249" s="33"/>
      <c r="J249" s="33"/>
      <c r="K249" s="33"/>
      <c r="L249" s="34"/>
      <c r="M249" s="34"/>
      <c r="N249" s="34"/>
      <c r="O249" s="34"/>
      <c r="P249" s="33"/>
      <c r="Q249" s="35"/>
      <c r="R249" s="33"/>
      <c r="S249" s="33"/>
      <c r="T249" s="33"/>
      <c r="U249" s="33"/>
      <c r="V249" s="33"/>
      <c r="W249" s="33"/>
    </row>
    <row r="250" customFormat="false" ht="15" hidden="false" customHeight="false" outlineLevel="0" collapsed="false">
      <c r="A250" s="33"/>
      <c r="B250" s="33"/>
      <c r="C250" s="33"/>
      <c r="D250" s="33"/>
      <c r="E250" s="33"/>
      <c r="F250" s="33"/>
      <c r="G250" s="33"/>
      <c r="H250" s="33"/>
      <c r="I250" s="33"/>
      <c r="J250" s="33"/>
      <c r="K250" s="33"/>
      <c r="L250" s="34"/>
      <c r="M250" s="34"/>
      <c r="N250" s="34"/>
      <c r="O250" s="34"/>
      <c r="P250" s="33"/>
      <c r="Q250" s="35"/>
      <c r="R250" s="33"/>
      <c r="S250" s="33"/>
      <c r="T250" s="33"/>
      <c r="U250" s="33"/>
      <c r="V250" s="33"/>
      <c r="W250" s="33"/>
    </row>
    <row r="251" customFormat="false" ht="15" hidden="false" customHeight="false" outlineLevel="0" collapsed="false">
      <c r="A251" s="33"/>
      <c r="B251" s="33"/>
      <c r="C251" s="33"/>
      <c r="D251" s="33"/>
      <c r="E251" s="33"/>
      <c r="F251" s="33"/>
      <c r="G251" s="33"/>
      <c r="H251" s="33"/>
      <c r="I251" s="33"/>
      <c r="J251" s="33"/>
      <c r="K251" s="33"/>
      <c r="L251" s="34"/>
      <c r="M251" s="34"/>
      <c r="N251" s="34"/>
      <c r="O251" s="34"/>
      <c r="P251" s="33"/>
      <c r="Q251" s="35"/>
      <c r="R251" s="33"/>
      <c r="S251" s="33"/>
      <c r="T251" s="33"/>
      <c r="U251" s="33"/>
      <c r="V251" s="33"/>
      <c r="W251" s="33"/>
    </row>
    <row r="252" customFormat="false" ht="15" hidden="false" customHeight="false" outlineLevel="0" collapsed="false">
      <c r="A252" s="33"/>
      <c r="B252" s="33"/>
      <c r="C252" s="33"/>
      <c r="D252" s="33"/>
      <c r="E252" s="33"/>
      <c r="F252" s="33"/>
      <c r="G252" s="33"/>
      <c r="H252" s="33"/>
      <c r="I252" s="33"/>
      <c r="J252" s="33"/>
      <c r="K252" s="33"/>
      <c r="L252" s="34"/>
      <c r="M252" s="34"/>
      <c r="N252" s="34"/>
      <c r="O252" s="34"/>
      <c r="P252" s="33"/>
      <c r="Q252" s="35"/>
      <c r="R252" s="33"/>
      <c r="S252" s="33"/>
      <c r="T252" s="33"/>
      <c r="U252" s="33"/>
      <c r="V252" s="33"/>
      <c r="W252" s="33"/>
    </row>
    <row r="253" customFormat="false" ht="15" hidden="false" customHeight="false" outlineLevel="0" collapsed="false">
      <c r="A253" s="33"/>
      <c r="B253" s="33"/>
      <c r="C253" s="33"/>
      <c r="D253" s="33"/>
      <c r="E253" s="33"/>
      <c r="F253" s="33"/>
      <c r="G253" s="33"/>
      <c r="H253" s="33"/>
      <c r="I253" s="33"/>
      <c r="J253" s="33"/>
      <c r="K253" s="33"/>
      <c r="L253" s="34"/>
      <c r="M253" s="34"/>
      <c r="N253" s="34"/>
      <c r="O253" s="34"/>
      <c r="P253" s="33"/>
      <c r="Q253" s="35"/>
      <c r="R253" s="33"/>
      <c r="S253" s="33"/>
      <c r="T253" s="33"/>
      <c r="U253" s="33"/>
      <c r="V253" s="33"/>
      <c r="W253" s="33"/>
    </row>
    <row r="254" customFormat="false" ht="15" hidden="false" customHeight="false" outlineLevel="0" collapsed="false">
      <c r="A254" s="33"/>
      <c r="B254" s="33"/>
      <c r="C254" s="33"/>
      <c r="D254" s="33"/>
      <c r="E254" s="33"/>
      <c r="F254" s="33"/>
      <c r="G254" s="33"/>
      <c r="H254" s="33"/>
      <c r="I254" s="33"/>
      <c r="J254" s="33"/>
      <c r="K254" s="33"/>
      <c r="L254" s="34"/>
      <c r="M254" s="34"/>
      <c r="N254" s="34"/>
      <c r="O254" s="34"/>
      <c r="P254" s="33"/>
      <c r="Q254" s="35"/>
      <c r="R254" s="33"/>
      <c r="S254" s="33"/>
      <c r="T254" s="33"/>
      <c r="U254" s="33"/>
      <c r="V254" s="33"/>
      <c r="W254" s="33"/>
    </row>
    <row r="255" customFormat="false" ht="15" hidden="false" customHeight="false" outlineLevel="0" collapsed="false">
      <c r="A255" s="33"/>
      <c r="B255" s="33"/>
      <c r="C255" s="33"/>
      <c r="D255" s="33"/>
      <c r="E255" s="33"/>
      <c r="F255" s="33"/>
      <c r="G255" s="33"/>
      <c r="H255" s="33"/>
      <c r="I255" s="33"/>
      <c r="J255" s="33"/>
      <c r="K255" s="33"/>
      <c r="L255" s="34"/>
      <c r="M255" s="34"/>
      <c r="N255" s="34"/>
      <c r="O255" s="34"/>
      <c r="P255" s="33"/>
      <c r="Q255" s="35"/>
      <c r="R255" s="33"/>
      <c r="S255" s="33"/>
      <c r="T255" s="33"/>
      <c r="U255" s="33"/>
      <c r="V255" s="33"/>
      <c r="W255" s="33"/>
    </row>
    <row r="256" customFormat="false" ht="15" hidden="false" customHeight="false" outlineLevel="0" collapsed="false">
      <c r="A256" s="33"/>
      <c r="B256" s="33"/>
      <c r="C256" s="33"/>
      <c r="D256" s="33"/>
      <c r="E256" s="33"/>
      <c r="F256" s="33"/>
      <c r="G256" s="33"/>
      <c r="H256" s="33"/>
      <c r="I256" s="33"/>
      <c r="J256" s="33"/>
      <c r="K256" s="33"/>
      <c r="L256" s="34"/>
      <c r="M256" s="34"/>
      <c r="N256" s="34"/>
      <c r="O256" s="34"/>
      <c r="P256" s="33"/>
      <c r="Q256" s="35"/>
      <c r="R256" s="33"/>
      <c r="S256" s="33"/>
      <c r="T256" s="33"/>
      <c r="U256" s="33"/>
      <c r="V256" s="33"/>
      <c r="W256" s="33"/>
    </row>
    <row r="257" customFormat="false" ht="15" hidden="false" customHeight="false" outlineLevel="0" collapsed="false">
      <c r="A257" s="33"/>
      <c r="B257" s="33"/>
      <c r="C257" s="33"/>
      <c r="D257" s="33"/>
      <c r="E257" s="33"/>
      <c r="F257" s="33"/>
      <c r="G257" s="33"/>
      <c r="H257" s="33"/>
      <c r="I257" s="33"/>
      <c r="J257" s="33"/>
      <c r="K257" s="33"/>
      <c r="L257" s="34"/>
      <c r="M257" s="34"/>
      <c r="N257" s="34"/>
      <c r="O257" s="34"/>
      <c r="P257" s="33"/>
      <c r="Q257" s="35"/>
      <c r="R257" s="33"/>
      <c r="S257" s="33"/>
      <c r="T257" s="33"/>
      <c r="U257" s="33"/>
      <c r="V257" s="33"/>
      <c r="W257" s="33"/>
    </row>
    <row r="258" customFormat="false" ht="15" hidden="false" customHeight="false" outlineLevel="0" collapsed="false">
      <c r="A258" s="33"/>
      <c r="B258" s="33"/>
      <c r="C258" s="33"/>
      <c r="D258" s="33"/>
      <c r="E258" s="33"/>
      <c r="F258" s="33"/>
      <c r="G258" s="33"/>
      <c r="H258" s="33"/>
      <c r="I258" s="33"/>
      <c r="J258" s="33"/>
      <c r="K258" s="33"/>
      <c r="L258" s="34"/>
      <c r="M258" s="34"/>
      <c r="N258" s="34"/>
      <c r="O258" s="34"/>
      <c r="P258" s="33"/>
      <c r="Q258" s="35"/>
      <c r="R258" s="33"/>
      <c r="S258" s="33"/>
      <c r="T258" s="33"/>
      <c r="U258" s="33"/>
      <c r="V258" s="33"/>
      <c r="W258" s="33"/>
    </row>
    <row r="259" customFormat="false" ht="15" hidden="false" customHeight="false" outlineLevel="0" collapsed="false">
      <c r="A259" s="33"/>
      <c r="B259" s="33"/>
      <c r="C259" s="33"/>
      <c r="D259" s="33"/>
      <c r="E259" s="33"/>
      <c r="F259" s="33"/>
      <c r="G259" s="33"/>
      <c r="H259" s="33"/>
      <c r="I259" s="33"/>
      <c r="J259" s="33"/>
      <c r="K259" s="33"/>
      <c r="L259" s="34"/>
      <c r="M259" s="34"/>
      <c r="N259" s="34"/>
      <c r="O259" s="34"/>
      <c r="P259" s="33"/>
      <c r="Q259" s="35"/>
      <c r="R259" s="33"/>
      <c r="S259" s="33"/>
      <c r="T259" s="33"/>
      <c r="U259" s="33"/>
      <c r="V259" s="33"/>
      <c r="W259" s="33"/>
    </row>
    <row r="260" customFormat="false" ht="15" hidden="false" customHeight="false" outlineLevel="0" collapsed="false">
      <c r="A260" s="33"/>
      <c r="B260" s="33"/>
      <c r="C260" s="33"/>
      <c r="D260" s="33"/>
      <c r="E260" s="33"/>
      <c r="F260" s="33"/>
      <c r="G260" s="33"/>
      <c r="H260" s="33"/>
      <c r="I260" s="33"/>
      <c r="J260" s="33"/>
      <c r="K260" s="33"/>
      <c r="L260" s="34"/>
      <c r="M260" s="34"/>
      <c r="N260" s="34"/>
      <c r="O260" s="34"/>
      <c r="P260" s="33"/>
      <c r="Q260" s="35"/>
      <c r="R260" s="33"/>
      <c r="S260" s="33"/>
      <c r="T260" s="33"/>
      <c r="U260" s="33"/>
      <c r="V260" s="33"/>
      <c r="W260" s="33"/>
    </row>
    <row r="261" customFormat="false" ht="15" hidden="false" customHeight="false" outlineLevel="0" collapsed="false">
      <c r="A261" s="33"/>
      <c r="B261" s="33"/>
      <c r="C261" s="33"/>
      <c r="D261" s="33"/>
      <c r="E261" s="33"/>
      <c r="F261" s="33"/>
      <c r="G261" s="33"/>
      <c r="H261" s="33"/>
      <c r="I261" s="33"/>
      <c r="J261" s="33"/>
      <c r="K261" s="33"/>
      <c r="L261" s="34"/>
      <c r="M261" s="34"/>
      <c r="N261" s="34"/>
      <c r="O261" s="34"/>
      <c r="P261" s="33"/>
      <c r="Q261" s="35"/>
      <c r="R261" s="33"/>
      <c r="S261" s="33"/>
      <c r="T261" s="33"/>
      <c r="U261" s="33"/>
      <c r="V261" s="33"/>
      <c r="W261" s="33"/>
    </row>
    <row r="262" customFormat="false" ht="15" hidden="false" customHeight="false" outlineLevel="0" collapsed="false">
      <c r="A262" s="33"/>
      <c r="B262" s="33"/>
      <c r="C262" s="33"/>
      <c r="D262" s="33"/>
      <c r="E262" s="33"/>
      <c r="F262" s="33"/>
      <c r="G262" s="33"/>
      <c r="H262" s="33"/>
      <c r="I262" s="33"/>
      <c r="J262" s="33"/>
      <c r="K262" s="33"/>
      <c r="L262" s="34"/>
      <c r="M262" s="34"/>
      <c r="N262" s="34"/>
      <c r="O262" s="34"/>
      <c r="P262" s="33"/>
      <c r="Q262" s="35"/>
      <c r="R262" s="33"/>
      <c r="S262" s="33"/>
      <c r="T262" s="33"/>
      <c r="U262" s="33"/>
      <c r="V262" s="33"/>
      <c r="W262" s="33"/>
    </row>
    <row r="263" customFormat="false" ht="15" hidden="false" customHeight="false" outlineLevel="0" collapsed="false">
      <c r="A263" s="33"/>
      <c r="B263" s="33"/>
      <c r="C263" s="33"/>
      <c r="D263" s="33"/>
      <c r="E263" s="33"/>
      <c r="F263" s="33"/>
      <c r="G263" s="33"/>
      <c r="H263" s="33"/>
      <c r="I263" s="33"/>
      <c r="J263" s="33"/>
      <c r="K263" s="33"/>
      <c r="L263" s="34"/>
      <c r="M263" s="34"/>
      <c r="N263" s="34"/>
      <c r="O263" s="34"/>
      <c r="P263" s="33"/>
      <c r="Q263" s="35"/>
      <c r="R263" s="33"/>
      <c r="S263" s="33"/>
      <c r="T263" s="33"/>
      <c r="U263" s="33"/>
      <c r="V263" s="33"/>
      <c r="W263" s="33"/>
    </row>
    <row r="264" customFormat="false" ht="15" hidden="false" customHeight="false" outlineLevel="0" collapsed="false">
      <c r="A264" s="33"/>
      <c r="B264" s="33"/>
      <c r="C264" s="33"/>
      <c r="D264" s="33"/>
      <c r="E264" s="33"/>
      <c r="F264" s="33"/>
      <c r="G264" s="33"/>
      <c r="H264" s="33"/>
      <c r="I264" s="33"/>
      <c r="J264" s="33"/>
      <c r="K264" s="33"/>
      <c r="L264" s="34"/>
      <c r="M264" s="34"/>
      <c r="N264" s="34"/>
      <c r="O264" s="34"/>
      <c r="P264" s="33"/>
      <c r="Q264" s="35"/>
      <c r="R264" s="33"/>
      <c r="S264" s="33"/>
      <c r="T264" s="33"/>
      <c r="U264" s="33"/>
      <c r="V264" s="33"/>
      <c r="W264" s="33"/>
    </row>
    <row r="265" customFormat="false" ht="15" hidden="false" customHeight="false" outlineLevel="0" collapsed="false">
      <c r="A265" s="33"/>
      <c r="B265" s="33"/>
      <c r="C265" s="33"/>
      <c r="D265" s="33"/>
      <c r="E265" s="33"/>
      <c r="F265" s="33"/>
      <c r="G265" s="33"/>
      <c r="H265" s="33"/>
      <c r="I265" s="33"/>
      <c r="J265" s="33"/>
      <c r="K265" s="33"/>
      <c r="L265" s="34"/>
      <c r="M265" s="34"/>
      <c r="N265" s="34"/>
      <c r="O265" s="34"/>
      <c r="P265" s="33"/>
      <c r="Q265" s="35"/>
      <c r="R265" s="33"/>
      <c r="S265" s="33"/>
      <c r="T265" s="33"/>
      <c r="U265" s="33"/>
      <c r="V265" s="33"/>
      <c r="W265" s="33"/>
    </row>
    <row r="266" customFormat="false" ht="15" hidden="false" customHeight="false" outlineLevel="0" collapsed="false">
      <c r="A266" s="33"/>
      <c r="B266" s="33"/>
      <c r="C266" s="33"/>
      <c r="D266" s="33"/>
      <c r="E266" s="33"/>
      <c r="F266" s="33"/>
      <c r="G266" s="33"/>
      <c r="H266" s="33"/>
      <c r="I266" s="33"/>
      <c r="J266" s="33"/>
      <c r="K266" s="33"/>
      <c r="L266" s="34"/>
      <c r="M266" s="34"/>
      <c r="N266" s="34"/>
      <c r="O266" s="34"/>
      <c r="P266" s="33"/>
      <c r="Q266" s="35"/>
      <c r="R266" s="33"/>
      <c r="S266" s="33"/>
      <c r="T266" s="33"/>
      <c r="U266" s="33"/>
      <c r="V266" s="33"/>
      <c r="W266" s="33"/>
    </row>
    <row r="267" customFormat="false" ht="15" hidden="false" customHeight="false" outlineLevel="0" collapsed="false">
      <c r="A267" s="33"/>
      <c r="B267" s="33"/>
      <c r="C267" s="33"/>
      <c r="D267" s="33"/>
      <c r="E267" s="33"/>
      <c r="F267" s="33"/>
      <c r="G267" s="33"/>
      <c r="H267" s="33"/>
      <c r="I267" s="33"/>
      <c r="J267" s="33"/>
      <c r="K267" s="33"/>
      <c r="L267" s="34"/>
      <c r="M267" s="34"/>
      <c r="N267" s="34"/>
      <c r="O267" s="34"/>
      <c r="P267" s="33"/>
      <c r="Q267" s="35"/>
      <c r="R267" s="33"/>
      <c r="S267" s="33"/>
      <c r="T267" s="33"/>
      <c r="U267" s="33"/>
      <c r="V267" s="33"/>
      <c r="W267" s="33"/>
    </row>
    <row r="268" customFormat="false" ht="15" hidden="false" customHeight="false" outlineLevel="0" collapsed="false">
      <c r="A268" s="33"/>
      <c r="B268" s="33"/>
      <c r="C268" s="33"/>
      <c r="D268" s="33"/>
      <c r="E268" s="33"/>
      <c r="F268" s="33"/>
      <c r="G268" s="33"/>
      <c r="H268" s="33"/>
      <c r="I268" s="33"/>
      <c r="J268" s="33"/>
      <c r="K268" s="33"/>
      <c r="L268" s="34"/>
      <c r="M268" s="34"/>
      <c r="N268" s="34"/>
      <c r="O268" s="34"/>
      <c r="P268" s="33"/>
      <c r="Q268" s="35"/>
      <c r="R268" s="33"/>
      <c r="S268" s="33"/>
      <c r="T268" s="33"/>
      <c r="U268" s="33"/>
      <c r="V268" s="33"/>
      <c r="W268" s="33"/>
    </row>
    <row r="269" customFormat="false" ht="15" hidden="false" customHeight="false" outlineLevel="0" collapsed="false">
      <c r="A269" s="33"/>
      <c r="B269" s="33"/>
      <c r="C269" s="33"/>
      <c r="D269" s="33"/>
      <c r="E269" s="33"/>
      <c r="F269" s="33"/>
      <c r="G269" s="33"/>
      <c r="H269" s="33"/>
      <c r="I269" s="33"/>
      <c r="J269" s="33"/>
      <c r="K269" s="33"/>
      <c r="L269" s="34"/>
      <c r="M269" s="34"/>
      <c r="N269" s="34"/>
      <c r="O269" s="34"/>
      <c r="P269" s="33"/>
      <c r="Q269" s="35"/>
      <c r="R269" s="33"/>
      <c r="S269" s="33"/>
      <c r="T269" s="33"/>
      <c r="U269" s="33"/>
      <c r="V269" s="33"/>
      <c r="W269" s="33"/>
    </row>
    <row r="270" customFormat="false" ht="15" hidden="false" customHeight="false" outlineLevel="0" collapsed="false">
      <c r="A270" s="33"/>
      <c r="B270" s="33"/>
      <c r="C270" s="33"/>
      <c r="D270" s="33"/>
      <c r="E270" s="33"/>
      <c r="F270" s="33"/>
      <c r="G270" s="33"/>
      <c r="H270" s="33"/>
      <c r="I270" s="33"/>
      <c r="J270" s="33"/>
      <c r="K270" s="33"/>
      <c r="L270" s="34"/>
      <c r="M270" s="34"/>
      <c r="N270" s="34"/>
      <c r="O270" s="34"/>
      <c r="P270" s="33"/>
      <c r="Q270" s="35"/>
      <c r="R270" s="33"/>
      <c r="S270" s="33"/>
      <c r="T270" s="33"/>
      <c r="U270" s="33"/>
      <c r="V270" s="33"/>
      <c r="W270" s="33"/>
    </row>
    <row r="271" customFormat="false" ht="15" hidden="false" customHeight="false" outlineLevel="0" collapsed="false">
      <c r="A271" s="33"/>
      <c r="B271" s="33"/>
      <c r="C271" s="33"/>
      <c r="D271" s="33"/>
      <c r="E271" s="33"/>
      <c r="F271" s="33"/>
      <c r="G271" s="33"/>
      <c r="H271" s="33"/>
      <c r="I271" s="33"/>
      <c r="J271" s="33"/>
      <c r="K271" s="33"/>
      <c r="L271" s="34"/>
      <c r="M271" s="34"/>
      <c r="N271" s="34"/>
      <c r="O271" s="34"/>
      <c r="P271" s="33"/>
      <c r="Q271" s="35"/>
      <c r="R271" s="33"/>
      <c r="S271" s="33"/>
      <c r="T271" s="33"/>
      <c r="U271" s="33"/>
      <c r="V271" s="33"/>
      <c r="W271" s="33"/>
    </row>
    <row r="272" customFormat="false" ht="15" hidden="false" customHeight="false" outlineLevel="0" collapsed="false">
      <c r="A272" s="33"/>
      <c r="B272" s="33"/>
      <c r="C272" s="33"/>
      <c r="D272" s="33"/>
      <c r="E272" s="33"/>
      <c r="F272" s="33"/>
      <c r="G272" s="33"/>
      <c r="H272" s="33"/>
      <c r="I272" s="33"/>
      <c r="J272" s="33"/>
      <c r="K272" s="33"/>
      <c r="L272" s="34"/>
      <c r="M272" s="34"/>
      <c r="N272" s="34"/>
      <c r="O272" s="34"/>
      <c r="P272" s="33"/>
      <c r="Q272" s="35"/>
      <c r="R272" s="33"/>
      <c r="S272" s="33"/>
      <c r="T272" s="33"/>
      <c r="U272" s="33"/>
      <c r="V272" s="33"/>
      <c r="W272" s="33"/>
    </row>
    <row r="273" customFormat="false" ht="15" hidden="false" customHeight="false" outlineLevel="0" collapsed="false">
      <c r="A273" s="33"/>
      <c r="B273" s="33"/>
      <c r="C273" s="33"/>
      <c r="D273" s="33"/>
      <c r="E273" s="33"/>
      <c r="F273" s="33"/>
      <c r="G273" s="33"/>
      <c r="H273" s="33"/>
      <c r="I273" s="33"/>
      <c r="J273" s="33"/>
      <c r="K273" s="33"/>
      <c r="L273" s="34"/>
      <c r="M273" s="34"/>
      <c r="N273" s="34"/>
      <c r="O273" s="34"/>
      <c r="P273" s="33"/>
      <c r="Q273" s="35"/>
      <c r="R273" s="33"/>
      <c r="S273" s="33"/>
      <c r="T273" s="33"/>
      <c r="U273" s="33"/>
      <c r="V273" s="33"/>
      <c r="W273" s="33"/>
    </row>
    <row r="274" customFormat="false" ht="15" hidden="false" customHeight="false" outlineLevel="0" collapsed="false">
      <c r="A274" s="33"/>
      <c r="B274" s="33"/>
      <c r="C274" s="33"/>
      <c r="D274" s="33"/>
      <c r="E274" s="33"/>
      <c r="F274" s="33"/>
      <c r="G274" s="33"/>
      <c r="H274" s="33"/>
      <c r="I274" s="33"/>
      <c r="J274" s="33"/>
      <c r="K274" s="33"/>
      <c r="L274" s="34"/>
      <c r="M274" s="34"/>
      <c r="N274" s="34"/>
      <c r="O274" s="34"/>
      <c r="P274" s="33"/>
      <c r="Q274" s="35"/>
      <c r="R274" s="33"/>
      <c r="S274" s="33"/>
      <c r="T274" s="33"/>
      <c r="U274" s="33"/>
      <c r="V274" s="33"/>
      <c r="W274" s="33"/>
    </row>
    <row r="275" customFormat="false" ht="15" hidden="false" customHeight="false" outlineLevel="0" collapsed="false">
      <c r="A275" s="33"/>
      <c r="B275" s="33"/>
      <c r="C275" s="33"/>
      <c r="D275" s="33"/>
      <c r="E275" s="33"/>
      <c r="F275" s="33"/>
      <c r="G275" s="33"/>
      <c r="H275" s="33"/>
      <c r="I275" s="33"/>
      <c r="J275" s="33"/>
      <c r="K275" s="33"/>
      <c r="L275" s="34"/>
      <c r="M275" s="34"/>
      <c r="N275" s="34"/>
      <c r="O275" s="34"/>
      <c r="P275" s="33"/>
      <c r="Q275" s="35"/>
      <c r="R275" s="33"/>
      <c r="S275" s="33"/>
      <c r="T275" s="33"/>
      <c r="U275" s="33"/>
      <c r="V275" s="33"/>
      <c r="W275" s="33"/>
    </row>
    <row r="276" customFormat="false" ht="15" hidden="false" customHeight="false" outlineLevel="0" collapsed="false">
      <c r="A276" s="33"/>
      <c r="B276" s="33"/>
      <c r="C276" s="33"/>
      <c r="D276" s="33"/>
      <c r="E276" s="33"/>
      <c r="F276" s="33"/>
      <c r="G276" s="33"/>
      <c r="H276" s="33"/>
      <c r="I276" s="33"/>
      <c r="J276" s="33"/>
      <c r="K276" s="33"/>
      <c r="L276" s="34"/>
      <c r="M276" s="34"/>
      <c r="N276" s="34"/>
      <c r="O276" s="34"/>
      <c r="P276" s="33"/>
      <c r="Q276" s="35"/>
      <c r="R276" s="33"/>
      <c r="S276" s="33"/>
      <c r="T276" s="33"/>
      <c r="U276" s="33"/>
      <c r="V276" s="33"/>
      <c r="W276" s="33"/>
    </row>
    <row r="277" customFormat="false" ht="15" hidden="false" customHeight="false" outlineLevel="0" collapsed="false">
      <c r="A277" s="33"/>
      <c r="B277" s="33"/>
      <c r="C277" s="33"/>
      <c r="D277" s="33"/>
      <c r="E277" s="33"/>
      <c r="F277" s="33"/>
      <c r="G277" s="33"/>
      <c r="H277" s="33"/>
      <c r="I277" s="33"/>
      <c r="J277" s="33"/>
      <c r="K277" s="33"/>
      <c r="L277" s="34"/>
      <c r="M277" s="34"/>
      <c r="N277" s="34"/>
      <c r="O277" s="34"/>
      <c r="P277" s="33"/>
      <c r="Q277" s="35"/>
      <c r="R277" s="33"/>
      <c r="S277" s="33"/>
      <c r="T277" s="33"/>
      <c r="U277" s="33"/>
      <c r="V277" s="33"/>
      <c r="W277" s="33"/>
    </row>
    <row r="278" customFormat="false" ht="15" hidden="false" customHeight="false" outlineLevel="0" collapsed="false">
      <c r="A278" s="33"/>
      <c r="B278" s="33"/>
      <c r="C278" s="33"/>
      <c r="D278" s="33"/>
      <c r="E278" s="33"/>
      <c r="F278" s="33"/>
      <c r="G278" s="33"/>
      <c r="H278" s="33"/>
      <c r="I278" s="33"/>
      <c r="J278" s="33"/>
      <c r="K278" s="33"/>
      <c r="L278" s="34"/>
      <c r="M278" s="34"/>
      <c r="N278" s="34"/>
      <c r="O278" s="34"/>
      <c r="P278" s="33"/>
      <c r="Q278" s="35"/>
      <c r="R278" s="33"/>
      <c r="S278" s="33"/>
      <c r="T278" s="33"/>
      <c r="U278" s="33"/>
      <c r="V278" s="33"/>
      <c r="W278" s="33"/>
    </row>
    <row r="279" customFormat="false" ht="15" hidden="false" customHeight="false" outlineLevel="0" collapsed="false">
      <c r="A279" s="33"/>
      <c r="B279" s="33"/>
      <c r="C279" s="33"/>
      <c r="D279" s="33"/>
      <c r="E279" s="33"/>
      <c r="F279" s="33"/>
      <c r="G279" s="33"/>
      <c r="H279" s="33"/>
      <c r="I279" s="33"/>
      <c r="J279" s="33"/>
      <c r="K279" s="33"/>
      <c r="L279" s="34"/>
      <c r="M279" s="34"/>
      <c r="N279" s="34"/>
      <c r="O279" s="34"/>
      <c r="P279" s="33"/>
      <c r="Q279" s="35"/>
      <c r="R279" s="33"/>
      <c r="S279" s="33"/>
      <c r="T279" s="33"/>
      <c r="U279" s="33"/>
      <c r="V279" s="33"/>
      <c r="W279" s="33"/>
    </row>
    <row r="280" customFormat="false" ht="15" hidden="false" customHeight="false" outlineLevel="0" collapsed="false">
      <c r="A280" s="33"/>
      <c r="B280" s="33"/>
      <c r="C280" s="33"/>
      <c r="D280" s="33"/>
      <c r="E280" s="33"/>
      <c r="F280" s="33"/>
      <c r="G280" s="33"/>
      <c r="H280" s="33"/>
      <c r="I280" s="33"/>
      <c r="J280" s="33"/>
      <c r="K280" s="33"/>
      <c r="L280" s="34"/>
      <c r="M280" s="34"/>
      <c r="N280" s="34"/>
      <c r="O280" s="34"/>
      <c r="P280" s="33"/>
      <c r="Q280" s="35"/>
      <c r="R280" s="33"/>
      <c r="S280" s="33"/>
      <c r="T280" s="33"/>
      <c r="U280" s="33"/>
      <c r="V280" s="33"/>
      <c r="W280" s="33"/>
    </row>
    <row r="281" customFormat="false" ht="15" hidden="false" customHeight="false" outlineLevel="0" collapsed="false">
      <c r="A281" s="33"/>
      <c r="B281" s="33"/>
      <c r="C281" s="33"/>
      <c r="D281" s="33"/>
      <c r="E281" s="33"/>
      <c r="F281" s="33"/>
      <c r="G281" s="33"/>
      <c r="H281" s="33"/>
      <c r="I281" s="33"/>
      <c r="J281" s="33"/>
      <c r="K281" s="33"/>
      <c r="L281" s="34"/>
      <c r="M281" s="34"/>
      <c r="N281" s="34"/>
      <c r="O281" s="34"/>
      <c r="P281" s="33"/>
      <c r="Q281" s="35"/>
      <c r="R281" s="33"/>
      <c r="S281" s="33"/>
      <c r="T281" s="33"/>
      <c r="U281" s="33"/>
      <c r="V281" s="33"/>
      <c r="W281" s="33"/>
    </row>
    <row r="282" customFormat="false" ht="15" hidden="false" customHeight="false" outlineLevel="0" collapsed="false">
      <c r="A282" s="33"/>
      <c r="B282" s="33"/>
      <c r="C282" s="33"/>
      <c r="D282" s="33"/>
      <c r="E282" s="33"/>
      <c r="F282" s="33"/>
      <c r="G282" s="33"/>
      <c r="H282" s="33"/>
      <c r="I282" s="33"/>
      <c r="J282" s="33"/>
      <c r="K282" s="33"/>
      <c r="L282" s="34"/>
      <c r="M282" s="34"/>
      <c r="N282" s="34"/>
      <c r="O282" s="34"/>
      <c r="P282" s="33"/>
      <c r="Q282" s="35"/>
      <c r="R282" s="33"/>
      <c r="S282" s="33"/>
      <c r="T282" s="33"/>
      <c r="U282" s="33"/>
      <c r="V282" s="33"/>
      <c r="W282" s="33"/>
    </row>
    <row r="283" customFormat="false" ht="15" hidden="false" customHeight="false" outlineLevel="0" collapsed="false">
      <c r="A283" s="33"/>
      <c r="B283" s="33"/>
      <c r="C283" s="33"/>
      <c r="D283" s="33"/>
      <c r="E283" s="33"/>
      <c r="F283" s="33"/>
      <c r="G283" s="33"/>
      <c r="H283" s="33"/>
      <c r="I283" s="33"/>
      <c r="J283" s="33"/>
      <c r="K283" s="33"/>
      <c r="L283" s="34"/>
      <c r="M283" s="34"/>
      <c r="N283" s="34"/>
      <c r="O283" s="34"/>
      <c r="P283" s="33"/>
      <c r="Q283" s="35"/>
      <c r="R283" s="33"/>
      <c r="S283" s="33"/>
      <c r="T283" s="33"/>
      <c r="U283" s="33"/>
      <c r="V283" s="33"/>
      <c r="W283" s="33"/>
    </row>
    <row r="284" customFormat="false" ht="15" hidden="false" customHeight="false" outlineLevel="0" collapsed="false">
      <c r="A284" s="33"/>
      <c r="B284" s="33"/>
      <c r="C284" s="33"/>
      <c r="D284" s="33"/>
      <c r="E284" s="33"/>
      <c r="F284" s="33"/>
      <c r="G284" s="33"/>
      <c r="H284" s="33"/>
      <c r="I284" s="33"/>
      <c r="J284" s="33"/>
      <c r="K284" s="33"/>
      <c r="L284" s="34"/>
      <c r="M284" s="34"/>
      <c r="N284" s="34"/>
      <c r="O284" s="34"/>
      <c r="P284" s="33"/>
      <c r="Q284" s="35"/>
      <c r="R284" s="33"/>
      <c r="S284" s="33"/>
      <c r="T284" s="33"/>
      <c r="U284" s="33"/>
      <c r="V284" s="33"/>
      <c r="W284" s="33"/>
    </row>
    <row r="285" customFormat="false" ht="15" hidden="false" customHeight="false" outlineLevel="0" collapsed="false">
      <c r="A285" s="33"/>
      <c r="B285" s="33"/>
      <c r="C285" s="33"/>
      <c r="D285" s="33"/>
      <c r="E285" s="33"/>
      <c r="F285" s="33"/>
      <c r="G285" s="33"/>
      <c r="H285" s="33"/>
      <c r="I285" s="33"/>
      <c r="J285" s="33"/>
      <c r="K285" s="33"/>
      <c r="L285" s="34"/>
      <c r="M285" s="34"/>
      <c r="N285" s="34"/>
      <c r="O285" s="34"/>
      <c r="P285" s="33"/>
      <c r="Q285" s="35"/>
      <c r="R285" s="33"/>
      <c r="S285" s="33"/>
      <c r="T285" s="33"/>
      <c r="U285" s="33"/>
      <c r="V285" s="33"/>
      <c r="W285" s="33"/>
    </row>
    <row r="286" customFormat="false" ht="15" hidden="false" customHeight="false" outlineLevel="0" collapsed="false">
      <c r="A286" s="33"/>
      <c r="B286" s="33"/>
      <c r="C286" s="33"/>
      <c r="D286" s="33"/>
      <c r="E286" s="33"/>
      <c r="F286" s="33"/>
      <c r="G286" s="33"/>
      <c r="H286" s="33"/>
      <c r="I286" s="33"/>
      <c r="J286" s="33"/>
      <c r="K286" s="33"/>
      <c r="L286" s="34"/>
      <c r="M286" s="34"/>
      <c r="N286" s="34"/>
      <c r="O286" s="34"/>
      <c r="P286" s="33"/>
      <c r="Q286" s="35"/>
      <c r="R286" s="33"/>
      <c r="S286" s="33"/>
      <c r="T286" s="33"/>
      <c r="U286" s="33"/>
      <c r="V286" s="33"/>
      <c r="W286" s="33"/>
    </row>
    <row r="287" customFormat="false" ht="15" hidden="false" customHeight="false" outlineLevel="0" collapsed="false">
      <c r="A287" s="33"/>
      <c r="B287" s="33"/>
      <c r="C287" s="33"/>
      <c r="D287" s="33"/>
      <c r="E287" s="33"/>
      <c r="F287" s="33"/>
      <c r="G287" s="33"/>
      <c r="H287" s="33"/>
      <c r="I287" s="33"/>
      <c r="J287" s="33"/>
      <c r="K287" s="33"/>
      <c r="L287" s="34"/>
      <c r="M287" s="34"/>
      <c r="N287" s="34"/>
      <c r="O287" s="34"/>
      <c r="P287" s="33"/>
      <c r="Q287" s="35"/>
      <c r="R287" s="33"/>
      <c r="S287" s="33"/>
      <c r="T287" s="33"/>
      <c r="U287" s="33"/>
      <c r="V287" s="33"/>
      <c r="W287" s="33"/>
    </row>
    <row r="288" customFormat="false" ht="15" hidden="false" customHeight="false" outlineLevel="0" collapsed="false">
      <c r="A288" s="33"/>
      <c r="B288" s="33"/>
      <c r="C288" s="33"/>
      <c r="D288" s="33"/>
      <c r="E288" s="33"/>
      <c r="F288" s="33"/>
      <c r="G288" s="33"/>
      <c r="H288" s="33"/>
      <c r="I288" s="33"/>
      <c r="J288" s="33"/>
      <c r="K288" s="33"/>
      <c r="L288" s="34"/>
      <c r="M288" s="34"/>
      <c r="N288" s="34"/>
      <c r="O288" s="34"/>
      <c r="P288" s="33"/>
      <c r="Q288" s="35"/>
      <c r="R288" s="33"/>
      <c r="S288" s="33"/>
      <c r="T288" s="33"/>
      <c r="U288" s="33"/>
      <c r="V288" s="33"/>
      <c r="W288" s="33"/>
    </row>
    <row r="289" customFormat="false" ht="15" hidden="false" customHeight="false" outlineLevel="0" collapsed="false">
      <c r="A289" s="33"/>
      <c r="B289" s="33"/>
      <c r="C289" s="33"/>
      <c r="D289" s="33"/>
      <c r="E289" s="33"/>
      <c r="F289" s="33"/>
      <c r="G289" s="33"/>
      <c r="H289" s="33"/>
      <c r="I289" s="33"/>
      <c r="J289" s="33"/>
      <c r="K289" s="33"/>
      <c r="L289" s="34"/>
      <c r="M289" s="34"/>
      <c r="N289" s="34"/>
      <c r="O289" s="34"/>
      <c r="P289" s="33"/>
      <c r="Q289" s="35"/>
      <c r="R289" s="33"/>
      <c r="S289" s="33"/>
      <c r="T289" s="33"/>
      <c r="U289" s="33"/>
      <c r="V289" s="33"/>
      <c r="W289" s="33"/>
    </row>
    <row r="290" customFormat="false" ht="15" hidden="false" customHeight="false" outlineLevel="0" collapsed="false">
      <c r="A290" s="33"/>
      <c r="B290" s="33"/>
      <c r="C290" s="33"/>
      <c r="D290" s="33"/>
      <c r="E290" s="33"/>
      <c r="F290" s="33"/>
      <c r="G290" s="33"/>
      <c r="H290" s="33"/>
      <c r="I290" s="33"/>
      <c r="J290" s="33"/>
      <c r="K290" s="33"/>
      <c r="L290" s="34"/>
      <c r="M290" s="34"/>
      <c r="N290" s="34"/>
      <c r="O290" s="34"/>
      <c r="P290" s="33"/>
      <c r="Q290" s="35"/>
      <c r="R290" s="33"/>
      <c r="S290" s="33"/>
      <c r="T290" s="33"/>
      <c r="U290" s="33"/>
      <c r="V290" s="33"/>
      <c r="W290" s="33"/>
    </row>
    <row r="291" customFormat="false" ht="15" hidden="false" customHeight="false" outlineLevel="0" collapsed="false">
      <c r="A291" s="33"/>
      <c r="B291" s="33"/>
      <c r="C291" s="33"/>
      <c r="D291" s="33"/>
      <c r="E291" s="33"/>
      <c r="F291" s="33"/>
      <c r="G291" s="33"/>
      <c r="H291" s="33"/>
      <c r="I291" s="33"/>
      <c r="J291" s="33"/>
      <c r="K291" s="33"/>
      <c r="L291" s="34"/>
      <c r="M291" s="34"/>
      <c r="N291" s="34"/>
      <c r="O291" s="34"/>
      <c r="P291" s="33"/>
      <c r="Q291" s="35"/>
      <c r="R291" s="33"/>
      <c r="S291" s="33"/>
      <c r="T291" s="33"/>
      <c r="U291" s="33"/>
      <c r="V291" s="33"/>
      <c r="W291" s="33"/>
    </row>
    <row r="292" customFormat="false" ht="15" hidden="false" customHeight="false" outlineLevel="0" collapsed="false">
      <c r="A292" s="33"/>
      <c r="B292" s="33"/>
      <c r="C292" s="33"/>
      <c r="D292" s="33"/>
      <c r="E292" s="33"/>
      <c r="F292" s="33"/>
      <c r="G292" s="33"/>
      <c r="H292" s="33"/>
      <c r="I292" s="33"/>
      <c r="J292" s="33"/>
      <c r="K292" s="33"/>
      <c r="L292" s="34"/>
      <c r="M292" s="34"/>
      <c r="N292" s="34"/>
      <c r="O292" s="34"/>
      <c r="P292" s="33"/>
      <c r="Q292" s="35"/>
      <c r="R292" s="33"/>
      <c r="S292" s="33"/>
      <c r="T292" s="33"/>
      <c r="U292" s="33"/>
      <c r="V292" s="33"/>
      <c r="W292" s="33"/>
    </row>
    <row r="293" customFormat="false" ht="15" hidden="false" customHeight="false" outlineLevel="0" collapsed="false">
      <c r="A293" s="33"/>
      <c r="B293" s="33"/>
      <c r="C293" s="33"/>
      <c r="D293" s="33"/>
      <c r="E293" s="33"/>
      <c r="F293" s="33"/>
      <c r="G293" s="33"/>
      <c r="H293" s="33"/>
      <c r="I293" s="33"/>
      <c r="J293" s="33"/>
      <c r="K293" s="33"/>
      <c r="L293" s="34"/>
      <c r="M293" s="34"/>
      <c r="N293" s="34"/>
      <c r="O293" s="34"/>
      <c r="P293" s="33"/>
      <c r="Q293" s="35"/>
      <c r="R293" s="33"/>
      <c r="S293" s="33"/>
      <c r="T293" s="33"/>
      <c r="U293" s="33"/>
      <c r="V293" s="33"/>
      <c r="W293" s="33"/>
    </row>
    <row r="294" customFormat="false" ht="15" hidden="false" customHeight="false" outlineLevel="0" collapsed="false">
      <c r="A294" s="33"/>
      <c r="B294" s="33"/>
      <c r="C294" s="33"/>
      <c r="D294" s="33"/>
      <c r="E294" s="33"/>
      <c r="F294" s="33"/>
      <c r="G294" s="33"/>
      <c r="H294" s="33"/>
      <c r="I294" s="33"/>
      <c r="J294" s="33"/>
      <c r="K294" s="33"/>
      <c r="L294" s="34"/>
      <c r="M294" s="34"/>
      <c r="N294" s="34"/>
      <c r="O294" s="34"/>
      <c r="P294" s="33"/>
      <c r="Q294" s="35"/>
      <c r="R294" s="33"/>
      <c r="S294" s="33"/>
      <c r="T294" s="33"/>
      <c r="U294" s="33"/>
      <c r="V294" s="33"/>
      <c r="W294" s="33"/>
    </row>
    <row r="295" customFormat="false" ht="15" hidden="false" customHeight="false" outlineLevel="0" collapsed="false">
      <c r="A295" s="33"/>
      <c r="B295" s="33"/>
      <c r="C295" s="33"/>
      <c r="D295" s="33"/>
      <c r="E295" s="33"/>
      <c r="F295" s="33"/>
      <c r="G295" s="33"/>
      <c r="H295" s="33"/>
      <c r="I295" s="33"/>
      <c r="J295" s="33"/>
      <c r="K295" s="33"/>
      <c r="L295" s="34"/>
      <c r="M295" s="34"/>
      <c r="N295" s="34"/>
      <c r="O295" s="34"/>
      <c r="P295" s="33"/>
      <c r="Q295" s="35"/>
      <c r="R295" s="33"/>
      <c r="S295" s="33"/>
      <c r="T295" s="33"/>
      <c r="U295" s="33"/>
      <c r="V295" s="33"/>
      <c r="W295" s="33"/>
    </row>
    <row r="296" customFormat="false" ht="15" hidden="false" customHeight="false" outlineLevel="0" collapsed="false">
      <c r="A296" s="33"/>
      <c r="B296" s="33"/>
      <c r="C296" s="33"/>
      <c r="D296" s="33"/>
      <c r="E296" s="33"/>
      <c r="F296" s="33"/>
      <c r="G296" s="33"/>
      <c r="H296" s="33"/>
      <c r="I296" s="33"/>
      <c r="J296" s="33"/>
      <c r="K296" s="33"/>
      <c r="L296" s="34"/>
      <c r="M296" s="34"/>
      <c r="N296" s="34"/>
      <c r="O296" s="34"/>
      <c r="P296" s="33"/>
      <c r="Q296" s="35"/>
      <c r="R296" s="33"/>
      <c r="S296" s="33"/>
      <c r="T296" s="33"/>
      <c r="U296" s="33"/>
      <c r="V296" s="33"/>
      <c r="W296" s="33"/>
    </row>
    <row r="297" customFormat="false" ht="15" hidden="false" customHeight="false" outlineLevel="0" collapsed="false">
      <c r="A297" s="33"/>
      <c r="B297" s="33"/>
      <c r="C297" s="33"/>
      <c r="D297" s="33"/>
      <c r="E297" s="33"/>
      <c r="F297" s="33"/>
      <c r="G297" s="33"/>
      <c r="H297" s="33"/>
      <c r="I297" s="33"/>
      <c r="J297" s="33"/>
      <c r="K297" s="33"/>
      <c r="L297" s="34"/>
      <c r="M297" s="34"/>
      <c r="N297" s="34"/>
      <c r="O297" s="34"/>
      <c r="P297" s="33"/>
      <c r="Q297" s="35"/>
      <c r="R297" s="33"/>
      <c r="S297" s="33"/>
      <c r="T297" s="33"/>
      <c r="U297" s="33"/>
      <c r="V297" s="33"/>
      <c r="W297" s="33"/>
    </row>
    <row r="298" customFormat="false" ht="15" hidden="false" customHeight="false" outlineLevel="0" collapsed="false">
      <c r="A298" s="33"/>
      <c r="B298" s="33"/>
      <c r="C298" s="33"/>
      <c r="D298" s="33"/>
      <c r="E298" s="33"/>
      <c r="F298" s="33"/>
      <c r="G298" s="33"/>
      <c r="H298" s="33"/>
      <c r="I298" s="33"/>
      <c r="J298" s="33"/>
      <c r="K298" s="33"/>
      <c r="L298" s="34"/>
      <c r="M298" s="34"/>
      <c r="N298" s="34"/>
      <c r="O298" s="34"/>
      <c r="P298" s="33"/>
      <c r="Q298" s="35"/>
      <c r="R298" s="33"/>
      <c r="S298" s="33"/>
      <c r="T298" s="33"/>
      <c r="U298" s="33"/>
      <c r="V298" s="33"/>
      <c r="W298" s="33"/>
    </row>
    <row r="299" customFormat="false" ht="15" hidden="false" customHeight="false" outlineLevel="0" collapsed="false">
      <c r="A299" s="33"/>
      <c r="B299" s="33"/>
      <c r="C299" s="33"/>
      <c r="D299" s="33"/>
      <c r="E299" s="33"/>
      <c r="F299" s="33"/>
      <c r="G299" s="33"/>
      <c r="H299" s="33"/>
      <c r="I299" s="33"/>
      <c r="J299" s="33"/>
      <c r="K299" s="33"/>
      <c r="L299" s="34"/>
      <c r="M299" s="34"/>
      <c r="N299" s="34"/>
      <c r="O299" s="34"/>
      <c r="P299" s="33"/>
      <c r="Q299" s="35"/>
      <c r="R299" s="33"/>
      <c r="S299" s="33"/>
      <c r="T299" s="33"/>
      <c r="U299" s="33"/>
      <c r="V299" s="33"/>
      <c r="W299" s="33"/>
    </row>
    <row r="300" customFormat="false" ht="15" hidden="false" customHeight="false" outlineLevel="0" collapsed="false">
      <c r="A300" s="33"/>
      <c r="B300" s="33"/>
      <c r="C300" s="33"/>
      <c r="D300" s="33"/>
      <c r="E300" s="33"/>
      <c r="F300" s="33"/>
      <c r="G300" s="33"/>
      <c r="H300" s="33"/>
      <c r="I300" s="33"/>
      <c r="J300" s="33"/>
      <c r="K300" s="33"/>
      <c r="L300" s="34"/>
      <c r="M300" s="34"/>
      <c r="N300" s="34"/>
      <c r="O300" s="34"/>
      <c r="P300" s="33"/>
      <c r="Q300" s="35"/>
      <c r="R300" s="33"/>
      <c r="S300" s="33"/>
      <c r="T300" s="33"/>
      <c r="U300" s="33"/>
      <c r="V300" s="33"/>
      <c r="W300" s="33"/>
    </row>
  </sheetData>
  <autoFilter ref="A4:W14"/>
  <mergeCells count="6">
    <mergeCell ref="A3:C3"/>
    <mergeCell ref="D3:H3"/>
    <mergeCell ref="I3:O3"/>
    <mergeCell ref="P3:R3"/>
    <mergeCell ref="S3:U3"/>
    <mergeCell ref="V3:W3"/>
  </mergeCells>
  <conditionalFormatting sqref="P5:P300">
    <cfRule type="expression" priority="2" aboveAverage="0" equalAverage="0" bottom="0" percent="0" rank="0" text="" dxfId="5">
      <formula>$P5="AVL"</formula>
    </cfRule>
    <cfRule type="expression" priority="3" aboveAverage="0" equalAverage="0" bottom="0" percent="0" rank="0" text="" dxfId="6">
      <formula>$P5="Qualified"</formula>
    </cfRule>
    <cfRule type="expression" priority="4" aboveAverage="0" equalAverage="0" bottom="0" percent="0" rank="0" text="" dxfId="7">
      <formula>$P5="Prequalified"</formula>
    </cfRule>
    <cfRule type="expression" priority="5" aboveAverage="0" equalAverage="0" bottom="0" percent="0" rank="0" text="" dxfId="8">
      <formula>$P5="On Hold"</formula>
    </cfRule>
    <cfRule type="expression" priority="6" aboveAverage="0" equalAverage="0" bottom="0" percent="0" rank="0" text="" dxfId="9">
      <formula>$P5="Disqualified"</formula>
    </cfRule>
  </conditionalFormatting>
  <conditionalFormatting sqref="W5:W300">
    <cfRule type="expression" priority="7" aboveAverage="0" equalAverage="0" bottom="0" percent="0" rank="0" text="" dxfId="9">
      <formula>$W5="High"</formula>
    </cfRule>
    <cfRule type="expression" priority="8" aboveAverage="0" equalAverage="0" bottom="0" percent="0" rank="0" text="" dxfId="10">
      <formula>$W5="FEOC Review"</formula>
    </cfRule>
    <cfRule type="expression" priority="9" aboveAverage="0" equalAverage="0" bottom="0" percent="0" rank="0" text="" dxfId="8">
      <formula>$W5="Medium"</formula>
    </cfRule>
    <cfRule type="expression" priority="10" aboveAverage="0" equalAverage="0" bottom="0" percent="0" rank="0" text="" dxfId="5">
      <formula>$W5="Low"</formula>
    </cfRule>
  </conditionalFormatting>
  <dataValidations count="5">
    <dataValidation allowBlank="true" error="Pick a value from the list (edit the Lists tab to change options)." errorStyle="stop" errorTitle="Invalid entry" operator="between" showDropDown="false" showErrorMessage="true" showInputMessage="false" sqref="P5:P300" type="list">
      <formula1>lst_status</formula1>
      <formula2>0</formula2>
    </dataValidation>
    <dataValidation allowBlank="true" error="Pick a value from the list (edit the Lists tab to change options)." errorStyle="stop" errorTitle="Invalid entry" operator="between" showDropDown="false" showErrorMessage="true" showInputMessage="false" sqref="R5:R300" type="list">
      <formula1>lst_rfx</formula1>
      <formula2>0</formula2>
    </dataValidation>
    <dataValidation allowBlank="true" error="Pick a value from the list (edit the Lists tab to change options)." errorStyle="stop" errorTitle="Invalid entry" operator="between" showDropDown="false" showErrorMessage="true" showInputMessage="false" sqref="T5:T300" type="list">
      <formula1>lst_fin</formula1>
      <formula2>0</formula2>
    </dataValidation>
    <dataValidation allowBlank="true" error="Pick a value from the list (edit the Lists tab to change options)." errorStyle="stop" errorTitle="Invalid entry" operator="between" showDropDown="false" showErrorMessage="true" showInputMessage="false" sqref="W5:W300" type="list">
      <formula1>lst_scr</formula1>
      <formula2>0</formula2>
    </dataValidation>
    <dataValidation allowBlank="true" error="Enter a date (yyyy-mm-dd)." errorStyle="stop" operator="greaterThan" showDropDown="false" showErrorMessage="true" showInputMessage="false" sqref="Q5:Q300" type="date">
      <formula1>DATE(2020,1,1)</formula1>
      <formula2>0</formula2>
    </dataValidation>
  </dataValidations>
  <hyperlinks>
    <hyperlink ref="I5" r:id="rId2" display="https://www.tesla.com/megapack"/>
    <hyperlink ref="K5" r:id="rId3" display="https://www.tesla.com/megapack"/>
    <hyperlink ref="I6" r:id="rId4" display="https://fluenceenergy.com"/>
    <hyperlink ref="I7" r:id="rId5" display="https://www.sungrowpower.com/us/en"/>
    <hyperlink ref="K7" r:id="rId6" display="https://www.sungrowpower.com/us/en/about-us/contact-us"/>
    <hyperlink ref="I9" r:id="rId7" display="https://www.samsungsdi.com"/>
    <hyperlink ref="I10" r:id="rId8" display="https://www.wartsila.com/usa"/>
    <hyperlink ref="K10" r:id="rId9" display="https://www.wartsila.com/usa/about/contact-us"/>
    <hyperlink ref="I11" r:id="rId10" display="https://www.flexgen.com"/>
    <hyperlink ref="K11" r:id="rId11" display="https://www.flexgen.com/contact-us"/>
    <hyperlink ref="I12" r:id="rId12" display="https://hithium.com"/>
    <hyperlink ref="I13" r:id="rId13" display="https://www.csisolar.com/e-storage/"/>
    <hyperlink ref="I14" r:id="rId14" display="https://prevalonenergy.com"/>
    <hyperlink ref="K14" r:id="rId15" display="https://prevalonenergy.com/contact-u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6"/>
  <legacyDrawing r:id="rId17"/>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false"/>
  </sheetPr>
  <dimension ref="A1:W30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40"/>
    <col collapsed="false" customWidth="true" hidden="false" outlineLevel="0" max="4" min="4" style="0" width="15"/>
    <col collapsed="false" customWidth="true" hidden="false" outlineLevel="0" max="5" min="5" style="0" width="11"/>
    <col collapsed="false" customWidth="true" hidden="false" outlineLevel="0" max="6" min="6" style="0" width="13"/>
    <col collapsed="false" customWidth="true" hidden="false" outlineLevel="0" max="7" min="7" style="0" width="18"/>
    <col collapsed="false" customWidth="true" hidden="false" outlineLevel="0" max="9" min="8" style="0" width="28"/>
    <col collapsed="false" customWidth="true" hidden="false" outlineLevel="0" max="10" min="10" style="0" width="18"/>
    <col collapsed="false" customWidth="true" hidden="false" outlineLevel="0" max="11" min="11" style="0" width="28"/>
    <col collapsed="false" customWidth="true" hidden="false" outlineLevel="0" max="12" min="12" style="0" width="20"/>
    <col collapsed="false" customWidth="true" hidden="false" outlineLevel="0" max="13" min="13" style="0" width="18"/>
    <col collapsed="false" customWidth="true" hidden="false" outlineLevel="0" max="14" min="14" style="0" width="24"/>
    <col collapsed="false" customWidth="true" hidden="false" outlineLevel="0" max="16" min="15" style="0" width="15"/>
    <col collapsed="false" customWidth="true" hidden="false" outlineLevel="0" max="17" min="17" style="0" width="12"/>
    <col collapsed="false" customWidth="true" hidden="false" outlineLevel="0" max="18" min="18" style="0" width="14"/>
    <col collapsed="false" customWidth="true" hidden="false" outlineLevel="0" max="19" min="19" style="0" width="24"/>
    <col collapsed="false" customWidth="true" hidden="false" outlineLevel="0" max="20" min="20" style="0" width="13"/>
    <col collapsed="false" customWidth="true" hidden="false" outlineLevel="0" max="22" min="21" style="0" width="45"/>
    <col collapsed="false" customWidth="true" hidden="false" outlineLevel="0" max="23" min="23" style="0" width="13"/>
  </cols>
  <sheetData>
    <row r="1" customFormat="false" ht="17.35" hidden="false" customHeight="false" outlineLevel="0" collapsed="false">
      <c r="A1" s="16" t="s">
        <v>669</v>
      </c>
    </row>
    <row r="2" customFormat="false" ht="15" hidden="false" customHeight="false" outlineLevel="0" collapsed="false">
      <c r="A2" s="2" t="s">
        <v>87</v>
      </c>
    </row>
    <row r="3" customFormat="false" ht="15" hidden="false" customHeight="false" outlineLevel="0" collapsed="false">
      <c r="A3" s="22" t="s">
        <v>58</v>
      </c>
      <c r="B3" s="22"/>
      <c r="C3" s="22"/>
      <c r="D3" s="23" t="s">
        <v>60</v>
      </c>
      <c r="E3" s="23"/>
      <c r="F3" s="23"/>
      <c r="G3" s="23"/>
      <c r="H3" s="23"/>
      <c r="I3" s="24" t="s">
        <v>61</v>
      </c>
      <c r="J3" s="24"/>
      <c r="K3" s="24"/>
      <c r="L3" s="24"/>
      <c r="M3" s="24"/>
      <c r="N3" s="24"/>
      <c r="O3" s="24"/>
      <c r="P3" s="25" t="s">
        <v>62</v>
      </c>
      <c r="Q3" s="25"/>
      <c r="R3" s="25"/>
      <c r="S3" s="26" t="s">
        <v>32</v>
      </c>
      <c r="T3" s="26"/>
      <c r="U3" s="26"/>
      <c r="V3" s="27" t="s">
        <v>34</v>
      </c>
      <c r="W3" s="27"/>
    </row>
    <row r="4" customFormat="false" ht="31.5" hidden="false" customHeight="true" outlineLevel="0" collapsed="false">
      <c r="A4" s="28" t="s">
        <v>88</v>
      </c>
      <c r="B4" s="28" t="s">
        <v>89</v>
      </c>
      <c r="C4" s="28" t="s">
        <v>569</v>
      </c>
      <c r="D4" s="28" t="s">
        <v>91</v>
      </c>
      <c r="E4" s="28" t="s">
        <v>92</v>
      </c>
      <c r="F4" s="28" t="s">
        <v>93</v>
      </c>
      <c r="G4" s="28" t="s">
        <v>94</v>
      </c>
      <c r="H4" s="28" t="s">
        <v>95</v>
      </c>
      <c r="I4" s="28" t="s">
        <v>96</v>
      </c>
      <c r="J4" s="28" t="s">
        <v>97</v>
      </c>
      <c r="K4" s="28" t="s">
        <v>98</v>
      </c>
      <c r="L4" s="28" t="s">
        <v>99</v>
      </c>
      <c r="M4" s="28" t="s">
        <v>100</v>
      </c>
      <c r="N4" s="28" t="s">
        <v>101</v>
      </c>
      <c r="O4" s="28" t="s">
        <v>102</v>
      </c>
      <c r="P4" s="28" t="s">
        <v>103</v>
      </c>
      <c r="Q4" s="28" t="s">
        <v>104</v>
      </c>
      <c r="R4" s="28" t="s">
        <v>105</v>
      </c>
      <c r="S4" s="28" t="s">
        <v>106</v>
      </c>
      <c r="T4" s="28" t="s">
        <v>41</v>
      </c>
      <c r="U4" s="28" t="s">
        <v>107</v>
      </c>
      <c r="V4" s="28" t="s">
        <v>670</v>
      </c>
      <c r="W4" s="28" t="s">
        <v>109</v>
      </c>
    </row>
    <row r="5" customFormat="false" ht="53.7" hidden="false" customHeight="false" outlineLevel="0" collapsed="false">
      <c r="A5" s="29" t="s">
        <v>671</v>
      </c>
      <c r="B5" s="29" t="s">
        <v>672</v>
      </c>
      <c r="C5" s="29" t="s">
        <v>673</v>
      </c>
      <c r="D5" s="29" t="s">
        <v>674</v>
      </c>
      <c r="E5" s="29"/>
      <c r="F5" s="29" t="s">
        <v>675</v>
      </c>
      <c r="G5" s="29" t="s">
        <v>676</v>
      </c>
      <c r="H5" s="29"/>
      <c r="I5" s="30" t="s">
        <v>677</v>
      </c>
      <c r="J5" s="29"/>
      <c r="K5" s="29"/>
      <c r="L5" s="31"/>
      <c r="M5" s="31"/>
      <c r="N5" s="31"/>
      <c r="O5" s="31"/>
      <c r="P5" s="29" t="s">
        <v>19</v>
      </c>
      <c r="Q5" s="32" t="n">
        <v>46300</v>
      </c>
      <c r="R5" s="29" t="s">
        <v>117</v>
      </c>
      <c r="S5" s="29" t="s">
        <v>678</v>
      </c>
      <c r="T5" s="29" t="s">
        <v>119</v>
      </c>
      <c r="U5" s="29" t="s">
        <v>679</v>
      </c>
      <c r="V5" s="29" t="s">
        <v>680</v>
      </c>
      <c r="W5" s="29" t="s">
        <v>119</v>
      </c>
    </row>
    <row r="6" customFormat="false" ht="43.25" hidden="false" customHeight="false" outlineLevel="0" collapsed="false">
      <c r="A6" s="29" t="s">
        <v>681</v>
      </c>
      <c r="B6" s="29" t="s">
        <v>682</v>
      </c>
      <c r="C6" s="29" t="s">
        <v>683</v>
      </c>
      <c r="D6" s="29" t="s">
        <v>684</v>
      </c>
      <c r="E6" s="29"/>
      <c r="F6" s="29" t="s">
        <v>685</v>
      </c>
      <c r="G6" s="29" t="s">
        <v>686</v>
      </c>
      <c r="H6" s="29" t="s">
        <v>687</v>
      </c>
      <c r="I6" s="30" t="s">
        <v>688</v>
      </c>
      <c r="J6" s="29"/>
      <c r="K6" s="29"/>
      <c r="L6" s="31"/>
      <c r="M6" s="31"/>
      <c r="N6" s="31"/>
      <c r="O6" s="31"/>
      <c r="P6" s="29" t="s">
        <v>19</v>
      </c>
      <c r="Q6" s="32" t="n">
        <v>46300</v>
      </c>
      <c r="R6" s="29" t="s">
        <v>117</v>
      </c>
      <c r="S6" s="29" t="s">
        <v>689</v>
      </c>
      <c r="T6" s="29" t="s">
        <v>119</v>
      </c>
      <c r="U6" s="29" t="s">
        <v>690</v>
      </c>
      <c r="V6" s="29" t="s">
        <v>691</v>
      </c>
      <c r="W6" s="29" t="s">
        <v>119</v>
      </c>
    </row>
    <row r="7" customFormat="false" ht="64.15" hidden="false" customHeight="false" outlineLevel="0" collapsed="false">
      <c r="A7" s="29" t="s">
        <v>692</v>
      </c>
      <c r="B7" s="29" t="s">
        <v>693</v>
      </c>
      <c r="C7" s="29" t="s">
        <v>694</v>
      </c>
      <c r="D7" s="29" t="s">
        <v>695</v>
      </c>
      <c r="E7" s="29" t="s">
        <v>696</v>
      </c>
      <c r="F7" s="29" t="s">
        <v>697</v>
      </c>
      <c r="G7" s="29"/>
      <c r="H7" s="29"/>
      <c r="I7" s="30" t="s">
        <v>698</v>
      </c>
      <c r="J7" s="29"/>
      <c r="K7" s="29"/>
      <c r="L7" s="31"/>
      <c r="M7" s="31"/>
      <c r="N7" s="31"/>
      <c r="O7" s="31"/>
      <c r="P7" s="29" t="s">
        <v>19</v>
      </c>
      <c r="Q7" s="32" t="n">
        <v>46300</v>
      </c>
      <c r="R7" s="29" t="s">
        <v>117</v>
      </c>
      <c r="S7" s="29" t="s">
        <v>699</v>
      </c>
      <c r="T7" s="29" t="s">
        <v>119</v>
      </c>
      <c r="U7" s="29" t="s">
        <v>700</v>
      </c>
      <c r="V7" s="29" t="s">
        <v>701</v>
      </c>
      <c r="W7" s="29" t="s">
        <v>119</v>
      </c>
    </row>
    <row r="8" customFormat="false" ht="32.8" hidden="false" customHeight="false" outlineLevel="0" collapsed="false">
      <c r="A8" s="29" t="s">
        <v>702</v>
      </c>
      <c r="B8" s="29" t="s">
        <v>703</v>
      </c>
      <c r="C8" s="29" t="s">
        <v>704</v>
      </c>
      <c r="D8" s="29" t="s">
        <v>705</v>
      </c>
      <c r="E8" s="29" t="s">
        <v>706</v>
      </c>
      <c r="F8" s="29" t="s">
        <v>707</v>
      </c>
      <c r="G8" s="29"/>
      <c r="H8" s="29"/>
      <c r="I8" s="30" t="s">
        <v>708</v>
      </c>
      <c r="J8" s="29"/>
      <c r="K8" s="29"/>
      <c r="L8" s="31"/>
      <c r="M8" s="31"/>
      <c r="N8" s="31"/>
      <c r="O8" s="31"/>
      <c r="P8" s="29" t="s">
        <v>19</v>
      </c>
      <c r="Q8" s="32" t="n">
        <v>46300</v>
      </c>
      <c r="R8" s="29" t="s">
        <v>117</v>
      </c>
      <c r="S8" s="29" t="s">
        <v>709</v>
      </c>
      <c r="T8" s="29" t="s">
        <v>119</v>
      </c>
      <c r="U8" s="29" t="s">
        <v>710</v>
      </c>
      <c r="V8" s="29" t="s">
        <v>711</v>
      </c>
      <c r="W8" s="29" t="s">
        <v>119</v>
      </c>
    </row>
    <row r="9" customFormat="false" ht="43.25" hidden="false" customHeight="false" outlineLevel="0" collapsed="false">
      <c r="A9" s="29" t="s">
        <v>712</v>
      </c>
      <c r="B9" s="29" t="s">
        <v>713</v>
      </c>
      <c r="C9" s="29" t="s">
        <v>714</v>
      </c>
      <c r="D9" s="29" t="s">
        <v>715</v>
      </c>
      <c r="E9" s="29" t="s">
        <v>244</v>
      </c>
      <c r="F9" s="29" t="s">
        <v>127</v>
      </c>
      <c r="G9" s="29"/>
      <c r="H9" s="29"/>
      <c r="I9" s="30" t="s">
        <v>716</v>
      </c>
      <c r="J9" s="29" t="s">
        <v>717</v>
      </c>
      <c r="K9" s="30" t="s">
        <v>716</v>
      </c>
      <c r="L9" s="31"/>
      <c r="M9" s="31"/>
      <c r="N9" s="31"/>
      <c r="O9" s="31"/>
      <c r="P9" s="29" t="s">
        <v>19</v>
      </c>
      <c r="Q9" s="32" t="n">
        <v>46300</v>
      </c>
      <c r="R9" s="29" t="s">
        <v>117</v>
      </c>
      <c r="S9" s="29" t="s">
        <v>718</v>
      </c>
      <c r="T9" s="29" t="s">
        <v>119</v>
      </c>
      <c r="U9" s="29" t="s">
        <v>719</v>
      </c>
      <c r="V9" s="29" t="s">
        <v>720</v>
      </c>
      <c r="W9" s="29" t="s">
        <v>119</v>
      </c>
    </row>
    <row r="10" customFormat="false" ht="43.25" hidden="false" customHeight="false" outlineLevel="0" collapsed="false">
      <c r="A10" s="29" t="s">
        <v>721</v>
      </c>
      <c r="B10" s="29" t="s">
        <v>722</v>
      </c>
      <c r="C10" s="29" t="s">
        <v>723</v>
      </c>
      <c r="D10" s="29" t="s">
        <v>724</v>
      </c>
      <c r="E10" s="29" t="s">
        <v>725</v>
      </c>
      <c r="F10" s="29" t="s">
        <v>127</v>
      </c>
      <c r="G10" s="29"/>
      <c r="H10" s="29"/>
      <c r="I10" s="30" t="s">
        <v>726</v>
      </c>
      <c r="J10" s="29"/>
      <c r="K10" s="30" t="s">
        <v>727</v>
      </c>
      <c r="L10" s="31"/>
      <c r="M10" s="31"/>
      <c r="N10" s="31"/>
      <c r="O10" s="31"/>
      <c r="P10" s="29" t="s">
        <v>19</v>
      </c>
      <c r="Q10" s="32" t="n">
        <v>46300</v>
      </c>
      <c r="R10" s="29" t="s">
        <v>117</v>
      </c>
      <c r="S10" s="29" t="s">
        <v>728</v>
      </c>
      <c r="T10" s="29" t="s">
        <v>119</v>
      </c>
      <c r="U10" s="29" t="s">
        <v>729</v>
      </c>
      <c r="V10" s="29" t="s">
        <v>730</v>
      </c>
      <c r="W10" s="29" t="s">
        <v>119</v>
      </c>
    </row>
    <row r="11" customFormat="false" ht="32.8" hidden="false" customHeight="false" outlineLevel="0" collapsed="false">
      <c r="A11" s="29" t="s">
        <v>731</v>
      </c>
      <c r="B11" s="29" t="s">
        <v>732</v>
      </c>
      <c r="C11" s="29" t="s">
        <v>733</v>
      </c>
      <c r="D11" s="29" t="s">
        <v>734</v>
      </c>
      <c r="E11" s="29" t="s">
        <v>735</v>
      </c>
      <c r="F11" s="29" t="s">
        <v>127</v>
      </c>
      <c r="G11" s="29"/>
      <c r="H11" s="29"/>
      <c r="I11" s="30" t="s">
        <v>736</v>
      </c>
      <c r="J11" s="29" t="s">
        <v>737</v>
      </c>
      <c r="K11" s="29"/>
      <c r="L11" s="31"/>
      <c r="M11" s="31"/>
      <c r="N11" s="31"/>
      <c r="O11" s="31"/>
      <c r="P11" s="29" t="s">
        <v>19</v>
      </c>
      <c r="Q11" s="32" t="n">
        <v>46300</v>
      </c>
      <c r="R11" s="29" t="s">
        <v>117</v>
      </c>
      <c r="S11" s="29" t="s">
        <v>214</v>
      </c>
      <c r="T11" s="29" t="s">
        <v>119</v>
      </c>
      <c r="U11" s="29" t="s">
        <v>738</v>
      </c>
      <c r="V11" s="29" t="s">
        <v>739</v>
      </c>
      <c r="W11" s="29" t="s">
        <v>119</v>
      </c>
    </row>
    <row r="12" customFormat="false" ht="32.8" hidden="false" customHeight="false" outlineLevel="0" collapsed="false">
      <c r="A12" s="29" t="s">
        <v>740</v>
      </c>
      <c r="B12" s="29" t="s">
        <v>741</v>
      </c>
      <c r="C12" s="29" t="s">
        <v>742</v>
      </c>
      <c r="D12" s="29" t="s">
        <v>743</v>
      </c>
      <c r="E12" s="29" t="s">
        <v>744</v>
      </c>
      <c r="F12" s="29" t="s">
        <v>127</v>
      </c>
      <c r="G12" s="29"/>
      <c r="H12" s="29" t="s">
        <v>624</v>
      </c>
      <c r="I12" s="30" t="s">
        <v>745</v>
      </c>
      <c r="J12" s="29" t="s">
        <v>746</v>
      </c>
      <c r="K12" s="30" t="s">
        <v>747</v>
      </c>
      <c r="L12" s="31"/>
      <c r="M12" s="31"/>
      <c r="N12" s="31"/>
      <c r="O12" s="31"/>
      <c r="P12" s="29" t="s">
        <v>19</v>
      </c>
      <c r="Q12" s="32" t="n">
        <v>46300</v>
      </c>
      <c r="R12" s="29" t="s">
        <v>117</v>
      </c>
      <c r="S12" s="29" t="s">
        <v>748</v>
      </c>
      <c r="T12" s="29" t="s">
        <v>119</v>
      </c>
      <c r="U12" s="29" t="s">
        <v>749</v>
      </c>
      <c r="V12" s="29" t="s">
        <v>750</v>
      </c>
      <c r="W12" s="29" t="s">
        <v>119</v>
      </c>
    </row>
    <row r="13" customFormat="false" ht="32.8" hidden="false" customHeight="false" outlineLevel="0" collapsed="false">
      <c r="A13" s="29" t="s">
        <v>751</v>
      </c>
      <c r="B13" s="29" t="s">
        <v>752</v>
      </c>
      <c r="C13" s="29" t="s">
        <v>753</v>
      </c>
      <c r="D13" s="29" t="s">
        <v>754</v>
      </c>
      <c r="E13" s="29" t="s">
        <v>755</v>
      </c>
      <c r="F13" s="29" t="s">
        <v>127</v>
      </c>
      <c r="G13" s="29"/>
      <c r="H13" s="29"/>
      <c r="I13" s="30" t="s">
        <v>756</v>
      </c>
      <c r="J13" s="29"/>
      <c r="K13" s="30" t="s">
        <v>757</v>
      </c>
      <c r="L13" s="31"/>
      <c r="M13" s="31"/>
      <c r="N13" s="31"/>
      <c r="O13" s="31"/>
      <c r="P13" s="29" t="s">
        <v>19</v>
      </c>
      <c r="Q13" s="32" t="n">
        <v>46300</v>
      </c>
      <c r="R13" s="29" t="s">
        <v>117</v>
      </c>
      <c r="S13" s="29" t="s">
        <v>758</v>
      </c>
      <c r="T13" s="29" t="s">
        <v>119</v>
      </c>
      <c r="U13" s="29" t="s">
        <v>759</v>
      </c>
      <c r="V13" s="29" t="s">
        <v>760</v>
      </c>
      <c r="W13" s="29" t="s">
        <v>119</v>
      </c>
    </row>
    <row r="14" customFormat="false" ht="43.25" hidden="false" customHeight="false" outlineLevel="0" collapsed="false">
      <c r="A14" s="29" t="s">
        <v>761</v>
      </c>
      <c r="B14" s="29" t="s">
        <v>762</v>
      </c>
      <c r="C14" s="29" t="s">
        <v>763</v>
      </c>
      <c r="D14" s="29" t="s">
        <v>764</v>
      </c>
      <c r="E14" s="29" t="s">
        <v>184</v>
      </c>
      <c r="F14" s="29" t="s">
        <v>127</v>
      </c>
      <c r="G14" s="29"/>
      <c r="H14" s="29" t="s">
        <v>765</v>
      </c>
      <c r="I14" s="30" t="s">
        <v>766</v>
      </c>
      <c r="J14" s="29" t="s">
        <v>767</v>
      </c>
      <c r="K14" s="30" t="s">
        <v>768</v>
      </c>
      <c r="L14" s="31"/>
      <c r="M14" s="31"/>
      <c r="N14" s="31"/>
      <c r="O14" s="31"/>
      <c r="P14" s="29" t="s">
        <v>19</v>
      </c>
      <c r="Q14" s="32" t="n">
        <v>46300</v>
      </c>
      <c r="R14" s="29" t="s">
        <v>117</v>
      </c>
      <c r="S14" s="29" t="s">
        <v>769</v>
      </c>
      <c r="T14" s="29" t="s">
        <v>119</v>
      </c>
      <c r="U14" s="29" t="s">
        <v>770</v>
      </c>
      <c r="V14" s="29" t="s">
        <v>771</v>
      </c>
      <c r="W14" s="29" t="s">
        <v>119</v>
      </c>
    </row>
    <row r="15" customFormat="false" ht="15" hidden="false" customHeight="false" outlineLevel="0" collapsed="false">
      <c r="A15" s="29"/>
      <c r="B15" s="29"/>
      <c r="C15" s="29"/>
      <c r="D15" s="29"/>
      <c r="E15" s="29"/>
      <c r="F15" s="29"/>
      <c r="G15" s="29"/>
      <c r="H15" s="29"/>
      <c r="I15" s="29"/>
      <c r="J15" s="29"/>
      <c r="K15" s="29"/>
      <c r="L15" s="31"/>
      <c r="M15" s="31"/>
      <c r="N15" s="31"/>
      <c r="O15" s="31"/>
      <c r="P15" s="29"/>
      <c r="Q15" s="32"/>
      <c r="R15" s="29"/>
      <c r="S15" s="29"/>
      <c r="T15" s="29"/>
      <c r="U15" s="29"/>
      <c r="V15" s="29"/>
      <c r="W15" s="29"/>
    </row>
    <row r="16" customFormat="false" ht="15" hidden="false" customHeight="false" outlineLevel="0" collapsed="false">
      <c r="A16" s="29"/>
      <c r="B16" s="29"/>
      <c r="C16" s="29"/>
      <c r="D16" s="29"/>
      <c r="E16" s="29"/>
      <c r="F16" s="29"/>
      <c r="G16" s="29"/>
      <c r="H16" s="29"/>
      <c r="I16" s="29"/>
      <c r="J16" s="29"/>
      <c r="K16" s="29"/>
      <c r="L16" s="31"/>
      <c r="M16" s="31"/>
      <c r="N16" s="31"/>
      <c r="O16" s="31"/>
      <c r="P16" s="29"/>
      <c r="Q16" s="32"/>
      <c r="R16" s="29"/>
      <c r="S16" s="29"/>
      <c r="T16" s="29"/>
      <c r="U16" s="29"/>
      <c r="V16" s="29"/>
      <c r="W16" s="29"/>
    </row>
    <row r="17" customFormat="false" ht="15" hidden="false" customHeight="false" outlineLevel="0" collapsed="false">
      <c r="A17" s="29"/>
      <c r="B17" s="29"/>
      <c r="C17" s="29"/>
      <c r="D17" s="29"/>
      <c r="E17" s="29"/>
      <c r="F17" s="29"/>
      <c r="G17" s="29"/>
      <c r="H17" s="29"/>
      <c r="I17" s="29"/>
      <c r="J17" s="29"/>
      <c r="K17" s="29"/>
      <c r="L17" s="31"/>
      <c r="M17" s="31"/>
      <c r="N17" s="31"/>
      <c r="O17" s="31"/>
      <c r="P17" s="29"/>
      <c r="Q17" s="32"/>
      <c r="R17" s="29"/>
      <c r="S17" s="29"/>
      <c r="T17" s="29"/>
      <c r="U17" s="29"/>
      <c r="V17" s="29"/>
      <c r="W17" s="29"/>
    </row>
    <row r="18" customFormat="false" ht="15" hidden="false" customHeight="false" outlineLevel="0" collapsed="false">
      <c r="A18" s="29"/>
      <c r="B18" s="29"/>
      <c r="C18" s="29"/>
      <c r="D18" s="29"/>
      <c r="E18" s="29"/>
      <c r="F18" s="29"/>
      <c r="G18" s="29"/>
      <c r="H18" s="29"/>
      <c r="I18" s="29"/>
      <c r="J18" s="29"/>
      <c r="K18" s="29"/>
      <c r="L18" s="31"/>
      <c r="M18" s="31"/>
      <c r="N18" s="31"/>
      <c r="O18" s="31"/>
      <c r="P18" s="29"/>
      <c r="Q18" s="32"/>
      <c r="R18" s="29"/>
      <c r="S18" s="29"/>
      <c r="T18" s="29"/>
      <c r="U18" s="29"/>
      <c r="V18" s="29"/>
      <c r="W18" s="29"/>
    </row>
    <row r="19" customFormat="false" ht="15" hidden="false" customHeight="false" outlineLevel="0" collapsed="false">
      <c r="A19" s="29"/>
      <c r="B19" s="29"/>
      <c r="C19" s="29"/>
      <c r="D19" s="29"/>
      <c r="E19" s="29"/>
      <c r="F19" s="29"/>
      <c r="G19" s="29"/>
      <c r="H19" s="29"/>
      <c r="I19" s="29"/>
      <c r="J19" s="29"/>
      <c r="K19" s="29"/>
      <c r="L19" s="31"/>
      <c r="M19" s="31"/>
      <c r="N19" s="31"/>
      <c r="O19" s="31"/>
      <c r="P19" s="29"/>
      <c r="Q19" s="32"/>
      <c r="R19" s="29"/>
      <c r="S19" s="29"/>
      <c r="T19" s="29"/>
      <c r="U19" s="29"/>
      <c r="V19" s="29"/>
      <c r="W19" s="29"/>
    </row>
    <row r="20" customFormat="false" ht="15" hidden="false" customHeight="false" outlineLevel="0" collapsed="false">
      <c r="A20" s="29"/>
      <c r="B20" s="29"/>
      <c r="C20" s="29"/>
      <c r="D20" s="29"/>
      <c r="E20" s="29"/>
      <c r="F20" s="29"/>
      <c r="G20" s="29"/>
      <c r="H20" s="29"/>
      <c r="I20" s="29"/>
      <c r="J20" s="29"/>
      <c r="K20" s="29"/>
      <c r="L20" s="31"/>
      <c r="M20" s="31"/>
      <c r="N20" s="31"/>
      <c r="O20" s="31"/>
      <c r="P20" s="29"/>
      <c r="Q20" s="32"/>
      <c r="R20" s="29"/>
      <c r="S20" s="29"/>
      <c r="T20" s="29"/>
      <c r="U20" s="29"/>
      <c r="V20" s="29"/>
      <c r="W20" s="29"/>
    </row>
    <row r="21" customFormat="false" ht="15" hidden="false" customHeight="false" outlineLevel="0" collapsed="false">
      <c r="A21" s="29"/>
      <c r="B21" s="29"/>
      <c r="C21" s="29"/>
      <c r="D21" s="29"/>
      <c r="E21" s="29"/>
      <c r="F21" s="29"/>
      <c r="G21" s="29"/>
      <c r="H21" s="29"/>
      <c r="I21" s="29"/>
      <c r="J21" s="29"/>
      <c r="K21" s="29"/>
      <c r="L21" s="31"/>
      <c r="M21" s="31"/>
      <c r="N21" s="31"/>
      <c r="O21" s="31"/>
      <c r="P21" s="29"/>
      <c r="Q21" s="32"/>
      <c r="R21" s="29"/>
      <c r="S21" s="29"/>
      <c r="T21" s="29"/>
      <c r="U21" s="29"/>
      <c r="V21" s="29"/>
      <c r="W21" s="29"/>
    </row>
    <row r="22" customFormat="false" ht="15" hidden="false" customHeight="false" outlineLevel="0" collapsed="false">
      <c r="A22" s="29"/>
      <c r="B22" s="29"/>
      <c r="C22" s="29"/>
      <c r="D22" s="29"/>
      <c r="E22" s="29"/>
      <c r="F22" s="29"/>
      <c r="G22" s="29"/>
      <c r="H22" s="29"/>
      <c r="I22" s="29"/>
      <c r="J22" s="29"/>
      <c r="K22" s="29"/>
      <c r="L22" s="31"/>
      <c r="M22" s="31"/>
      <c r="N22" s="31"/>
      <c r="O22" s="31"/>
      <c r="P22" s="29"/>
      <c r="Q22" s="32"/>
      <c r="R22" s="29"/>
      <c r="S22" s="29"/>
      <c r="T22" s="29"/>
      <c r="U22" s="29"/>
      <c r="V22" s="29"/>
      <c r="W22" s="29"/>
    </row>
    <row r="23" customFormat="false" ht="15" hidden="false" customHeight="false" outlineLevel="0" collapsed="false">
      <c r="A23" s="29"/>
      <c r="B23" s="29"/>
      <c r="C23" s="29"/>
      <c r="D23" s="29"/>
      <c r="E23" s="29"/>
      <c r="F23" s="29"/>
      <c r="G23" s="29"/>
      <c r="H23" s="29"/>
      <c r="I23" s="29"/>
      <c r="J23" s="29"/>
      <c r="K23" s="29"/>
      <c r="L23" s="31"/>
      <c r="M23" s="31"/>
      <c r="N23" s="31"/>
      <c r="O23" s="31"/>
      <c r="P23" s="29"/>
      <c r="Q23" s="32"/>
      <c r="R23" s="29"/>
      <c r="S23" s="29"/>
      <c r="T23" s="29"/>
      <c r="U23" s="29"/>
      <c r="V23" s="29"/>
      <c r="W23" s="29"/>
    </row>
    <row r="24" customFormat="false" ht="15" hidden="false" customHeight="false" outlineLevel="0" collapsed="false">
      <c r="A24" s="29"/>
      <c r="B24" s="29"/>
      <c r="C24" s="29"/>
      <c r="D24" s="29"/>
      <c r="E24" s="29"/>
      <c r="F24" s="29"/>
      <c r="G24" s="29"/>
      <c r="H24" s="29"/>
      <c r="I24" s="29"/>
      <c r="J24" s="29"/>
      <c r="K24" s="29"/>
      <c r="L24" s="31"/>
      <c r="M24" s="31"/>
      <c r="N24" s="31"/>
      <c r="O24" s="31"/>
      <c r="P24" s="29"/>
      <c r="Q24" s="32"/>
      <c r="R24" s="29"/>
      <c r="S24" s="29"/>
      <c r="T24" s="29"/>
      <c r="U24" s="29"/>
      <c r="V24" s="29"/>
      <c r="W24" s="29"/>
    </row>
    <row r="25" customFormat="false" ht="15" hidden="false" customHeight="false" outlineLevel="0" collapsed="false">
      <c r="A25" s="29"/>
      <c r="B25" s="29"/>
      <c r="C25" s="29"/>
      <c r="D25" s="29"/>
      <c r="E25" s="29"/>
      <c r="F25" s="29"/>
      <c r="G25" s="29"/>
      <c r="H25" s="29"/>
      <c r="I25" s="29"/>
      <c r="J25" s="29"/>
      <c r="K25" s="29"/>
      <c r="L25" s="31"/>
      <c r="M25" s="31"/>
      <c r="N25" s="31"/>
      <c r="O25" s="31"/>
      <c r="P25" s="29"/>
      <c r="Q25" s="32"/>
      <c r="R25" s="29"/>
      <c r="S25" s="29"/>
      <c r="T25" s="29"/>
      <c r="U25" s="29"/>
      <c r="V25" s="29"/>
      <c r="W25" s="29"/>
    </row>
    <row r="26" customFormat="false" ht="15" hidden="false" customHeight="false" outlineLevel="0" collapsed="false">
      <c r="A26" s="29"/>
      <c r="B26" s="29"/>
      <c r="C26" s="29"/>
      <c r="D26" s="29"/>
      <c r="E26" s="29"/>
      <c r="F26" s="29"/>
      <c r="G26" s="29"/>
      <c r="H26" s="29"/>
      <c r="I26" s="29"/>
      <c r="J26" s="29"/>
      <c r="K26" s="29"/>
      <c r="L26" s="31"/>
      <c r="M26" s="31"/>
      <c r="N26" s="31"/>
      <c r="O26" s="31"/>
      <c r="P26" s="29"/>
      <c r="Q26" s="32"/>
      <c r="R26" s="29"/>
      <c r="S26" s="29"/>
      <c r="T26" s="29"/>
      <c r="U26" s="29"/>
      <c r="V26" s="29"/>
      <c r="W26" s="29"/>
    </row>
    <row r="27" customFormat="false" ht="15" hidden="false" customHeight="false" outlineLevel="0" collapsed="false">
      <c r="A27" s="29"/>
      <c r="B27" s="29"/>
      <c r="C27" s="29"/>
      <c r="D27" s="29"/>
      <c r="E27" s="29"/>
      <c r="F27" s="29"/>
      <c r="G27" s="29"/>
      <c r="H27" s="29"/>
      <c r="I27" s="29"/>
      <c r="J27" s="29"/>
      <c r="K27" s="29"/>
      <c r="L27" s="31"/>
      <c r="M27" s="31"/>
      <c r="N27" s="31"/>
      <c r="O27" s="31"/>
      <c r="P27" s="29"/>
      <c r="Q27" s="32"/>
      <c r="R27" s="29"/>
      <c r="S27" s="29"/>
      <c r="T27" s="29"/>
      <c r="U27" s="29"/>
      <c r="V27" s="29"/>
      <c r="W27" s="29"/>
    </row>
    <row r="28" customFormat="false" ht="15" hidden="false" customHeight="false" outlineLevel="0" collapsed="false">
      <c r="A28" s="29"/>
      <c r="B28" s="29"/>
      <c r="C28" s="29"/>
      <c r="D28" s="29"/>
      <c r="E28" s="29"/>
      <c r="F28" s="29"/>
      <c r="G28" s="29"/>
      <c r="H28" s="29"/>
      <c r="I28" s="29"/>
      <c r="J28" s="29"/>
      <c r="K28" s="29"/>
      <c r="L28" s="31"/>
      <c r="M28" s="31"/>
      <c r="N28" s="31"/>
      <c r="O28" s="31"/>
      <c r="P28" s="29"/>
      <c r="Q28" s="32"/>
      <c r="R28" s="29"/>
      <c r="S28" s="29"/>
      <c r="T28" s="29"/>
      <c r="U28" s="29"/>
      <c r="V28" s="29"/>
      <c r="W28" s="29"/>
    </row>
    <row r="29" customFormat="false" ht="15" hidden="false" customHeight="false" outlineLevel="0" collapsed="false">
      <c r="A29" s="29"/>
      <c r="B29" s="29"/>
      <c r="C29" s="29"/>
      <c r="D29" s="29"/>
      <c r="E29" s="29"/>
      <c r="F29" s="29"/>
      <c r="G29" s="29"/>
      <c r="H29" s="29"/>
      <c r="I29" s="29"/>
      <c r="J29" s="29"/>
      <c r="K29" s="29"/>
      <c r="L29" s="31"/>
      <c r="M29" s="31"/>
      <c r="N29" s="31"/>
      <c r="O29" s="31"/>
      <c r="P29" s="29"/>
      <c r="Q29" s="32"/>
      <c r="R29" s="29"/>
      <c r="S29" s="29"/>
      <c r="T29" s="29"/>
      <c r="U29" s="29"/>
      <c r="V29" s="29"/>
      <c r="W29" s="29"/>
    </row>
    <row r="30" customFormat="false" ht="15" hidden="false" customHeight="false" outlineLevel="0" collapsed="false">
      <c r="A30" s="33"/>
      <c r="B30" s="33"/>
      <c r="C30" s="33"/>
      <c r="D30" s="33"/>
      <c r="E30" s="33"/>
      <c r="F30" s="33"/>
      <c r="G30" s="33"/>
      <c r="H30" s="33"/>
      <c r="I30" s="33"/>
      <c r="J30" s="33"/>
      <c r="K30" s="33"/>
      <c r="L30" s="34"/>
      <c r="M30" s="34"/>
      <c r="N30" s="34"/>
      <c r="O30" s="34"/>
      <c r="P30" s="33"/>
      <c r="Q30" s="35"/>
      <c r="R30" s="33"/>
      <c r="S30" s="33"/>
      <c r="T30" s="33"/>
      <c r="U30" s="33"/>
      <c r="V30" s="33"/>
      <c r="W30" s="33"/>
    </row>
    <row r="31" customFormat="false" ht="15" hidden="false" customHeight="false" outlineLevel="0" collapsed="false">
      <c r="A31" s="33"/>
      <c r="B31" s="33"/>
      <c r="C31" s="33"/>
      <c r="D31" s="33"/>
      <c r="E31" s="33"/>
      <c r="F31" s="33"/>
      <c r="G31" s="33"/>
      <c r="H31" s="33"/>
      <c r="I31" s="33"/>
      <c r="J31" s="33"/>
      <c r="K31" s="33"/>
      <c r="L31" s="34"/>
      <c r="M31" s="34"/>
      <c r="N31" s="34"/>
      <c r="O31" s="34"/>
      <c r="P31" s="33"/>
      <c r="Q31" s="35"/>
      <c r="R31" s="33"/>
      <c r="S31" s="33"/>
      <c r="T31" s="33"/>
      <c r="U31" s="33"/>
      <c r="V31" s="33"/>
      <c r="W31" s="33"/>
    </row>
    <row r="32" customFormat="false" ht="15" hidden="false" customHeight="false" outlineLevel="0" collapsed="false">
      <c r="A32" s="33"/>
      <c r="B32" s="33"/>
      <c r="C32" s="33"/>
      <c r="D32" s="33"/>
      <c r="E32" s="33"/>
      <c r="F32" s="33"/>
      <c r="G32" s="33"/>
      <c r="H32" s="33"/>
      <c r="I32" s="33"/>
      <c r="J32" s="33"/>
      <c r="K32" s="33"/>
      <c r="L32" s="34"/>
      <c r="M32" s="34"/>
      <c r="N32" s="34"/>
      <c r="O32" s="34"/>
      <c r="P32" s="33"/>
      <c r="Q32" s="35"/>
      <c r="R32" s="33"/>
      <c r="S32" s="33"/>
      <c r="T32" s="33"/>
      <c r="U32" s="33"/>
      <c r="V32" s="33"/>
      <c r="W32" s="33"/>
    </row>
    <row r="33" customFormat="false" ht="15" hidden="false" customHeight="false" outlineLevel="0" collapsed="false">
      <c r="A33" s="33"/>
      <c r="B33" s="33"/>
      <c r="C33" s="33"/>
      <c r="D33" s="33"/>
      <c r="E33" s="33"/>
      <c r="F33" s="33"/>
      <c r="G33" s="33"/>
      <c r="H33" s="33"/>
      <c r="I33" s="33"/>
      <c r="J33" s="33"/>
      <c r="K33" s="33"/>
      <c r="L33" s="34"/>
      <c r="M33" s="34"/>
      <c r="N33" s="34"/>
      <c r="O33" s="34"/>
      <c r="P33" s="33"/>
      <c r="Q33" s="35"/>
      <c r="R33" s="33"/>
      <c r="S33" s="33"/>
      <c r="T33" s="33"/>
      <c r="U33" s="33"/>
      <c r="V33" s="33"/>
      <c r="W33" s="33"/>
    </row>
    <row r="34" customFormat="false" ht="15" hidden="false" customHeight="false" outlineLevel="0" collapsed="false">
      <c r="A34" s="33"/>
      <c r="B34" s="33"/>
      <c r="C34" s="33"/>
      <c r="D34" s="33"/>
      <c r="E34" s="33"/>
      <c r="F34" s="33"/>
      <c r="G34" s="33"/>
      <c r="H34" s="33"/>
      <c r="I34" s="33"/>
      <c r="J34" s="33"/>
      <c r="K34" s="33"/>
      <c r="L34" s="34"/>
      <c r="M34" s="34"/>
      <c r="N34" s="34"/>
      <c r="O34" s="34"/>
      <c r="P34" s="33"/>
      <c r="Q34" s="35"/>
      <c r="R34" s="33"/>
      <c r="S34" s="33"/>
      <c r="T34" s="33"/>
      <c r="U34" s="33"/>
      <c r="V34" s="33"/>
      <c r="W34" s="33"/>
    </row>
    <row r="35" customFormat="false" ht="15" hidden="false" customHeight="false" outlineLevel="0" collapsed="false">
      <c r="A35" s="33"/>
      <c r="B35" s="33"/>
      <c r="C35" s="33"/>
      <c r="D35" s="33"/>
      <c r="E35" s="33"/>
      <c r="F35" s="33"/>
      <c r="G35" s="33"/>
      <c r="H35" s="33"/>
      <c r="I35" s="33"/>
      <c r="J35" s="33"/>
      <c r="K35" s="33"/>
      <c r="L35" s="34"/>
      <c r="M35" s="34"/>
      <c r="N35" s="34"/>
      <c r="O35" s="34"/>
      <c r="P35" s="33"/>
      <c r="Q35" s="35"/>
      <c r="R35" s="33"/>
      <c r="S35" s="33"/>
      <c r="T35" s="33"/>
      <c r="U35" s="33"/>
      <c r="V35" s="33"/>
      <c r="W35" s="33"/>
    </row>
    <row r="36" customFormat="false" ht="15" hidden="false" customHeight="false" outlineLevel="0" collapsed="false">
      <c r="A36" s="33"/>
      <c r="B36" s="33"/>
      <c r="C36" s="33"/>
      <c r="D36" s="33"/>
      <c r="E36" s="33"/>
      <c r="F36" s="33"/>
      <c r="G36" s="33"/>
      <c r="H36" s="33"/>
      <c r="I36" s="33"/>
      <c r="J36" s="33"/>
      <c r="K36" s="33"/>
      <c r="L36" s="34"/>
      <c r="M36" s="34"/>
      <c r="N36" s="34"/>
      <c r="O36" s="34"/>
      <c r="P36" s="33"/>
      <c r="Q36" s="35"/>
      <c r="R36" s="33"/>
      <c r="S36" s="33"/>
      <c r="T36" s="33"/>
      <c r="U36" s="33"/>
      <c r="V36" s="33"/>
      <c r="W36" s="33"/>
    </row>
    <row r="37" customFormat="false" ht="15" hidden="false" customHeight="false" outlineLevel="0" collapsed="false">
      <c r="A37" s="33"/>
      <c r="B37" s="33"/>
      <c r="C37" s="33"/>
      <c r="D37" s="33"/>
      <c r="E37" s="33"/>
      <c r="F37" s="33"/>
      <c r="G37" s="33"/>
      <c r="H37" s="33"/>
      <c r="I37" s="33"/>
      <c r="J37" s="33"/>
      <c r="K37" s="33"/>
      <c r="L37" s="34"/>
      <c r="M37" s="34"/>
      <c r="N37" s="34"/>
      <c r="O37" s="34"/>
      <c r="P37" s="33"/>
      <c r="Q37" s="35"/>
      <c r="R37" s="33"/>
      <c r="S37" s="33"/>
      <c r="T37" s="33"/>
      <c r="U37" s="33"/>
      <c r="V37" s="33"/>
      <c r="W37" s="33"/>
    </row>
    <row r="38" customFormat="false" ht="15" hidden="false" customHeight="false" outlineLevel="0" collapsed="false">
      <c r="A38" s="33"/>
      <c r="B38" s="33"/>
      <c r="C38" s="33"/>
      <c r="D38" s="33"/>
      <c r="E38" s="33"/>
      <c r="F38" s="33"/>
      <c r="G38" s="33"/>
      <c r="H38" s="33"/>
      <c r="I38" s="33"/>
      <c r="J38" s="33"/>
      <c r="K38" s="33"/>
      <c r="L38" s="34"/>
      <c r="M38" s="34"/>
      <c r="N38" s="34"/>
      <c r="O38" s="34"/>
      <c r="P38" s="33"/>
      <c r="Q38" s="35"/>
      <c r="R38" s="33"/>
      <c r="S38" s="33"/>
      <c r="T38" s="33"/>
      <c r="U38" s="33"/>
      <c r="V38" s="33"/>
      <c r="W38" s="33"/>
    </row>
    <row r="39" customFormat="false" ht="15" hidden="false" customHeight="false" outlineLevel="0" collapsed="false">
      <c r="A39" s="33"/>
      <c r="B39" s="33"/>
      <c r="C39" s="33"/>
      <c r="D39" s="33"/>
      <c r="E39" s="33"/>
      <c r="F39" s="33"/>
      <c r="G39" s="33"/>
      <c r="H39" s="33"/>
      <c r="I39" s="33"/>
      <c r="J39" s="33"/>
      <c r="K39" s="33"/>
      <c r="L39" s="34"/>
      <c r="M39" s="34"/>
      <c r="N39" s="34"/>
      <c r="O39" s="34"/>
      <c r="P39" s="33"/>
      <c r="Q39" s="35"/>
      <c r="R39" s="33"/>
      <c r="S39" s="33"/>
      <c r="T39" s="33"/>
      <c r="U39" s="33"/>
      <c r="V39" s="33"/>
      <c r="W39" s="33"/>
    </row>
    <row r="40" customFormat="false" ht="15" hidden="false" customHeight="false" outlineLevel="0" collapsed="false">
      <c r="A40" s="33"/>
      <c r="B40" s="33"/>
      <c r="C40" s="33"/>
      <c r="D40" s="33"/>
      <c r="E40" s="33"/>
      <c r="F40" s="33"/>
      <c r="G40" s="33"/>
      <c r="H40" s="33"/>
      <c r="I40" s="33"/>
      <c r="J40" s="33"/>
      <c r="K40" s="33"/>
      <c r="L40" s="34"/>
      <c r="M40" s="34"/>
      <c r="N40" s="34"/>
      <c r="O40" s="34"/>
      <c r="P40" s="33"/>
      <c r="Q40" s="35"/>
      <c r="R40" s="33"/>
      <c r="S40" s="33"/>
      <c r="T40" s="33"/>
      <c r="U40" s="33"/>
      <c r="V40" s="33"/>
      <c r="W40" s="33"/>
    </row>
    <row r="41" customFormat="false" ht="15" hidden="false" customHeight="false" outlineLevel="0" collapsed="false">
      <c r="A41" s="33"/>
      <c r="B41" s="33"/>
      <c r="C41" s="33"/>
      <c r="D41" s="33"/>
      <c r="E41" s="33"/>
      <c r="F41" s="33"/>
      <c r="G41" s="33"/>
      <c r="H41" s="33"/>
      <c r="I41" s="33"/>
      <c r="J41" s="33"/>
      <c r="K41" s="33"/>
      <c r="L41" s="34"/>
      <c r="M41" s="34"/>
      <c r="N41" s="34"/>
      <c r="O41" s="34"/>
      <c r="P41" s="33"/>
      <c r="Q41" s="35"/>
      <c r="R41" s="33"/>
      <c r="S41" s="33"/>
      <c r="T41" s="33"/>
      <c r="U41" s="33"/>
      <c r="V41" s="33"/>
      <c r="W41" s="33"/>
    </row>
    <row r="42" customFormat="false" ht="15" hidden="false" customHeight="false" outlineLevel="0" collapsed="false">
      <c r="A42" s="33"/>
      <c r="B42" s="33"/>
      <c r="C42" s="33"/>
      <c r="D42" s="33"/>
      <c r="E42" s="33"/>
      <c r="F42" s="33"/>
      <c r="G42" s="33"/>
      <c r="H42" s="33"/>
      <c r="I42" s="33"/>
      <c r="J42" s="33"/>
      <c r="K42" s="33"/>
      <c r="L42" s="34"/>
      <c r="M42" s="34"/>
      <c r="N42" s="34"/>
      <c r="O42" s="34"/>
      <c r="P42" s="33"/>
      <c r="Q42" s="35"/>
      <c r="R42" s="33"/>
      <c r="S42" s="33"/>
      <c r="T42" s="33"/>
      <c r="U42" s="33"/>
      <c r="V42" s="33"/>
      <c r="W42" s="33"/>
    </row>
    <row r="43" customFormat="false" ht="15" hidden="false" customHeight="false" outlineLevel="0" collapsed="false">
      <c r="A43" s="33"/>
      <c r="B43" s="33"/>
      <c r="C43" s="33"/>
      <c r="D43" s="33"/>
      <c r="E43" s="33"/>
      <c r="F43" s="33"/>
      <c r="G43" s="33"/>
      <c r="H43" s="33"/>
      <c r="I43" s="33"/>
      <c r="J43" s="33"/>
      <c r="K43" s="33"/>
      <c r="L43" s="34"/>
      <c r="M43" s="34"/>
      <c r="N43" s="34"/>
      <c r="O43" s="34"/>
      <c r="P43" s="33"/>
      <c r="Q43" s="35"/>
      <c r="R43" s="33"/>
      <c r="S43" s="33"/>
      <c r="T43" s="33"/>
      <c r="U43" s="33"/>
      <c r="V43" s="33"/>
      <c r="W43" s="33"/>
    </row>
    <row r="44" customFormat="false" ht="15" hidden="false" customHeight="false" outlineLevel="0" collapsed="false">
      <c r="A44" s="33"/>
      <c r="B44" s="33"/>
      <c r="C44" s="33"/>
      <c r="D44" s="33"/>
      <c r="E44" s="33"/>
      <c r="F44" s="33"/>
      <c r="G44" s="33"/>
      <c r="H44" s="33"/>
      <c r="I44" s="33"/>
      <c r="J44" s="33"/>
      <c r="K44" s="33"/>
      <c r="L44" s="34"/>
      <c r="M44" s="34"/>
      <c r="N44" s="34"/>
      <c r="O44" s="34"/>
      <c r="P44" s="33"/>
      <c r="Q44" s="35"/>
      <c r="R44" s="33"/>
      <c r="S44" s="33"/>
      <c r="T44" s="33"/>
      <c r="U44" s="33"/>
      <c r="V44" s="33"/>
      <c r="W44" s="33"/>
    </row>
    <row r="45" customFormat="false" ht="15" hidden="false" customHeight="false" outlineLevel="0" collapsed="false">
      <c r="A45" s="33"/>
      <c r="B45" s="33"/>
      <c r="C45" s="33"/>
      <c r="D45" s="33"/>
      <c r="E45" s="33"/>
      <c r="F45" s="33"/>
      <c r="G45" s="33"/>
      <c r="H45" s="33"/>
      <c r="I45" s="33"/>
      <c r="J45" s="33"/>
      <c r="K45" s="33"/>
      <c r="L45" s="34"/>
      <c r="M45" s="34"/>
      <c r="N45" s="34"/>
      <c r="O45" s="34"/>
      <c r="P45" s="33"/>
      <c r="Q45" s="35"/>
      <c r="R45" s="33"/>
      <c r="S45" s="33"/>
      <c r="T45" s="33"/>
      <c r="U45" s="33"/>
      <c r="V45" s="33"/>
      <c r="W45" s="33"/>
    </row>
    <row r="46" customFormat="false" ht="15" hidden="false" customHeight="false" outlineLevel="0" collapsed="false">
      <c r="A46" s="33"/>
      <c r="B46" s="33"/>
      <c r="C46" s="33"/>
      <c r="D46" s="33"/>
      <c r="E46" s="33"/>
      <c r="F46" s="33"/>
      <c r="G46" s="33"/>
      <c r="H46" s="33"/>
      <c r="I46" s="33"/>
      <c r="J46" s="33"/>
      <c r="K46" s="33"/>
      <c r="L46" s="34"/>
      <c r="M46" s="34"/>
      <c r="N46" s="34"/>
      <c r="O46" s="34"/>
      <c r="P46" s="33"/>
      <c r="Q46" s="35"/>
      <c r="R46" s="33"/>
      <c r="S46" s="33"/>
      <c r="T46" s="33"/>
      <c r="U46" s="33"/>
      <c r="V46" s="33"/>
      <c r="W46" s="33"/>
    </row>
    <row r="47" customFormat="false" ht="15" hidden="false" customHeight="false" outlineLevel="0" collapsed="false">
      <c r="A47" s="33"/>
      <c r="B47" s="33"/>
      <c r="C47" s="33"/>
      <c r="D47" s="33"/>
      <c r="E47" s="33"/>
      <c r="F47" s="33"/>
      <c r="G47" s="33"/>
      <c r="H47" s="33"/>
      <c r="I47" s="33"/>
      <c r="J47" s="33"/>
      <c r="K47" s="33"/>
      <c r="L47" s="34"/>
      <c r="M47" s="34"/>
      <c r="N47" s="34"/>
      <c r="O47" s="34"/>
      <c r="P47" s="33"/>
      <c r="Q47" s="35"/>
      <c r="R47" s="33"/>
      <c r="S47" s="33"/>
      <c r="T47" s="33"/>
      <c r="U47" s="33"/>
      <c r="V47" s="33"/>
      <c r="W47" s="33"/>
    </row>
    <row r="48" customFormat="false" ht="15" hidden="false" customHeight="false" outlineLevel="0" collapsed="false">
      <c r="A48" s="33"/>
      <c r="B48" s="33"/>
      <c r="C48" s="33"/>
      <c r="D48" s="33"/>
      <c r="E48" s="33"/>
      <c r="F48" s="33"/>
      <c r="G48" s="33"/>
      <c r="H48" s="33"/>
      <c r="I48" s="33"/>
      <c r="J48" s="33"/>
      <c r="K48" s="33"/>
      <c r="L48" s="34"/>
      <c r="M48" s="34"/>
      <c r="N48" s="34"/>
      <c r="O48" s="34"/>
      <c r="P48" s="33"/>
      <c r="Q48" s="35"/>
      <c r="R48" s="33"/>
      <c r="S48" s="33"/>
      <c r="T48" s="33"/>
      <c r="U48" s="33"/>
      <c r="V48" s="33"/>
      <c r="W48" s="33"/>
    </row>
    <row r="49" customFormat="false" ht="15" hidden="false" customHeight="false" outlineLevel="0" collapsed="false">
      <c r="A49" s="33"/>
      <c r="B49" s="33"/>
      <c r="C49" s="33"/>
      <c r="D49" s="33"/>
      <c r="E49" s="33"/>
      <c r="F49" s="33"/>
      <c r="G49" s="33"/>
      <c r="H49" s="33"/>
      <c r="I49" s="33"/>
      <c r="J49" s="33"/>
      <c r="K49" s="33"/>
      <c r="L49" s="34"/>
      <c r="M49" s="34"/>
      <c r="N49" s="34"/>
      <c r="O49" s="34"/>
      <c r="P49" s="33"/>
      <c r="Q49" s="35"/>
      <c r="R49" s="33"/>
      <c r="S49" s="33"/>
      <c r="T49" s="33"/>
      <c r="U49" s="33"/>
      <c r="V49" s="33"/>
      <c r="W49" s="33"/>
    </row>
    <row r="50" customFormat="false" ht="15" hidden="false" customHeight="false" outlineLevel="0" collapsed="false">
      <c r="A50" s="33"/>
      <c r="B50" s="33"/>
      <c r="C50" s="33"/>
      <c r="D50" s="33"/>
      <c r="E50" s="33"/>
      <c r="F50" s="33"/>
      <c r="G50" s="33"/>
      <c r="H50" s="33"/>
      <c r="I50" s="33"/>
      <c r="J50" s="33"/>
      <c r="K50" s="33"/>
      <c r="L50" s="34"/>
      <c r="M50" s="34"/>
      <c r="N50" s="34"/>
      <c r="O50" s="34"/>
      <c r="P50" s="33"/>
      <c r="Q50" s="35"/>
      <c r="R50" s="33"/>
      <c r="S50" s="33"/>
      <c r="T50" s="33"/>
      <c r="U50" s="33"/>
      <c r="V50" s="33"/>
      <c r="W50" s="33"/>
    </row>
    <row r="51" customFormat="false" ht="15" hidden="false" customHeight="false" outlineLevel="0" collapsed="false">
      <c r="A51" s="33"/>
      <c r="B51" s="33"/>
      <c r="C51" s="33"/>
      <c r="D51" s="33"/>
      <c r="E51" s="33"/>
      <c r="F51" s="33"/>
      <c r="G51" s="33"/>
      <c r="H51" s="33"/>
      <c r="I51" s="33"/>
      <c r="J51" s="33"/>
      <c r="K51" s="33"/>
      <c r="L51" s="34"/>
      <c r="M51" s="34"/>
      <c r="N51" s="34"/>
      <c r="O51" s="34"/>
      <c r="P51" s="33"/>
      <c r="Q51" s="35"/>
      <c r="R51" s="33"/>
      <c r="S51" s="33"/>
      <c r="T51" s="33"/>
      <c r="U51" s="33"/>
      <c r="V51" s="33"/>
      <c r="W51" s="33"/>
    </row>
    <row r="52" customFormat="false" ht="15" hidden="false" customHeight="false" outlineLevel="0" collapsed="false">
      <c r="A52" s="33"/>
      <c r="B52" s="33"/>
      <c r="C52" s="33"/>
      <c r="D52" s="33"/>
      <c r="E52" s="33"/>
      <c r="F52" s="33"/>
      <c r="G52" s="33"/>
      <c r="H52" s="33"/>
      <c r="I52" s="33"/>
      <c r="J52" s="33"/>
      <c r="K52" s="33"/>
      <c r="L52" s="34"/>
      <c r="M52" s="34"/>
      <c r="N52" s="34"/>
      <c r="O52" s="34"/>
      <c r="P52" s="33"/>
      <c r="Q52" s="35"/>
      <c r="R52" s="33"/>
      <c r="S52" s="33"/>
      <c r="T52" s="33"/>
      <c r="U52" s="33"/>
      <c r="V52" s="33"/>
      <c r="W52" s="33"/>
    </row>
    <row r="53" customFormat="false" ht="15" hidden="false" customHeight="false" outlineLevel="0" collapsed="false">
      <c r="A53" s="33"/>
      <c r="B53" s="33"/>
      <c r="C53" s="33"/>
      <c r="D53" s="33"/>
      <c r="E53" s="33"/>
      <c r="F53" s="33"/>
      <c r="G53" s="33"/>
      <c r="H53" s="33"/>
      <c r="I53" s="33"/>
      <c r="J53" s="33"/>
      <c r="K53" s="33"/>
      <c r="L53" s="34"/>
      <c r="M53" s="34"/>
      <c r="N53" s="34"/>
      <c r="O53" s="34"/>
      <c r="P53" s="33"/>
      <c r="Q53" s="35"/>
      <c r="R53" s="33"/>
      <c r="S53" s="33"/>
      <c r="T53" s="33"/>
      <c r="U53" s="33"/>
      <c r="V53" s="33"/>
      <c r="W53" s="33"/>
    </row>
    <row r="54" customFormat="false" ht="15" hidden="false" customHeight="false" outlineLevel="0" collapsed="false">
      <c r="A54" s="33"/>
      <c r="B54" s="33"/>
      <c r="C54" s="33"/>
      <c r="D54" s="33"/>
      <c r="E54" s="33"/>
      <c r="F54" s="33"/>
      <c r="G54" s="33"/>
      <c r="H54" s="33"/>
      <c r="I54" s="33"/>
      <c r="J54" s="33"/>
      <c r="K54" s="33"/>
      <c r="L54" s="34"/>
      <c r="M54" s="34"/>
      <c r="N54" s="34"/>
      <c r="O54" s="34"/>
      <c r="P54" s="33"/>
      <c r="Q54" s="35"/>
      <c r="R54" s="33"/>
      <c r="S54" s="33"/>
      <c r="T54" s="33"/>
      <c r="U54" s="33"/>
      <c r="V54" s="33"/>
      <c r="W54" s="33"/>
    </row>
    <row r="55" customFormat="false" ht="15" hidden="false" customHeight="false" outlineLevel="0" collapsed="false">
      <c r="A55" s="33"/>
      <c r="B55" s="33"/>
      <c r="C55" s="33"/>
      <c r="D55" s="33"/>
      <c r="E55" s="33"/>
      <c r="F55" s="33"/>
      <c r="G55" s="33"/>
      <c r="H55" s="33"/>
      <c r="I55" s="33"/>
      <c r="J55" s="33"/>
      <c r="K55" s="33"/>
      <c r="L55" s="34"/>
      <c r="M55" s="34"/>
      <c r="N55" s="34"/>
      <c r="O55" s="34"/>
      <c r="P55" s="33"/>
      <c r="Q55" s="35"/>
      <c r="R55" s="33"/>
      <c r="S55" s="33"/>
      <c r="T55" s="33"/>
      <c r="U55" s="33"/>
      <c r="V55" s="33"/>
      <c r="W55" s="33"/>
    </row>
    <row r="56" customFormat="false" ht="15" hidden="false" customHeight="false" outlineLevel="0" collapsed="false">
      <c r="A56" s="33"/>
      <c r="B56" s="33"/>
      <c r="C56" s="33"/>
      <c r="D56" s="33"/>
      <c r="E56" s="33"/>
      <c r="F56" s="33"/>
      <c r="G56" s="33"/>
      <c r="H56" s="33"/>
      <c r="I56" s="33"/>
      <c r="J56" s="33"/>
      <c r="K56" s="33"/>
      <c r="L56" s="34"/>
      <c r="M56" s="34"/>
      <c r="N56" s="34"/>
      <c r="O56" s="34"/>
      <c r="P56" s="33"/>
      <c r="Q56" s="35"/>
      <c r="R56" s="33"/>
      <c r="S56" s="33"/>
      <c r="T56" s="33"/>
      <c r="U56" s="33"/>
      <c r="V56" s="33"/>
      <c r="W56" s="33"/>
    </row>
    <row r="57" customFormat="false" ht="15" hidden="false" customHeight="false" outlineLevel="0" collapsed="false">
      <c r="A57" s="33"/>
      <c r="B57" s="33"/>
      <c r="C57" s="33"/>
      <c r="D57" s="33"/>
      <c r="E57" s="33"/>
      <c r="F57" s="33"/>
      <c r="G57" s="33"/>
      <c r="H57" s="33"/>
      <c r="I57" s="33"/>
      <c r="J57" s="33"/>
      <c r="K57" s="33"/>
      <c r="L57" s="34"/>
      <c r="M57" s="34"/>
      <c r="N57" s="34"/>
      <c r="O57" s="34"/>
      <c r="P57" s="33"/>
      <c r="Q57" s="35"/>
      <c r="R57" s="33"/>
      <c r="S57" s="33"/>
      <c r="T57" s="33"/>
      <c r="U57" s="33"/>
      <c r="V57" s="33"/>
      <c r="W57" s="33"/>
    </row>
    <row r="58" customFormat="false" ht="15" hidden="false" customHeight="false" outlineLevel="0" collapsed="false">
      <c r="A58" s="33"/>
      <c r="B58" s="33"/>
      <c r="C58" s="33"/>
      <c r="D58" s="33"/>
      <c r="E58" s="33"/>
      <c r="F58" s="33"/>
      <c r="G58" s="33"/>
      <c r="H58" s="33"/>
      <c r="I58" s="33"/>
      <c r="J58" s="33"/>
      <c r="K58" s="33"/>
      <c r="L58" s="34"/>
      <c r="M58" s="34"/>
      <c r="N58" s="34"/>
      <c r="O58" s="34"/>
      <c r="P58" s="33"/>
      <c r="Q58" s="35"/>
      <c r="R58" s="33"/>
      <c r="S58" s="33"/>
      <c r="T58" s="33"/>
      <c r="U58" s="33"/>
      <c r="V58" s="33"/>
      <c r="W58" s="33"/>
    </row>
    <row r="59" customFormat="false" ht="15" hidden="false" customHeight="false" outlineLevel="0" collapsed="false">
      <c r="A59" s="33"/>
      <c r="B59" s="33"/>
      <c r="C59" s="33"/>
      <c r="D59" s="33"/>
      <c r="E59" s="33"/>
      <c r="F59" s="33"/>
      <c r="G59" s="33"/>
      <c r="H59" s="33"/>
      <c r="I59" s="33"/>
      <c r="J59" s="33"/>
      <c r="K59" s="33"/>
      <c r="L59" s="34"/>
      <c r="M59" s="34"/>
      <c r="N59" s="34"/>
      <c r="O59" s="34"/>
      <c r="P59" s="33"/>
      <c r="Q59" s="35"/>
      <c r="R59" s="33"/>
      <c r="S59" s="33"/>
      <c r="T59" s="33"/>
      <c r="U59" s="33"/>
      <c r="V59" s="33"/>
      <c r="W59" s="33"/>
    </row>
    <row r="60" customFormat="false" ht="15" hidden="false" customHeight="false" outlineLevel="0" collapsed="false">
      <c r="A60" s="33"/>
      <c r="B60" s="33"/>
      <c r="C60" s="33"/>
      <c r="D60" s="33"/>
      <c r="E60" s="33"/>
      <c r="F60" s="33"/>
      <c r="G60" s="33"/>
      <c r="H60" s="33"/>
      <c r="I60" s="33"/>
      <c r="J60" s="33"/>
      <c r="K60" s="33"/>
      <c r="L60" s="34"/>
      <c r="M60" s="34"/>
      <c r="N60" s="34"/>
      <c r="O60" s="34"/>
      <c r="P60" s="33"/>
      <c r="Q60" s="35"/>
      <c r="R60" s="33"/>
      <c r="S60" s="33"/>
      <c r="T60" s="33"/>
      <c r="U60" s="33"/>
      <c r="V60" s="33"/>
      <c r="W60" s="33"/>
    </row>
    <row r="61" customFormat="false" ht="15" hidden="false" customHeight="false" outlineLevel="0" collapsed="false">
      <c r="A61" s="33"/>
      <c r="B61" s="33"/>
      <c r="C61" s="33"/>
      <c r="D61" s="33"/>
      <c r="E61" s="33"/>
      <c r="F61" s="33"/>
      <c r="G61" s="33"/>
      <c r="H61" s="33"/>
      <c r="I61" s="33"/>
      <c r="J61" s="33"/>
      <c r="K61" s="33"/>
      <c r="L61" s="34"/>
      <c r="M61" s="34"/>
      <c r="N61" s="34"/>
      <c r="O61" s="34"/>
      <c r="P61" s="33"/>
      <c r="Q61" s="35"/>
      <c r="R61" s="33"/>
      <c r="S61" s="33"/>
      <c r="T61" s="33"/>
      <c r="U61" s="33"/>
      <c r="V61" s="33"/>
      <c r="W61" s="33"/>
    </row>
    <row r="62" customFormat="false" ht="15" hidden="false" customHeight="false" outlineLevel="0" collapsed="false">
      <c r="A62" s="33"/>
      <c r="B62" s="33"/>
      <c r="C62" s="33"/>
      <c r="D62" s="33"/>
      <c r="E62" s="33"/>
      <c r="F62" s="33"/>
      <c r="G62" s="33"/>
      <c r="H62" s="33"/>
      <c r="I62" s="33"/>
      <c r="J62" s="33"/>
      <c r="K62" s="33"/>
      <c r="L62" s="34"/>
      <c r="M62" s="34"/>
      <c r="N62" s="34"/>
      <c r="O62" s="34"/>
      <c r="P62" s="33"/>
      <c r="Q62" s="35"/>
      <c r="R62" s="33"/>
      <c r="S62" s="33"/>
      <c r="T62" s="33"/>
      <c r="U62" s="33"/>
      <c r="V62" s="33"/>
      <c r="W62" s="33"/>
    </row>
    <row r="63" customFormat="false" ht="15" hidden="false" customHeight="false" outlineLevel="0" collapsed="false">
      <c r="A63" s="33"/>
      <c r="B63" s="33"/>
      <c r="C63" s="33"/>
      <c r="D63" s="33"/>
      <c r="E63" s="33"/>
      <c r="F63" s="33"/>
      <c r="G63" s="33"/>
      <c r="H63" s="33"/>
      <c r="I63" s="33"/>
      <c r="J63" s="33"/>
      <c r="K63" s="33"/>
      <c r="L63" s="34"/>
      <c r="M63" s="34"/>
      <c r="N63" s="34"/>
      <c r="O63" s="34"/>
      <c r="P63" s="33"/>
      <c r="Q63" s="35"/>
      <c r="R63" s="33"/>
      <c r="S63" s="33"/>
      <c r="T63" s="33"/>
      <c r="U63" s="33"/>
      <c r="V63" s="33"/>
      <c r="W63" s="33"/>
    </row>
    <row r="64" customFormat="false" ht="15" hidden="false" customHeight="false" outlineLevel="0" collapsed="false">
      <c r="A64" s="33"/>
      <c r="B64" s="33"/>
      <c r="C64" s="33"/>
      <c r="D64" s="33"/>
      <c r="E64" s="33"/>
      <c r="F64" s="33"/>
      <c r="G64" s="33"/>
      <c r="H64" s="33"/>
      <c r="I64" s="33"/>
      <c r="J64" s="33"/>
      <c r="K64" s="33"/>
      <c r="L64" s="34"/>
      <c r="M64" s="34"/>
      <c r="N64" s="34"/>
      <c r="O64" s="34"/>
      <c r="P64" s="33"/>
      <c r="Q64" s="35"/>
      <c r="R64" s="33"/>
      <c r="S64" s="33"/>
      <c r="T64" s="33"/>
      <c r="U64" s="33"/>
      <c r="V64" s="33"/>
      <c r="W64" s="33"/>
    </row>
    <row r="65" customFormat="false" ht="15" hidden="false" customHeight="false" outlineLevel="0" collapsed="false">
      <c r="A65" s="33"/>
      <c r="B65" s="33"/>
      <c r="C65" s="33"/>
      <c r="D65" s="33"/>
      <c r="E65" s="33"/>
      <c r="F65" s="33"/>
      <c r="G65" s="33"/>
      <c r="H65" s="33"/>
      <c r="I65" s="33"/>
      <c r="J65" s="33"/>
      <c r="K65" s="33"/>
      <c r="L65" s="34"/>
      <c r="M65" s="34"/>
      <c r="N65" s="34"/>
      <c r="O65" s="34"/>
      <c r="P65" s="33"/>
      <c r="Q65" s="35"/>
      <c r="R65" s="33"/>
      <c r="S65" s="33"/>
      <c r="T65" s="33"/>
      <c r="U65" s="33"/>
      <c r="V65" s="33"/>
      <c r="W65" s="33"/>
    </row>
    <row r="66" customFormat="false" ht="15" hidden="false" customHeight="false" outlineLevel="0" collapsed="false">
      <c r="A66" s="33"/>
      <c r="B66" s="33"/>
      <c r="C66" s="33"/>
      <c r="D66" s="33"/>
      <c r="E66" s="33"/>
      <c r="F66" s="33"/>
      <c r="G66" s="33"/>
      <c r="H66" s="33"/>
      <c r="I66" s="33"/>
      <c r="J66" s="33"/>
      <c r="K66" s="33"/>
      <c r="L66" s="34"/>
      <c r="M66" s="34"/>
      <c r="N66" s="34"/>
      <c r="O66" s="34"/>
      <c r="P66" s="33"/>
      <c r="Q66" s="35"/>
      <c r="R66" s="33"/>
      <c r="S66" s="33"/>
      <c r="T66" s="33"/>
      <c r="U66" s="33"/>
      <c r="V66" s="33"/>
      <c r="W66" s="33"/>
    </row>
    <row r="67" customFormat="false" ht="15" hidden="false" customHeight="false" outlineLevel="0" collapsed="false">
      <c r="A67" s="33"/>
      <c r="B67" s="33"/>
      <c r="C67" s="33"/>
      <c r="D67" s="33"/>
      <c r="E67" s="33"/>
      <c r="F67" s="33"/>
      <c r="G67" s="33"/>
      <c r="H67" s="33"/>
      <c r="I67" s="33"/>
      <c r="J67" s="33"/>
      <c r="K67" s="33"/>
      <c r="L67" s="34"/>
      <c r="M67" s="34"/>
      <c r="N67" s="34"/>
      <c r="O67" s="34"/>
      <c r="P67" s="33"/>
      <c r="Q67" s="35"/>
      <c r="R67" s="33"/>
      <c r="S67" s="33"/>
      <c r="T67" s="33"/>
      <c r="U67" s="33"/>
      <c r="V67" s="33"/>
      <c r="W67" s="33"/>
    </row>
    <row r="68" customFormat="false" ht="15" hidden="false" customHeight="false" outlineLevel="0" collapsed="false">
      <c r="A68" s="33"/>
      <c r="B68" s="33"/>
      <c r="C68" s="33"/>
      <c r="D68" s="33"/>
      <c r="E68" s="33"/>
      <c r="F68" s="33"/>
      <c r="G68" s="33"/>
      <c r="H68" s="33"/>
      <c r="I68" s="33"/>
      <c r="J68" s="33"/>
      <c r="K68" s="33"/>
      <c r="L68" s="34"/>
      <c r="M68" s="34"/>
      <c r="N68" s="34"/>
      <c r="O68" s="34"/>
      <c r="P68" s="33"/>
      <c r="Q68" s="35"/>
      <c r="R68" s="33"/>
      <c r="S68" s="33"/>
      <c r="T68" s="33"/>
      <c r="U68" s="33"/>
      <c r="V68" s="33"/>
      <c r="W68" s="33"/>
    </row>
    <row r="69" customFormat="false" ht="15" hidden="false" customHeight="false" outlineLevel="0" collapsed="false">
      <c r="A69" s="33"/>
      <c r="B69" s="33"/>
      <c r="C69" s="33"/>
      <c r="D69" s="33"/>
      <c r="E69" s="33"/>
      <c r="F69" s="33"/>
      <c r="G69" s="33"/>
      <c r="H69" s="33"/>
      <c r="I69" s="33"/>
      <c r="J69" s="33"/>
      <c r="K69" s="33"/>
      <c r="L69" s="34"/>
      <c r="M69" s="34"/>
      <c r="N69" s="34"/>
      <c r="O69" s="34"/>
      <c r="P69" s="33"/>
      <c r="Q69" s="35"/>
      <c r="R69" s="33"/>
      <c r="S69" s="33"/>
      <c r="T69" s="33"/>
      <c r="U69" s="33"/>
      <c r="V69" s="33"/>
      <c r="W69" s="33"/>
    </row>
    <row r="70" customFormat="false" ht="15" hidden="false" customHeight="false" outlineLevel="0" collapsed="false">
      <c r="A70" s="33"/>
      <c r="B70" s="33"/>
      <c r="C70" s="33"/>
      <c r="D70" s="33"/>
      <c r="E70" s="33"/>
      <c r="F70" s="33"/>
      <c r="G70" s="33"/>
      <c r="H70" s="33"/>
      <c r="I70" s="33"/>
      <c r="J70" s="33"/>
      <c r="K70" s="33"/>
      <c r="L70" s="34"/>
      <c r="M70" s="34"/>
      <c r="N70" s="34"/>
      <c r="O70" s="34"/>
      <c r="P70" s="33"/>
      <c r="Q70" s="35"/>
      <c r="R70" s="33"/>
      <c r="S70" s="33"/>
      <c r="T70" s="33"/>
      <c r="U70" s="33"/>
      <c r="V70" s="33"/>
      <c r="W70" s="33"/>
    </row>
    <row r="71" customFormat="false" ht="15" hidden="false" customHeight="false" outlineLevel="0" collapsed="false">
      <c r="A71" s="33"/>
      <c r="B71" s="33"/>
      <c r="C71" s="33"/>
      <c r="D71" s="33"/>
      <c r="E71" s="33"/>
      <c r="F71" s="33"/>
      <c r="G71" s="33"/>
      <c r="H71" s="33"/>
      <c r="I71" s="33"/>
      <c r="J71" s="33"/>
      <c r="K71" s="33"/>
      <c r="L71" s="34"/>
      <c r="M71" s="34"/>
      <c r="N71" s="34"/>
      <c r="O71" s="34"/>
      <c r="P71" s="33"/>
      <c r="Q71" s="35"/>
      <c r="R71" s="33"/>
      <c r="S71" s="33"/>
      <c r="T71" s="33"/>
      <c r="U71" s="33"/>
      <c r="V71" s="33"/>
      <c r="W71" s="33"/>
    </row>
    <row r="72" customFormat="false" ht="15" hidden="false" customHeight="false" outlineLevel="0" collapsed="false">
      <c r="A72" s="33"/>
      <c r="B72" s="33"/>
      <c r="C72" s="33"/>
      <c r="D72" s="33"/>
      <c r="E72" s="33"/>
      <c r="F72" s="33"/>
      <c r="G72" s="33"/>
      <c r="H72" s="33"/>
      <c r="I72" s="33"/>
      <c r="J72" s="33"/>
      <c r="K72" s="33"/>
      <c r="L72" s="34"/>
      <c r="M72" s="34"/>
      <c r="N72" s="34"/>
      <c r="O72" s="34"/>
      <c r="P72" s="33"/>
      <c r="Q72" s="35"/>
      <c r="R72" s="33"/>
      <c r="S72" s="33"/>
      <c r="T72" s="33"/>
      <c r="U72" s="33"/>
      <c r="V72" s="33"/>
      <c r="W72" s="33"/>
    </row>
    <row r="73" customFormat="false" ht="15" hidden="false" customHeight="false" outlineLevel="0" collapsed="false">
      <c r="A73" s="33"/>
      <c r="B73" s="33"/>
      <c r="C73" s="33"/>
      <c r="D73" s="33"/>
      <c r="E73" s="33"/>
      <c r="F73" s="33"/>
      <c r="G73" s="33"/>
      <c r="H73" s="33"/>
      <c r="I73" s="33"/>
      <c r="J73" s="33"/>
      <c r="K73" s="33"/>
      <c r="L73" s="34"/>
      <c r="M73" s="34"/>
      <c r="N73" s="34"/>
      <c r="O73" s="34"/>
      <c r="P73" s="33"/>
      <c r="Q73" s="35"/>
      <c r="R73" s="33"/>
      <c r="S73" s="33"/>
      <c r="T73" s="33"/>
      <c r="U73" s="33"/>
      <c r="V73" s="33"/>
      <c r="W73" s="33"/>
    </row>
    <row r="74" customFormat="false" ht="15" hidden="false" customHeight="false" outlineLevel="0" collapsed="false">
      <c r="A74" s="33"/>
      <c r="B74" s="33"/>
      <c r="C74" s="33"/>
      <c r="D74" s="33"/>
      <c r="E74" s="33"/>
      <c r="F74" s="33"/>
      <c r="G74" s="33"/>
      <c r="H74" s="33"/>
      <c r="I74" s="33"/>
      <c r="J74" s="33"/>
      <c r="K74" s="33"/>
      <c r="L74" s="34"/>
      <c r="M74" s="34"/>
      <c r="N74" s="34"/>
      <c r="O74" s="34"/>
      <c r="P74" s="33"/>
      <c r="Q74" s="35"/>
      <c r="R74" s="33"/>
      <c r="S74" s="33"/>
      <c r="T74" s="33"/>
      <c r="U74" s="33"/>
      <c r="V74" s="33"/>
      <c r="W74" s="33"/>
    </row>
    <row r="75" customFormat="false" ht="15" hidden="false" customHeight="false" outlineLevel="0" collapsed="false">
      <c r="A75" s="33"/>
      <c r="B75" s="33"/>
      <c r="C75" s="33"/>
      <c r="D75" s="33"/>
      <c r="E75" s="33"/>
      <c r="F75" s="33"/>
      <c r="G75" s="33"/>
      <c r="H75" s="33"/>
      <c r="I75" s="33"/>
      <c r="J75" s="33"/>
      <c r="K75" s="33"/>
      <c r="L75" s="34"/>
      <c r="M75" s="34"/>
      <c r="N75" s="34"/>
      <c r="O75" s="34"/>
      <c r="P75" s="33"/>
      <c r="Q75" s="35"/>
      <c r="R75" s="33"/>
      <c r="S75" s="33"/>
      <c r="T75" s="33"/>
      <c r="U75" s="33"/>
      <c r="V75" s="33"/>
      <c r="W75" s="33"/>
    </row>
    <row r="76" customFormat="false" ht="15" hidden="false" customHeight="false" outlineLevel="0" collapsed="false">
      <c r="A76" s="33"/>
      <c r="B76" s="33"/>
      <c r="C76" s="33"/>
      <c r="D76" s="33"/>
      <c r="E76" s="33"/>
      <c r="F76" s="33"/>
      <c r="G76" s="33"/>
      <c r="H76" s="33"/>
      <c r="I76" s="33"/>
      <c r="J76" s="33"/>
      <c r="K76" s="33"/>
      <c r="L76" s="34"/>
      <c r="M76" s="34"/>
      <c r="N76" s="34"/>
      <c r="O76" s="34"/>
      <c r="P76" s="33"/>
      <c r="Q76" s="35"/>
      <c r="R76" s="33"/>
      <c r="S76" s="33"/>
      <c r="T76" s="33"/>
      <c r="U76" s="33"/>
      <c r="V76" s="33"/>
      <c r="W76" s="33"/>
    </row>
    <row r="77" customFormat="false" ht="15" hidden="false" customHeight="false" outlineLevel="0" collapsed="false">
      <c r="A77" s="33"/>
      <c r="B77" s="33"/>
      <c r="C77" s="33"/>
      <c r="D77" s="33"/>
      <c r="E77" s="33"/>
      <c r="F77" s="33"/>
      <c r="G77" s="33"/>
      <c r="H77" s="33"/>
      <c r="I77" s="33"/>
      <c r="J77" s="33"/>
      <c r="K77" s="33"/>
      <c r="L77" s="34"/>
      <c r="M77" s="34"/>
      <c r="N77" s="34"/>
      <c r="O77" s="34"/>
      <c r="P77" s="33"/>
      <c r="Q77" s="35"/>
      <c r="R77" s="33"/>
      <c r="S77" s="33"/>
      <c r="T77" s="33"/>
      <c r="U77" s="33"/>
      <c r="V77" s="33"/>
      <c r="W77" s="33"/>
    </row>
    <row r="78" customFormat="false" ht="15" hidden="false" customHeight="false" outlineLevel="0" collapsed="false">
      <c r="A78" s="33"/>
      <c r="B78" s="33"/>
      <c r="C78" s="33"/>
      <c r="D78" s="33"/>
      <c r="E78" s="33"/>
      <c r="F78" s="33"/>
      <c r="G78" s="33"/>
      <c r="H78" s="33"/>
      <c r="I78" s="33"/>
      <c r="J78" s="33"/>
      <c r="K78" s="33"/>
      <c r="L78" s="34"/>
      <c r="M78" s="34"/>
      <c r="N78" s="34"/>
      <c r="O78" s="34"/>
      <c r="P78" s="33"/>
      <c r="Q78" s="35"/>
      <c r="R78" s="33"/>
      <c r="S78" s="33"/>
      <c r="T78" s="33"/>
      <c r="U78" s="33"/>
      <c r="V78" s="33"/>
      <c r="W78" s="33"/>
    </row>
    <row r="79" customFormat="false" ht="15" hidden="false" customHeight="false" outlineLevel="0" collapsed="false">
      <c r="A79" s="33"/>
      <c r="B79" s="33"/>
      <c r="C79" s="33"/>
      <c r="D79" s="33"/>
      <c r="E79" s="33"/>
      <c r="F79" s="33"/>
      <c r="G79" s="33"/>
      <c r="H79" s="33"/>
      <c r="I79" s="33"/>
      <c r="J79" s="33"/>
      <c r="K79" s="33"/>
      <c r="L79" s="34"/>
      <c r="M79" s="34"/>
      <c r="N79" s="34"/>
      <c r="O79" s="34"/>
      <c r="P79" s="33"/>
      <c r="Q79" s="35"/>
      <c r="R79" s="33"/>
      <c r="S79" s="33"/>
      <c r="T79" s="33"/>
      <c r="U79" s="33"/>
      <c r="V79" s="33"/>
      <c r="W79" s="33"/>
    </row>
    <row r="80" customFormat="false" ht="15" hidden="false" customHeight="false" outlineLevel="0" collapsed="false">
      <c r="A80" s="33"/>
      <c r="B80" s="33"/>
      <c r="C80" s="33"/>
      <c r="D80" s="33"/>
      <c r="E80" s="33"/>
      <c r="F80" s="33"/>
      <c r="G80" s="33"/>
      <c r="H80" s="33"/>
      <c r="I80" s="33"/>
      <c r="J80" s="33"/>
      <c r="K80" s="33"/>
      <c r="L80" s="34"/>
      <c r="M80" s="34"/>
      <c r="N80" s="34"/>
      <c r="O80" s="34"/>
      <c r="P80" s="33"/>
      <c r="Q80" s="35"/>
      <c r="R80" s="33"/>
      <c r="S80" s="33"/>
      <c r="T80" s="33"/>
      <c r="U80" s="33"/>
      <c r="V80" s="33"/>
      <c r="W80" s="33"/>
    </row>
    <row r="81" customFormat="false" ht="15" hidden="false" customHeight="false" outlineLevel="0" collapsed="false">
      <c r="A81" s="33"/>
      <c r="B81" s="33"/>
      <c r="C81" s="33"/>
      <c r="D81" s="33"/>
      <c r="E81" s="33"/>
      <c r="F81" s="33"/>
      <c r="G81" s="33"/>
      <c r="H81" s="33"/>
      <c r="I81" s="33"/>
      <c r="J81" s="33"/>
      <c r="K81" s="33"/>
      <c r="L81" s="34"/>
      <c r="M81" s="34"/>
      <c r="N81" s="34"/>
      <c r="O81" s="34"/>
      <c r="P81" s="33"/>
      <c r="Q81" s="35"/>
      <c r="R81" s="33"/>
      <c r="S81" s="33"/>
      <c r="T81" s="33"/>
      <c r="U81" s="33"/>
      <c r="V81" s="33"/>
      <c r="W81" s="33"/>
    </row>
    <row r="82" customFormat="false" ht="15" hidden="false" customHeight="false" outlineLevel="0" collapsed="false">
      <c r="A82" s="33"/>
      <c r="B82" s="33"/>
      <c r="C82" s="33"/>
      <c r="D82" s="33"/>
      <c r="E82" s="33"/>
      <c r="F82" s="33"/>
      <c r="G82" s="33"/>
      <c r="H82" s="33"/>
      <c r="I82" s="33"/>
      <c r="J82" s="33"/>
      <c r="K82" s="33"/>
      <c r="L82" s="34"/>
      <c r="M82" s="34"/>
      <c r="N82" s="34"/>
      <c r="O82" s="34"/>
      <c r="P82" s="33"/>
      <c r="Q82" s="35"/>
      <c r="R82" s="33"/>
      <c r="S82" s="33"/>
      <c r="T82" s="33"/>
      <c r="U82" s="33"/>
      <c r="V82" s="33"/>
      <c r="W82" s="33"/>
    </row>
    <row r="83" customFormat="false" ht="15" hidden="false" customHeight="false" outlineLevel="0" collapsed="false">
      <c r="A83" s="33"/>
      <c r="B83" s="33"/>
      <c r="C83" s="33"/>
      <c r="D83" s="33"/>
      <c r="E83" s="33"/>
      <c r="F83" s="33"/>
      <c r="G83" s="33"/>
      <c r="H83" s="33"/>
      <c r="I83" s="33"/>
      <c r="J83" s="33"/>
      <c r="K83" s="33"/>
      <c r="L83" s="34"/>
      <c r="M83" s="34"/>
      <c r="N83" s="34"/>
      <c r="O83" s="34"/>
      <c r="P83" s="33"/>
      <c r="Q83" s="35"/>
      <c r="R83" s="33"/>
      <c r="S83" s="33"/>
      <c r="T83" s="33"/>
      <c r="U83" s="33"/>
      <c r="V83" s="33"/>
      <c r="W83" s="33"/>
    </row>
    <row r="84" customFormat="false" ht="15" hidden="false" customHeight="false" outlineLevel="0" collapsed="false">
      <c r="A84" s="33"/>
      <c r="B84" s="33"/>
      <c r="C84" s="33"/>
      <c r="D84" s="33"/>
      <c r="E84" s="33"/>
      <c r="F84" s="33"/>
      <c r="G84" s="33"/>
      <c r="H84" s="33"/>
      <c r="I84" s="33"/>
      <c r="J84" s="33"/>
      <c r="K84" s="33"/>
      <c r="L84" s="34"/>
      <c r="M84" s="34"/>
      <c r="N84" s="34"/>
      <c r="O84" s="34"/>
      <c r="P84" s="33"/>
      <c r="Q84" s="35"/>
      <c r="R84" s="33"/>
      <c r="S84" s="33"/>
      <c r="T84" s="33"/>
      <c r="U84" s="33"/>
      <c r="V84" s="33"/>
      <c r="W84" s="33"/>
    </row>
    <row r="85" customFormat="false" ht="15" hidden="false" customHeight="false" outlineLevel="0" collapsed="false">
      <c r="A85" s="33"/>
      <c r="B85" s="33"/>
      <c r="C85" s="33"/>
      <c r="D85" s="33"/>
      <c r="E85" s="33"/>
      <c r="F85" s="33"/>
      <c r="G85" s="33"/>
      <c r="H85" s="33"/>
      <c r="I85" s="33"/>
      <c r="J85" s="33"/>
      <c r="K85" s="33"/>
      <c r="L85" s="34"/>
      <c r="M85" s="34"/>
      <c r="N85" s="34"/>
      <c r="O85" s="34"/>
      <c r="P85" s="33"/>
      <c r="Q85" s="35"/>
      <c r="R85" s="33"/>
      <c r="S85" s="33"/>
      <c r="T85" s="33"/>
      <c r="U85" s="33"/>
      <c r="V85" s="33"/>
      <c r="W85" s="33"/>
    </row>
    <row r="86" customFormat="false" ht="15" hidden="false" customHeight="false" outlineLevel="0" collapsed="false">
      <c r="A86" s="33"/>
      <c r="B86" s="33"/>
      <c r="C86" s="33"/>
      <c r="D86" s="33"/>
      <c r="E86" s="33"/>
      <c r="F86" s="33"/>
      <c r="G86" s="33"/>
      <c r="H86" s="33"/>
      <c r="I86" s="33"/>
      <c r="J86" s="33"/>
      <c r="K86" s="33"/>
      <c r="L86" s="34"/>
      <c r="M86" s="34"/>
      <c r="N86" s="34"/>
      <c r="O86" s="34"/>
      <c r="P86" s="33"/>
      <c r="Q86" s="35"/>
      <c r="R86" s="33"/>
      <c r="S86" s="33"/>
      <c r="T86" s="33"/>
      <c r="U86" s="33"/>
      <c r="V86" s="33"/>
      <c r="W86" s="33"/>
    </row>
    <row r="87" customFormat="false" ht="15" hidden="false" customHeight="false" outlineLevel="0" collapsed="false">
      <c r="A87" s="33"/>
      <c r="B87" s="33"/>
      <c r="C87" s="33"/>
      <c r="D87" s="33"/>
      <c r="E87" s="33"/>
      <c r="F87" s="33"/>
      <c r="G87" s="33"/>
      <c r="H87" s="33"/>
      <c r="I87" s="33"/>
      <c r="J87" s="33"/>
      <c r="K87" s="33"/>
      <c r="L87" s="34"/>
      <c r="M87" s="34"/>
      <c r="N87" s="34"/>
      <c r="O87" s="34"/>
      <c r="P87" s="33"/>
      <c r="Q87" s="35"/>
      <c r="R87" s="33"/>
      <c r="S87" s="33"/>
      <c r="T87" s="33"/>
      <c r="U87" s="33"/>
      <c r="V87" s="33"/>
      <c r="W87" s="33"/>
    </row>
    <row r="88" customFormat="false" ht="15" hidden="false" customHeight="false" outlineLevel="0" collapsed="false">
      <c r="A88" s="33"/>
      <c r="B88" s="33"/>
      <c r="C88" s="33"/>
      <c r="D88" s="33"/>
      <c r="E88" s="33"/>
      <c r="F88" s="33"/>
      <c r="G88" s="33"/>
      <c r="H88" s="33"/>
      <c r="I88" s="33"/>
      <c r="J88" s="33"/>
      <c r="K88" s="33"/>
      <c r="L88" s="34"/>
      <c r="M88" s="34"/>
      <c r="N88" s="34"/>
      <c r="O88" s="34"/>
      <c r="P88" s="33"/>
      <c r="Q88" s="35"/>
      <c r="R88" s="33"/>
      <c r="S88" s="33"/>
      <c r="T88" s="33"/>
      <c r="U88" s="33"/>
      <c r="V88" s="33"/>
      <c r="W88" s="33"/>
    </row>
    <row r="89" customFormat="false" ht="15" hidden="false" customHeight="false" outlineLevel="0" collapsed="false">
      <c r="A89" s="33"/>
      <c r="B89" s="33"/>
      <c r="C89" s="33"/>
      <c r="D89" s="33"/>
      <c r="E89" s="33"/>
      <c r="F89" s="33"/>
      <c r="G89" s="33"/>
      <c r="H89" s="33"/>
      <c r="I89" s="33"/>
      <c r="J89" s="33"/>
      <c r="K89" s="33"/>
      <c r="L89" s="34"/>
      <c r="M89" s="34"/>
      <c r="N89" s="34"/>
      <c r="O89" s="34"/>
      <c r="P89" s="33"/>
      <c r="Q89" s="35"/>
      <c r="R89" s="33"/>
      <c r="S89" s="33"/>
      <c r="T89" s="33"/>
      <c r="U89" s="33"/>
      <c r="V89" s="33"/>
      <c r="W89" s="33"/>
    </row>
    <row r="90" customFormat="false" ht="15" hidden="false" customHeight="false" outlineLevel="0" collapsed="false">
      <c r="A90" s="33"/>
      <c r="B90" s="33"/>
      <c r="C90" s="33"/>
      <c r="D90" s="33"/>
      <c r="E90" s="33"/>
      <c r="F90" s="33"/>
      <c r="G90" s="33"/>
      <c r="H90" s="33"/>
      <c r="I90" s="33"/>
      <c r="J90" s="33"/>
      <c r="K90" s="33"/>
      <c r="L90" s="34"/>
      <c r="M90" s="34"/>
      <c r="N90" s="34"/>
      <c r="O90" s="34"/>
      <c r="P90" s="33"/>
      <c r="Q90" s="35"/>
      <c r="R90" s="33"/>
      <c r="S90" s="33"/>
      <c r="T90" s="33"/>
      <c r="U90" s="33"/>
      <c r="V90" s="33"/>
      <c r="W90" s="33"/>
    </row>
    <row r="91" customFormat="false" ht="15" hidden="false" customHeight="false" outlineLevel="0" collapsed="false">
      <c r="A91" s="33"/>
      <c r="B91" s="33"/>
      <c r="C91" s="33"/>
      <c r="D91" s="33"/>
      <c r="E91" s="33"/>
      <c r="F91" s="33"/>
      <c r="G91" s="33"/>
      <c r="H91" s="33"/>
      <c r="I91" s="33"/>
      <c r="J91" s="33"/>
      <c r="K91" s="33"/>
      <c r="L91" s="34"/>
      <c r="M91" s="34"/>
      <c r="N91" s="34"/>
      <c r="O91" s="34"/>
      <c r="P91" s="33"/>
      <c r="Q91" s="35"/>
      <c r="R91" s="33"/>
      <c r="S91" s="33"/>
      <c r="T91" s="33"/>
      <c r="U91" s="33"/>
      <c r="V91" s="33"/>
      <c r="W91" s="33"/>
    </row>
    <row r="92" customFormat="false" ht="15" hidden="false" customHeight="false" outlineLevel="0" collapsed="false">
      <c r="A92" s="33"/>
      <c r="B92" s="33"/>
      <c r="C92" s="33"/>
      <c r="D92" s="33"/>
      <c r="E92" s="33"/>
      <c r="F92" s="33"/>
      <c r="G92" s="33"/>
      <c r="H92" s="33"/>
      <c r="I92" s="33"/>
      <c r="J92" s="33"/>
      <c r="K92" s="33"/>
      <c r="L92" s="34"/>
      <c r="M92" s="34"/>
      <c r="N92" s="34"/>
      <c r="O92" s="34"/>
      <c r="P92" s="33"/>
      <c r="Q92" s="35"/>
      <c r="R92" s="33"/>
      <c r="S92" s="33"/>
      <c r="T92" s="33"/>
      <c r="U92" s="33"/>
      <c r="V92" s="33"/>
      <c r="W92" s="33"/>
    </row>
    <row r="93" customFormat="false" ht="15" hidden="false" customHeight="false" outlineLevel="0" collapsed="false">
      <c r="A93" s="33"/>
      <c r="B93" s="33"/>
      <c r="C93" s="33"/>
      <c r="D93" s="33"/>
      <c r="E93" s="33"/>
      <c r="F93" s="33"/>
      <c r="G93" s="33"/>
      <c r="H93" s="33"/>
      <c r="I93" s="33"/>
      <c r="J93" s="33"/>
      <c r="K93" s="33"/>
      <c r="L93" s="34"/>
      <c r="M93" s="34"/>
      <c r="N93" s="34"/>
      <c r="O93" s="34"/>
      <c r="P93" s="33"/>
      <c r="Q93" s="35"/>
      <c r="R93" s="33"/>
      <c r="S93" s="33"/>
      <c r="T93" s="33"/>
      <c r="U93" s="33"/>
      <c r="V93" s="33"/>
      <c r="W93" s="33"/>
    </row>
    <row r="94" customFormat="false" ht="15" hidden="false" customHeight="false" outlineLevel="0" collapsed="false">
      <c r="A94" s="33"/>
      <c r="B94" s="33"/>
      <c r="C94" s="33"/>
      <c r="D94" s="33"/>
      <c r="E94" s="33"/>
      <c r="F94" s="33"/>
      <c r="G94" s="33"/>
      <c r="H94" s="33"/>
      <c r="I94" s="33"/>
      <c r="J94" s="33"/>
      <c r="K94" s="33"/>
      <c r="L94" s="34"/>
      <c r="M94" s="34"/>
      <c r="N94" s="34"/>
      <c r="O94" s="34"/>
      <c r="P94" s="33"/>
      <c r="Q94" s="35"/>
      <c r="R94" s="33"/>
      <c r="S94" s="33"/>
      <c r="T94" s="33"/>
      <c r="U94" s="33"/>
      <c r="V94" s="33"/>
      <c r="W94" s="33"/>
    </row>
    <row r="95" customFormat="false" ht="15" hidden="false" customHeight="false" outlineLevel="0" collapsed="false">
      <c r="A95" s="33"/>
      <c r="B95" s="33"/>
      <c r="C95" s="33"/>
      <c r="D95" s="33"/>
      <c r="E95" s="33"/>
      <c r="F95" s="33"/>
      <c r="G95" s="33"/>
      <c r="H95" s="33"/>
      <c r="I95" s="33"/>
      <c r="J95" s="33"/>
      <c r="K95" s="33"/>
      <c r="L95" s="34"/>
      <c r="M95" s="34"/>
      <c r="N95" s="34"/>
      <c r="O95" s="34"/>
      <c r="P95" s="33"/>
      <c r="Q95" s="35"/>
      <c r="R95" s="33"/>
      <c r="S95" s="33"/>
      <c r="T95" s="33"/>
      <c r="U95" s="33"/>
      <c r="V95" s="33"/>
      <c r="W95" s="33"/>
    </row>
    <row r="96" customFormat="false" ht="15" hidden="false" customHeight="false" outlineLevel="0" collapsed="false">
      <c r="A96" s="33"/>
      <c r="B96" s="33"/>
      <c r="C96" s="33"/>
      <c r="D96" s="33"/>
      <c r="E96" s="33"/>
      <c r="F96" s="33"/>
      <c r="G96" s="33"/>
      <c r="H96" s="33"/>
      <c r="I96" s="33"/>
      <c r="J96" s="33"/>
      <c r="K96" s="33"/>
      <c r="L96" s="34"/>
      <c r="M96" s="34"/>
      <c r="N96" s="34"/>
      <c r="O96" s="34"/>
      <c r="P96" s="33"/>
      <c r="Q96" s="35"/>
      <c r="R96" s="33"/>
      <c r="S96" s="33"/>
      <c r="T96" s="33"/>
      <c r="U96" s="33"/>
      <c r="V96" s="33"/>
      <c r="W96" s="33"/>
    </row>
    <row r="97" customFormat="false" ht="15" hidden="false" customHeight="false" outlineLevel="0" collapsed="false">
      <c r="A97" s="33"/>
      <c r="B97" s="33"/>
      <c r="C97" s="33"/>
      <c r="D97" s="33"/>
      <c r="E97" s="33"/>
      <c r="F97" s="33"/>
      <c r="G97" s="33"/>
      <c r="H97" s="33"/>
      <c r="I97" s="33"/>
      <c r="J97" s="33"/>
      <c r="K97" s="33"/>
      <c r="L97" s="34"/>
      <c r="M97" s="34"/>
      <c r="N97" s="34"/>
      <c r="O97" s="34"/>
      <c r="P97" s="33"/>
      <c r="Q97" s="35"/>
      <c r="R97" s="33"/>
      <c r="S97" s="33"/>
      <c r="T97" s="33"/>
      <c r="U97" s="33"/>
      <c r="V97" s="33"/>
      <c r="W97" s="33"/>
    </row>
    <row r="98" customFormat="false" ht="15" hidden="false" customHeight="false" outlineLevel="0" collapsed="false">
      <c r="A98" s="33"/>
      <c r="B98" s="33"/>
      <c r="C98" s="33"/>
      <c r="D98" s="33"/>
      <c r="E98" s="33"/>
      <c r="F98" s="33"/>
      <c r="G98" s="33"/>
      <c r="H98" s="33"/>
      <c r="I98" s="33"/>
      <c r="J98" s="33"/>
      <c r="K98" s="33"/>
      <c r="L98" s="34"/>
      <c r="M98" s="34"/>
      <c r="N98" s="34"/>
      <c r="O98" s="34"/>
      <c r="P98" s="33"/>
      <c r="Q98" s="35"/>
      <c r="R98" s="33"/>
      <c r="S98" s="33"/>
      <c r="T98" s="33"/>
      <c r="U98" s="33"/>
      <c r="V98" s="33"/>
      <c r="W98" s="33"/>
    </row>
    <row r="99" customFormat="false" ht="15" hidden="false" customHeight="false" outlineLevel="0" collapsed="false">
      <c r="A99" s="33"/>
      <c r="B99" s="33"/>
      <c r="C99" s="33"/>
      <c r="D99" s="33"/>
      <c r="E99" s="33"/>
      <c r="F99" s="33"/>
      <c r="G99" s="33"/>
      <c r="H99" s="33"/>
      <c r="I99" s="33"/>
      <c r="J99" s="33"/>
      <c r="K99" s="33"/>
      <c r="L99" s="34"/>
      <c r="M99" s="34"/>
      <c r="N99" s="34"/>
      <c r="O99" s="34"/>
      <c r="P99" s="33"/>
      <c r="Q99" s="35"/>
      <c r="R99" s="33"/>
      <c r="S99" s="33"/>
      <c r="T99" s="33"/>
      <c r="U99" s="33"/>
      <c r="V99" s="33"/>
      <c r="W99" s="33"/>
    </row>
    <row r="100" customFormat="false" ht="15" hidden="false" customHeight="false" outlineLevel="0" collapsed="false">
      <c r="A100" s="33"/>
      <c r="B100" s="33"/>
      <c r="C100" s="33"/>
      <c r="D100" s="33"/>
      <c r="E100" s="33"/>
      <c r="F100" s="33"/>
      <c r="G100" s="33"/>
      <c r="H100" s="33"/>
      <c r="I100" s="33"/>
      <c r="J100" s="33"/>
      <c r="K100" s="33"/>
      <c r="L100" s="34"/>
      <c r="M100" s="34"/>
      <c r="N100" s="34"/>
      <c r="O100" s="34"/>
      <c r="P100" s="33"/>
      <c r="Q100" s="35"/>
      <c r="R100" s="33"/>
      <c r="S100" s="33"/>
      <c r="T100" s="33"/>
      <c r="U100" s="33"/>
      <c r="V100" s="33"/>
      <c r="W100" s="33"/>
    </row>
    <row r="101" customFormat="false" ht="15" hidden="false" customHeight="false" outlineLevel="0" collapsed="false">
      <c r="A101" s="33"/>
      <c r="B101" s="33"/>
      <c r="C101" s="33"/>
      <c r="D101" s="33"/>
      <c r="E101" s="33"/>
      <c r="F101" s="33"/>
      <c r="G101" s="33"/>
      <c r="H101" s="33"/>
      <c r="I101" s="33"/>
      <c r="J101" s="33"/>
      <c r="K101" s="33"/>
      <c r="L101" s="34"/>
      <c r="M101" s="34"/>
      <c r="N101" s="34"/>
      <c r="O101" s="34"/>
      <c r="P101" s="33"/>
      <c r="Q101" s="35"/>
      <c r="R101" s="33"/>
      <c r="S101" s="33"/>
      <c r="T101" s="33"/>
      <c r="U101" s="33"/>
      <c r="V101" s="33"/>
      <c r="W101" s="33"/>
    </row>
    <row r="102" customFormat="false" ht="15" hidden="false" customHeight="false" outlineLevel="0" collapsed="false">
      <c r="A102" s="33"/>
      <c r="B102" s="33"/>
      <c r="C102" s="33"/>
      <c r="D102" s="33"/>
      <c r="E102" s="33"/>
      <c r="F102" s="33"/>
      <c r="G102" s="33"/>
      <c r="H102" s="33"/>
      <c r="I102" s="33"/>
      <c r="J102" s="33"/>
      <c r="K102" s="33"/>
      <c r="L102" s="34"/>
      <c r="M102" s="34"/>
      <c r="N102" s="34"/>
      <c r="O102" s="34"/>
      <c r="P102" s="33"/>
      <c r="Q102" s="35"/>
      <c r="R102" s="33"/>
      <c r="S102" s="33"/>
      <c r="T102" s="33"/>
      <c r="U102" s="33"/>
      <c r="V102" s="33"/>
      <c r="W102" s="33"/>
    </row>
    <row r="103" customFormat="false" ht="15" hidden="false" customHeight="false" outlineLevel="0" collapsed="false">
      <c r="A103" s="33"/>
      <c r="B103" s="33"/>
      <c r="C103" s="33"/>
      <c r="D103" s="33"/>
      <c r="E103" s="33"/>
      <c r="F103" s="33"/>
      <c r="G103" s="33"/>
      <c r="H103" s="33"/>
      <c r="I103" s="33"/>
      <c r="J103" s="33"/>
      <c r="K103" s="33"/>
      <c r="L103" s="34"/>
      <c r="M103" s="34"/>
      <c r="N103" s="34"/>
      <c r="O103" s="34"/>
      <c r="P103" s="33"/>
      <c r="Q103" s="35"/>
      <c r="R103" s="33"/>
      <c r="S103" s="33"/>
      <c r="T103" s="33"/>
      <c r="U103" s="33"/>
      <c r="V103" s="33"/>
      <c r="W103" s="33"/>
    </row>
    <row r="104" customFormat="false" ht="15" hidden="false" customHeight="false" outlineLevel="0" collapsed="false">
      <c r="A104" s="33"/>
      <c r="B104" s="33"/>
      <c r="C104" s="33"/>
      <c r="D104" s="33"/>
      <c r="E104" s="33"/>
      <c r="F104" s="33"/>
      <c r="G104" s="33"/>
      <c r="H104" s="33"/>
      <c r="I104" s="33"/>
      <c r="J104" s="33"/>
      <c r="K104" s="33"/>
      <c r="L104" s="34"/>
      <c r="M104" s="34"/>
      <c r="N104" s="34"/>
      <c r="O104" s="34"/>
      <c r="P104" s="33"/>
      <c r="Q104" s="35"/>
      <c r="R104" s="33"/>
      <c r="S104" s="33"/>
      <c r="T104" s="33"/>
      <c r="U104" s="33"/>
      <c r="V104" s="33"/>
      <c r="W104" s="33"/>
    </row>
    <row r="105" customFormat="false" ht="15" hidden="false" customHeight="false" outlineLevel="0" collapsed="false">
      <c r="A105" s="33"/>
      <c r="B105" s="33"/>
      <c r="C105" s="33"/>
      <c r="D105" s="33"/>
      <c r="E105" s="33"/>
      <c r="F105" s="33"/>
      <c r="G105" s="33"/>
      <c r="H105" s="33"/>
      <c r="I105" s="33"/>
      <c r="J105" s="33"/>
      <c r="K105" s="33"/>
      <c r="L105" s="34"/>
      <c r="M105" s="34"/>
      <c r="N105" s="34"/>
      <c r="O105" s="34"/>
      <c r="P105" s="33"/>
      <c r="Q105" s="35"/>
      <c r="R105" s="33"/>
      <c r="S105" s="33"/>
      <c r="T105" s="33"/>
      <c r="U105" s="33"/>
      <c r="V105" s="33"/>
      <c r="W105" s="33"/>
    </row>
    <row r="106" customFormat="false" ht="15" hidden="false" customHeight="false" outlineLevel="0" collapsed="false">
      <c r="A106" s="33"/>
      <c r="B106" s="33"/>
      <c r="C106" s="33"/>
      <c r="D106" s="33"/>
      <c r="E106" s="33"/>
      <c r="F106" s="33"/>
      <c r="G106" s="33"/>
      <c r="H106" s="33"/>
      <c r="I106" s="33"/>
      <c r="J106" s="33"/>
      <c r="K106" s="33"/>
      <c r="L106" s="34"/>
      <c r="M106" s="34"/>
      <c r="N106" s="34"/>
      <c r="O106" s="34"/>
      <c r="P106" s="33"/>
      <c r="Q106" s="35"/>
      <c r="R106" s="33"/>
      <c r="S106" s="33"/>
      <c r="T106" s="33"/>
      <c r="U106" s="33"/>
      <c r="V106" s="33"/>
      <c r="W106" s="33"/>
    </row>
    <row r="107" customFormat="false" ht="15" hidden="false" customHeight="false" outlineLevel="0" collapsed="false">
      <c r="A107" s="33"/>
      <c r="B107" s="33"/>
      <c r="C107" s="33"/>
      <c r="D107" s="33"/>
      <c r="E107" s="33"/>
      <c r="F107" s="33"/>
      <c r="G107" s="33"/>
      <c r="H107" s="33"/>
      <c r="I107" s="33"/>
      <c r="J107" s="33"/>
      <c r="K107" s="33"/>
      <c r="L107" s="34"/>
      <c r="M107" s="34"/>
      <c r="N107" s="34"/>
      <c r="O107" s="34"/>
      <c r="P107" s="33"/>
      <c r="Q107" s="35"/>
      <c r="R107" s="33"/>
      <c r="S107" s="33"/>
      <c r="T107" s="33"/>
      <c r="U107" s="33"/>
      <c r="V107" s="33"/>
      <c r="W107" s="33"/>
    </row>
    <row r="108" customFormat="false" ht="15" hidden="false" customHeight="false" outlineLevel="0" collapsed="false">
      <c r="A108" s="33"/>
      <c r="B108" s="33"/>
      <c r="C108" s="33"/>
      <c r="D108" s="33"/>
      <c r="E108" s="33"/>
      <c r="F108" s="33"/>
      <c r="G108" s="33"/>
      <c r="H108" s="33"/>
      <c r="I108" s="33"/>
      <c r="J108" s="33"/>
      <c r="K108" s="33"/>
      <c r="L108" s="34"/>
      <c r="M108" s="34"/>
      <c r="N108" s="34"/>
      <c r="O108" s="34"/>
      <c r="P108" s="33"/>
      <c r="Q108" s="35"/>
      <c r="R108" s="33"/>
      <c r="S108" s="33"/>
      <c r="T108" s="33"/>
      <c r="U108" s="33"/>
      <c r="V108" s="33"/>
      <c r="W108" s="33"/>
    </row>
    <row r="109" customFormat="false" ht="15" hidden="false" customHeight="false" outlineLevel="0" collapsed="false">
      <c r="A109" s="33"/>
      <c r="B109" s="33"/>
      <c r="C109" s="33"/>
      <c r="D109" s="33"/>
      <c r="E109" s="33"/>
      <c r="F109" s="33"/>
      <c r="G109" s="33"/>
      <c r="H109" s="33"/>
      <c r="I109" s="33"/>
      <c r="J109" s="33"/>
      <c r="K109" s="33"/>
      <c r="L109" s="34"/>
      <c r="M109" s="34"/>
      <c r="N109" s="34"/>
      <c r="O109" s="34"/>
      <c r="P109" s="33"/>
      <c r="Q109" s="35"/>
      <c r="R109" s="33"/>
      <c r="S109" s="33"/>
      <c r="T109" s="33"/>
      <c r="U109" s="33"/>
      <c r="V109" s="33"/>
      <c r="W109" s="33"/>
    </row>
    <row r="110" customFormat="false" ht="15" hidden="false" customHeight="false" outlineLevel="0" collapsed="false">
      <c r="A110" s="33"/>
      <c r="B110" s="33"/>
      <c r="C110" s="33"/>
      <c r="D110" s="33"/>
      <c r="E110" s="33"/>
      <c r="F110" s="33"/>
      <c r="G110" s="33"/>
      <c r="H110" s="33"/>
      <c r="I110" s="33"/>
      <c r="J110" s="33"/>
      <c r="K110" s="33"/>
      <c r="L110" s="34"/>
      <c r="M110" s="34"/>
      <c r="N110" s="34"/>
      <c r="O110" s="34"/>
      <c r="P110" s="33"/>
      <c r="Q110" s="35"/>
      <c r="R110" s="33"/>
      <c r="S110" s="33"/>
      <c r="T110" s="33"/>
      <c r="U110" s="33"/>
      <c r="V110" s="33"/>
      <c r="W110" s="33"/>
    </row>
    <row r="111" customFormat="false" ht="15" hidden="false" customHeight="false" outlineLevel="0" collapsed="false">
      <c r="A111" s="33"/>
      <c r="B111" s="33"/>
      <c r="C111" s="33"/>
      <c r="D111" s="33"/>
      <c r="E111" s="33"/>
      <c r="F111" s="33"/>
      <c r="G111" s="33"/>
      <c r="H111" s="33"/>
      <c r="I111" s="33"/>
      <c r="J111" s="33"/>
      <c r="K111" s="33"/>
      <c r="L111" s="34"/>
      <c r="M111" s="34"/>
      <c r="N111" s="34"/>
      <c r="O111" s="34"/>
      <c r="P111" s="33"/>
      <c r="Q111" s="35"/>
      <c r="R111" s="33"/>
      <c r="S111" s="33"/>
      <c r="T111" s="33"/>
      <c r="U111" s="33"/>
      <c r="V111" s="33"/>
      <c r="W111" s="33"/>
    </row>
    <row r="112" customFormat="false" ht="15" hidden="false" customHeight="false" outlineLevel="0" collapsed="false">
      <c r="A112" s="33"/>
      <c r="B112" s="33"/>
      <c r="C112" s="33"/>
      <c r="D112" s="33"/>
      <c r="E112" s="33"/>
      <c r="F112" s="33"/>
      <c r="G112" s="33"/>
      <c r="H112" s="33"/>
      <c r="I112" s="33"/>
      <c r="J112" s="33"/>
      <c r="K112" s="33"/>
      <c r="L112" s="34"/>
      <c r="M112" s="34"/>
      <c r="N112" s="34"/>
      <c r="O112" s="34"/>
      <c r="P112" s="33"/>
      <c r="Q112" s="35"/>
      <c r="R112" s="33"/>
      <c r="S112" s="33"/>
      <c r="T112" s="33"/>
      <c r="U112" s="33"/>
      <c r="V112" s="33"/>
      <c r="W112" s="33"/>
    </row>
    <row r="113" customFormat="false" ht="15" hidden="false" customHeight="false" outlineLevel="0" collapsed="false">
      <c r="A113" s="33"/>
      <c r="B113" s="33"/>
      <c r="C113" s="33"/>
      <c r="D113" s="33"/>
      <c r="E113" s="33"/>
      <c r="F113" s="33"/>
      <c r="G113" s="33"/>
      <c r="H113" s="33"/>
      <c r="I113" s="33"/>
      <c r="J113" s="33"/>
      <c r="K113" s="33"/>
      <c r="L113" s="34"/>
      <c r="M113" s="34"/>
      <c r="N113" s="34"/>
      <c r="O113" s="34"/>
      <c r="P113" s="33"/>
      <c r="Q113" s="35"/>
      <c r="R113" s="33"/>
      <c r="S113" s="33"/>
      <c r="T113" s="33"/>
      <c r="U113" s="33"/>
      <c r="V113" s="33"/>
      <c r="W113" s="33"/>
    </row>
    <row r="114" customFormat="false" ht="15" hidden="false" customHeight="false" outlineLevel="0" collapsed="false">
      <c r="A114" s="33"/>
      <c r="B114" s="33"/>
      <c r="C114" s="33"/>
      <c r="D114" s="33"/>
      <c r="E114" s="33"/>
      <c r="F114" s="33"/>
      <c r="G114" s="33"/>
      <c r="H114" s="33"/>
      <c r="I114" s="33"/>
      <c r="J114" s="33"/>
      <c r="K114" s="33"/>
      <c r="L114" s="34"/>
      <c r="M114" s="34"/>
      <c r="N114" s="34"/>
      <c r="O114" s="34"/>
      <c r="P114" s="33"/>
      <c r="Q114" s="35"/>
      <c r="R114" s="33"/>
      <c r="S114" s="33"/>
      <c r="T114" s="33"/>
      <c r="U114" s="33"/>
      <c r="V114" s="33"/>
      <c r="W114" s="33"/>
    </row>
    <row r="115" customFormat="false" ht="15" hidden="false" customHeight="false" outlineLevel="0" collapsed="false">
      <c r="A115" s="33"/>
      <c r="B115" s="33"/>
      <c r="C115" s="33"/>
      <c r="D115" s="33"/>
      <c r="E115" s="33"/>
      <c r="F115" s="33"/>
      <c r="G115" s="33"/>
      <c r="H115" s="33"/>
      <c r="I115" s="33"/>
      <c r="J115" s="33"/>
      <c r="K115" s="33"/>
      <c r="L115" s="34"/>
      <c r="M115" s="34"/>
      <c r="N115" s="34"/>
      <c r="O115" s="34"/>
      <c r="P115" s="33"/>
      <c r="Q115" s="35"/>
      <c r="R115" s="33"/>
      <c r="S115" s="33"/>
      <c r="T115" s="33"/>
      <c r="U115" s="33"/>
      <c r="V115" s="33"/>
      <c r="W115" s="33"/>
    </row>
    <row r="116" customFormat="false" ht="15" hidden="false" customHeight="false" outlineLevel="0" collapsed="false">
      <c r="A116" s="33"/>
      <c r="B116" s="33"/>
      <c r="C116" s="33"/>
      <c r="D116" s="33"/>
      <c r="E116" s="33"/>
      <c r="F116" s="33"/>
      <c r="G116" s="33"/>
      <c r="H116" s="33"/>
      <c r="I116" s="33"/>
      <c r="J116" s="33"/>
      <c r="K116" s="33"/>
      <c r="L116" s="34"/>
      <c r="M116" s="34"/>
      <c r="N116" s="34"/>
      <c r="O116" s="34"/>
      <c r="P116" s="33"/>
      <c r="Q116" s="35"/>
      <c r="R116" s="33"/>
      <c r="S116" s="33"/>
      <c r="T116" s="33"/>
      <c r="U116" s="33"/>
      <c r="V116" s="33"/>
      <c r="W116" s="33"/>
    </row>
    <row r="117" customFormat="false" ht="15" hidden="false" customHeight="false" outlineLevel="0" collapsed="false">
      <c r="A117" s="33"/>
      <c r="B117" s="33"/>
      <c r="C117" s="33"/>
      <c r="D117" s="33"/>
      <c r="E117" s="33"/>
      <c r="F117" s="33"/>
      <c r="G117" s="33"/>
      <c r="H117" s="33"/>
      <c r="I117" s="33"/>
      <c r="J117" s="33"/>
      <c r="K117" s="33"/>
      <c r="L117" s="34"/>
      <c r="M117" s="34"/>
      <c r="N117" s="34"/>
      <c r="O117" s="34"/>
      <c r="P117" s="33"/>
      <c r="Q117" s="35"/>
      <c r="R117" s="33"/>
      <c r="S117" s="33"/>
      <c r="T117" s="33"/>
      <c r="U117" s="33"/>
      <c r="V117" s="33"/>
      <c r="W117" s="33"/>
    </row>
    <row r="118" customFormat="false" ht="15" hidden="false" customHeight="false" outlineLevel="0" collapsed="false">
      <c r="A118" s="33"/>
      <c r="B118" s="33"/>
      <c r="C118" s="33"/>
      <c r="D118" s="33"/>
      <c r="E118" s="33"/>
      <c r="F118" s="33"/>
      <c r="G118" s="33"/>
      <c r="H118" s="33"/>
      <c r="I118" s="33"/>
      <c r="J118" s="33"/>
      <c r="K118" s="33"/>
      <c r="L118" s="34"/>
      <c r="M118" s="34"/>
      <c r="N118" s="34"/>
      <c r="O118" s="34"/>
      <c r="P118" s="33"/>
      <c r="Q118" s="35"/>
      <c r="R118" s="33"/>
      <c r="S118" s="33"/>
      <c r="T118" s="33"/>
      <c r="U118" s="33"/>
      <c r="V118" s="33"/>
      <c r="W118" s="33"/>
    </row>
    <row r="119" customFormat="false" ht="15" hidden="false" customHeight="false" outlineLevel="0" collapsed="false">
      <c r="A119" s="33"/>
      <c r="B119" s="33"/>
      <c r="C119" s="33"/>
      <c r="D119" s="33"/>
      <c r="E119" s="33"/>
      <c r="F119" s="33"/>
      <c r="G119" s="33"/>
      <c r="H119" s="33"/>
      <c r="I119" s="33"/>
      <c r="J119" s="33"/>
      <c r="K119" s="33"/>
      <c r="L119" s="34"/>
      <c r="M119" s="34"/>
      <c r="N119" s="34"/>
      <c r="O119" s="34"/>
      <c r="P119" s="33"/>
      <c r="Q119" s="35"/>
      <c r="R119" s="33"/>
      <c r="S119" s="33"/>
      <c r="T119" s="33"/>
      <c r="U119" s="33"/>
      <c r="V119" s="33"/>
      <c r="W119" s="33"/>
    </row>
    <row r="120" customFormat="false" ht="15" hidden="false" customHeight="false" outlineLevel="0" collapsed="false">
      <c r="A120" s="33"/>
      <c r="B120" s="33"/>
      <c r="C120" s="33"/>
      <c r="D120" s="33"/>
      <c r="E120" s="33"/>
      <c r="F120" s="33"/>
      <c r="G120" s="33"/>
      <c r="H120" s="33"/>
      <c r="I120" s="33"/>
      <c r="J120" s="33"/>
      <c r="K120" s="33"/>
      <c r="L120" s="34"/>
      <c r="M120" s="34"/>
      <c r="N120" s="34"/>
      <c r="O120" s="34"/>
      <c r="P120" s="33"/>
      <c r="Q120" s="35"/>
      <c r="R120" s="33"/>
      <c r="S120" s="33"/>
      <c r="T120" s="33"/>
      <c r="U120" s="33"/>
      <c r="V120" s="33"/>
      <c r="W120" s="33"/>
    </row>
    <row r="121" customFormat="false" ht="15" hidden="false" customHeight="false" outlineLevel="0" collapsed="false">
      <c r="A121" s="33"/>
      <c r="B121" s="33"/>
      <c r="C121" s="33"/>
      <c r="D121" s="33"/>
      <c r="E121" s="33"/>
      <c r="F121" s="33"/>
      <c r="G121" s="33"/>
      <c r="H121" s="33"/>
      <c r="I121" s="33"/>
      <c r="J121" s="33"/>
      <c r="K121" s="33"/>
      <c r="L121" s="34"/>
      <c r="M121" s="34"/>
      <c r="N121" s="34"/>
      <c r="O121" s="34"/>
      <c r="P121" s="33"/>
      <c r="Q121" s="35"/>
      <c r="R121" s="33"/>
      <c r="S121" s="33"/>
      <c r="T121" s="33"/>
      <c r="U121" s="33"/>
      <c r="V121" s="33"/>
      <c r="W121" s="33"/>
    </row>
    <row r="122" customFormat="false" ht="15" hidden="false" customHeight="false" outlineLevel="0" collapsed="false">
      <c r="A122" s="33"/>
      <c r="B122" s="33"/>
      <c r="C122" s="33"/>
      <c r="D122" s="33"/>
      <c r="E122" s="33"/>
      <c r="F122" s="33"/>
      <c r="G122" s="33"/>
      <c r="H122" s="33"/>
      <c r="I122" s="33"/>
      <c r="J122" s="33"/>
      <c r="K122" s="33"/>
      <c r="L122" s="34"/>
      <c r="M122" s="34"/>
      <c r="N122" s="34"/>
      <c r="O122" s="34"/>
      <c r="P122" s="33"/>
      <c r="Q122" s="35"/>
      <c r="R122" s="33"/>
      <c r="S122" s="33"/>
      <c r="T122" s="33"/>
      <c r="U122" s="33"/>
      <c r="V122" s="33"/>
      <c r="W122" s="33"/>
    </row>
    <row r="123" customFormat="false" ht="15" hidden="false" customHeight="false" outlineLevel="0" collapsed="false">
      <c r="A123" s="33"/>
      <c r="B123" s="33"/>
      <c r="C123" s="33"/>
      <c r="D123" s="33"/>
      <c r="E123" s="33"/>
      <c r="F123" s="33"/>
      <c r="G123" s="33"/>
      <c r="H123" s="33"/>
      <c r="I123" s="33"/>
      <c r="J123" s="33"/>
      <c r="K123" s="33"/>
      <c r="L123" s="34"/>
      <c r="M123" s="34"/>
      <c r="N123" s="34"/>
      <c r="O123" s="34"/>
      <c r="P123" s="33"/>
      <c r="Q123" s="35"/>
      <c r="R123" s="33"/>
      <c r="S123" s="33"/>
      <c r="T123" s="33"/>
      <c r="U123" s="33"/>
      <c r="V123" s="33"/>
      <c r="W123" s="33"/>
    </row>
    <row r="124" customFormat="false" ht="15" hidden="false" customHeight="false" outlineLevel="0" collapsed="false">
      <c r="A124" s="33"/>
      <c r="B124" s="33"/>
      <c r="C124" s="33"/>
      <c r="D124" s="33"/>
      <c r="E124" s="33"/>
      <c r="F124" s="33"/>
      <c r="G124" s="33"/>
      <c r="H124" s="33"/>
      <c r="I124" s="33"/>
      <c r="J124" s="33"/>
      <c r="K124" s="33"/>
      <c r="L124" s="34"/>
      <c r="M124" s="34"/>
      <c r="N124" s="34"/>
      <c r="O124" s="34"/>
      <c r="P124" s="33"/>
      <c r="Q124" s="35"/>
      <c r="R124" s="33"/>
      <c r="S124" s="33"/>
      <c r="T124" s="33"/>
      <c r="U124" s="33"/>
      <c r="V124" s="33"/>
      <c r="W124" s="33"/>
    </row>
    <row r="125" customFormat="false" ht="15" hidden="false" customHeight="false" outlineLevel="0" collapsed="false">
      <c r="A125" s="33"/>
      <c r="B125" s="33"/>
      <c r="C125" s="33"/>
      <c r="D125" s="33"/>
      <c r="E125" s="33"/>
      <c r="F125" s="33"/>
      <c r="G125" s="33"/>
      <c r="H125" s="33"/>
      <c r="I125" s="33"/>
      <c r="J125" s="33"/>
      <c r="K125" s="33"/>
      <c r="L125" s="34"/>
      <c r="M125" s="34"/>
      <c r="N125" s="34"/>
      <c r="O125" s="34"/>
      <c r="P125" s="33"/>
      <c r="Q125" s="35"/>
      <c r="R125" s="33"/>
      <c r="S125" s="33"/>
      <c r="T125" s="33"/>
      <c r="U125" s="33"/>
      <c r="V125" s="33"/>
      <c r="W125" s="33"/>
    </row>
    <row r="126" customFormat="false" ht="15" hidden="false" customHeight="false" outlineLevel="0" collapsed="false">
      <c r="A126" s="33"/>
      <c r="B126" s="33"/>
      <c r="C126" s="33"/>
      <c r="D126" s="33"/>
      <c r="E126" s="33"/>
      <c r="F126" s="33"/>
      <c r="G126" s="33"/>
      <c r="H126" s="33"/>
      <c r="I126" s="33"/>
      <c r="J126" s="33"/>
      <c r="K126" s="33"/>
      <c r="L126" s="34"/>
      <c r="M126" s="34"/>
      <c r="N126" s="34"/>
      <c r="O126" s="34"/>
      <c r="P126" s="33"/>
      <c r="Q126" s="35"/>
      <c r="R126" s="33"/>
      <c r="S126" s="33"/>
      <c r="T126" s="33"/>
      <c r="U126" s="33"/>
      <c r="V126" s="33"/>
      <c r="W126" s="33"/>
    </row>
    <row r="127" customFormat="false" ht="15" hidden="false" customHeight="false" outlineLevel="0" collapsed="false">
      <c r="A127" s="33"/>
      <c r="B127" s="33"/>
      <c r="C127" s="33"/>
      <c r="D127" s="33"/>
      <c r="E127" s="33"/>
      <c r="F127" s="33"/>
      <c r="G127" s="33"/>
      <c r="H127" s="33"/>
      <c r="I127" s="33"/>
      <c r="J127" s="33"/>
      <c r="K127" s="33"/>
      <c r="L127" s="34"/>
      <c r="M127" s="34"/>
      <c r="N127" s="34"/>
      <c r="O127" s="34"/>
      <c r="P127" s="33"/>
      <c r="Q127" s="35"/>
      <c r="R127" s="33"/>
      <c r="S127" s="33"/>
      <c r="T127" s="33"/>
      <c r="U127" s="33"/>
      <c r="V127" s="33"/>
      <c r="W127" s="33"/>
    </row>
    <row r="128" customFormat="false" ht="15" hidden="false" customHeight="false" outlineLevel="0" collapsed="false">
      <c r="A128" s="33"/>
      <c r="B128" s="33"/>
      <c r="C128" s="33"/>
      <c r="D128" s="33"/>
      <c r="E128" s="33"/>
      <c r="F128" s="33"/>
      <c r="G128" s="33"/>
      <c r="H128" s="33"/>
      <c r="I128" s="33"/>
      <c r="J128" s="33"/>
      <c r="K128" s="33"/>
      <c r="L128" s="34"/>
      <c r="M128" s="34"/>
      <c r="N128" s="34"/>
      <c r="O128" s="34"/>
      <c r="P128" s="33"/>
      <c r="Q128" s="35"/>
      <c r="R128" s="33"/>
      <c r="S128" s="33"/>
      <c r="T128" s="33"/>
      <c r="U128" s="33"/>
      <c r="V128" s="33"/>
      <c r="W128" s="33"/>
    </row>
    <row r="129" customFormat="false" ht="15" hidden="false" customHeight="false" outlineLevel="0" collapsed="false">
      <c r="A129" s="33"/>
      <c r="B129" s="33"/>
      <c r="C129" s="33"/>
      <c r="D129" s="33"/>
      <c r="E129" s="33"/>
      <c r="F129" s="33"/>
      <c r="G129" s="33"/>
      <c r="H129" s="33"/>
      <c r="I129" s="33"/>
      <c r="J129" s="33"/>
      <c r="K129" s="33"/>
      <c r="L129" s="34"/>
      <c r="M129" s="34"/>
      <c r="N129" s="34"/>
      <c r="O129" s="34"/>
      <c r="P129" s="33"/>
      <c r="Q129" s="35"/>
      <c r="R129" s="33"/>
      <c r="S129" s="33"/>
      <c r="T129" s="33"/>
      <c r="U129" s="33"/>
      <c r="V129" s="33"/>
      <c r="W129" s="33"/>
    </row>
    <row r="130" customFormat="false" ht="15" hidden="false" customHeight="false" outlineLevel="0" collapsed="false">
      <c r="A130" s="33"/>
      <c r="B130" s="33"/>
      <c r="C130" s="33"/>
      <c r="D130" s="33"/>
      <c r="E130" s="33"/>
      <c r="F130" s="33"/>
      <c r="G130" s="33"/>
      <c r="H130" s="33"/>
      <c r="I130" s="33"/>
      <c r="J130" s="33"/>
      <c r="K130" s="33"/>
      <c r="L130" s="34"/>
      <c r="M130" s="34"/>
      <c r="N130" s="34"/>
      <c r="O130" s="34"/>
      <c r="P130" s="33"/>
      <c r="Q130" s="35"/>
      <c r="R130" s="33"/>
      <c r="S130" s="33"/>
      <c r="T130" s="33"/>
      <c r="U130" s="33"/>
      <c r="V130" s="33"/>
      <c r="W130" s="33"/>
    </row>
    <row r="131" customFormat="false" ht="15" hidden="false" customHeight="false" outlineLevel="0" collapsed="false">
      <c r="A131" s="33"/>
      <c r="B131" s="33"/>
      <c r="C131" s="33"/>
      <c r="D131" s="33"/>
      <c r="E131" s="33"/>
      <c r="F131" s="33"/>
      <c r="G131" s="33"/>
      <c r="H131" s="33"/>
      <c r="I131" s="33"/>
      <c r="J131" s="33"/>
      <c r="K131" s="33"/>
      <c r="L131" s="34"/>
      <c r="M131" s="34"/>
      <c r="N131" s="34"/>
      <c r="O131" s="34"/>
      <c r="P131" s="33"/>
      <c r="Q131" s="35"/>
      <c r="R131" s="33"/>
      <c r="S131" s="33"/>
      <c r="T131" s="33"/>
      <c r="U131" s="33"/>
      <c r="V131" s="33"/>
      <c r="W131" s="33"/>
    </row>
    <row r="132" customFormat="false" ht="15" hidden="false" customHeight="false" outlineLevel="0" collapsed="false">
      <c r="A132" s="33"/>
      <c r="B132" s="33"/>
      <c r="C132" s="33"/>
      <c r="D132" s="33"/>
      <c r="E132" s="33"/>
      <c r="F132" s="33"/>
      <c r="G132" s="33"/>
      <c r="H132" s="33"/>
      <c r="I132" s="33"/>
      <c r="J132" s="33"/>
      <c r="K132" s="33"/>
      <c r="L132" s="34"/>
      <c r="M132" s="34"/>
      <c r="N132" s="34"/>
      <c r="O132" s="34"/>
      <c r="P132" s="33"/>
      <c r="Q132" s="35"/>
      <c r="R132" s="33"/>
      <c r="S132" s="33"/>
      <c r="T132" s="33"/>
      <c r="U132" s="33"/>
      <c r="V132" s="33"/>
      <c r="W132" s="33"/>
    </row>
    <row r="133" customFormat="false" ht="15" hidden="false" customHeight="false" outlineLevel="0" collapsed="false">
      <c r="A133" s="33"/>
      <c r="B133" s="33"/>
      <c r="C133" s="33"/>
      <c r="D133" s="33"/>
      <c r="E133" s="33"/>
      <c r="F133" s="33"/>
      <c r="G133" s="33"/>
      <c r="H133" s="33"/>
      <c r="I133" s="33"/>
      <c r="J133" s="33"/>
      <c r="K133" s="33"/>
      <c r="L133" s="34"/>
      <c r="M133" s="34"/>
      <c r="N133" s="34"/>
      <c r="O133" s="34"/>
      <c r="P133" s="33"/>
      <c r="Q133" s="35"/>
      <c r="R133" s="33"/>
      <c r="S133" s="33"/>
      <c r="T133" s="33"/>
      <c r="U133" s="33"/>
      <c r="V133" s="33"/>
      <c r="W133" s="33"/>
    </row>
    <row r="134" customFormat="false" ht="15" hidden="false" customHeight="false" outlineLevel="0" collapsed="false">
      <c r="A134" s="33"/>
      <c r="B134" s="33"/>
      <c r="C134" s="33"/>
      <c r="D134" s="33"/>
      <c r="E134" s="33"/>
      <c r="F134" s="33"/>
      <c r="G134" s="33"/>
      <c r="H134" s="33"/>
      <c r="I134" s="33"/>
      <c r="J134" s="33"/>
      <c r="K134" s="33"/>
      <c r="L134" s="34"/>
      <c r="M134" s="34"/>
      <c r="N134" s="34"/>
      <c r="O134" s="34"/>
      <c r="P134" s="33"/>
      <c r="Q134" s="35"/>
      <c r="R134" s="33"/>
      <c r="S134" s="33"/>
      <c r="T134" s="33"/>
      <c r="U134" s="33"/>
      <c r="V134" s="33"/>
      <c r="W134" s="33"/>
    </row>
    <row r="135" customFormat="false" ht="15" hidden="false" customHeight="false" outlineLevel="0" collapsed="false">
      <c r="A135" s="33"/>
      <c r="B135" s="33"/>
      <c r="C135" s="33"/>
      <c r="D135" s="33"/>
      <c r="E135" s="33"/>
      <c r="F135" s="33"/>
      <c r="G135" s="33"/>
      <c r="H135" s="33"/>
      <c r="I135" s="33"/>
      <c r="J135" s="33"/>
      <c r="K135" s="33"/>
      <c r="L135" s="34"/>
      <c r="M135" s="34"/>
      <c r="N135" s="34"/>
      <c r="O135" s="34"/>
      <c r="P135" s="33"/>
      <c r="Q135" s="35"/>
      <c r="R135" s="33"/>
      <c r="S135" s="33"/>
      <c r="T135" s="33"/>
      <c r="U135" s="33"/>
      <c r="V135" s="33"/>
      <c r="W135" s="33"/>
    </row>
    <row r="136" customFormat="false" ht="15" hidden="false" customHeight="false" outlineLevel="0" collapsed="false">
      <c r="A136" s="33"/>
      <c r="B136" s="33"/>
      <c r="C136" s="33"/>
      <c r="D136" s="33"/>
      <c r="E136" s="33"/>
      <c r="F136" s="33"/>
      <c r="G136" s="33"/>
      <c r="H136" s="33"/>
      <c r="I136" s="33"/>
      <c r="J136" s="33"/>
      <c r="K136" s="33"/>
      <c r="L136" s="34"/>
      <c r="M136" s="34"/>
      <c r="N136" s="34"/>
      <c r="O136" s="34"/>
      <c r="P136" s="33"/>
      <c r="Q136" s="35"/>
      <c r="R136" s="33"/>
      <c r="S136" s="33"/>
      <c r="T136" s="33"/>
      <c r="U136" s="33"/>
      <c r="V136" s="33"/>
      <c r="W136" s="33"/>
    </row>
    <row r="137" customFormat="false" ht="15" hidden="false" customHeight="false" outlineLevel="0" collapsed="false">
      <c r="A137" s="33"/>
      <c r="B137" s="33"/>
      <c r="C137" s="33"/>
      <c r="D137" s="33"/>
      <c r="E137" s="33"/>
      <c r="F137" s="33"/>
      <c r="G137" s="33"/>
      <c r="H137" s="33"/>
      <c r="I137" s="33"/>
      <c r="J137" s="33"/>
      <c r="K137" s="33"/>
      <c r="L137" s="34"/>
      <c r="M137" s="34"/>
      <c r="N137" s="34"/>
      <c r="O137" s="34"/>
      <c r="P137" s="33"/>
      <c r="Q137" s="35"/>
      <c r="R137" s="33"/>
      <c r="S137" s="33"/>
      <c r="T137" s="33"/>
      <c r="U137" s="33"/>
      <c r="V137" s="33"/>
      <c r="W137" s="33"/>
    </row>
    <row r="138" customFormat="false" ht="15" hidden="false" customHeight="false" outlineLevel="0" collapsed="false">
      <c r="A138" s="33"/>
      <c r="B138" s="33"/>
      <c r="C138" s="33"/>
      <c r="D138" s="33"/>
      <c r="E138" s="33"/>
      <c r="F138" s="33"/>
      <c r="G138" s="33"/>
      <c r="H138" s="33"/>
      <c r="I138" s="33"/>
      <c r="J138" s="33"/>
      <c r="K138" s="33"/>
      <c r="L138" s="34"/>
      <c r="M138" s="34"/>
      <c r="N138" s="34"/>
      <c r="O138" s="34"/>
      <c r="P138" s="33"/>
      <c r="Q138" s="35"/>
      <c r="R138" s="33"/>
      <c r="S138" s="33"/>
      <c r="T138" s="33"/>
      <c r="U138" s="33"/>
      <c r="V138" s="33"/>
      <c r="W138" s="33"/>
    </row>
    <row r="139" customFormat="false" ht="15" hidden="false" customHeight="false" outlineLevel="0" collapsed="false">
      <c r="A139" s="33"/>
      <c r="B139" s="33"/>
      <c r="C139" s="33"/>
      <c r="D139" s="33"/>
      <c r="E139" s="33"/>
      <c r="F139" s="33"/>
      <c r="G139" s="33"/>
      <c r="H139" s="33"/>
      <c r="I139" s="33"/>
      <c r="J139" s="33"/>
      <c r="K139" s="33"/>
      <c r="L139" s="34"/>
      <c r="M139" s="34"/>
      <c r="N139" s="34"/>
      <c r="O139" s="34"/>
      <c r="P139" s="33"/>
      <c r="Q139" s="35"/>
      <c r="R139" s="33"/>
      <c r="S139" s="33"/>
      <c r="T139" s="33"/>
      <c r="U139" s="33"/>
      <c r="V139" s="33"/>
      <c r="W139" s="33"/>
    </row>
    <row r="140" customFormat="false" ht="15" hidden="false" customHeight="false" outlineLevel="0" collapsed="false">
      <c r="A140" s="33"/>
      <c r="B140" s="33"/>
      <c r="C140" s="33"/>
      <c r="D140" s="33"/>
      <c r="E140" s="33"/>
      <c r="F140" s="33"/>
      <c r="G140" s="33"/>
      <c r="H140" s="33"/>
      <c r="I140" s="33"/>
      <c r="J140" s="33"/>
      <c r="K140" s="33"/>
      <c r="L140" s="34"/>
      <c r="M140" s="34"/>
      <c r="N140" s="34"/>
      <c r="O140" s="34"/>
      <c r="P140" s="33"/>
      <c r="Q140" s="35"/>
      <c r="R140" s="33"/>
      <c r="S140" s="33"/>
      <c r="T140" s="33"/>
      <c r="U140" s="33"/>
      <c r="V140" s="33"/>
      <c r="W140" s="33"/>
    </row>
    <row r="141" customFormat="false" ht="15" hidden="false" customHeight="false" outlineLevel="0" collapsed="false">
      <c r="A141" s="33"/>
      <c r="B141" s="33"/>
      <c r="C141" s="33"/>
      <c r="D141" s="33"/>
      <c r="E141" s="33"/>
      <c r="F141" s="33"/>
      <c r="G141" s="33"/>
      <c r="H141" s="33"/>
      <c r="I141" s="33"/>
      <c r="J141" s="33"/>
      <c r="K141" s="33"/>
      <c r="L141" s="34"/>
      <c r="M141" s="34"/>
      <c r="N141" s="34"/>
      <c r="O141" s="34"/>
      <c r="P141" s="33"/>
      <c r="Q141" s="35"/>
      <c r="R141" s="33"/>
      <c r="S141" s="33"/>
      <c r="T141" s="33"/>
      <c r="U141" s="33"/>
      <c r="V141" s="33"/>
      <c r="W141" s="33"/>
    </row>
    <row r="142" customFormat="false" ht="15" hidden="false" customHeight="false" outlineLevel="0" collapsed="false">
      <c r="A142" s="33"/>
      <c r="B142" s="33"/>
      <c r="C142" s="33"/>
      <c r="D142" s="33"/>
      <c r="E142" s="33"/>
      <c r="F142" s="33"/>
      <c r="G142" s="33"/>
      <c r="H142" s="33"/>
      <c r="I142" s="33"/>
      <c r="J142" s="33"/>
      <c r="K142" s="33"/>
      <c r="L142" s="34"/>
      <c r="M142" s="34"/>
      <c r="N142" s="34"/>
      <c r="O142" s="34"/>
      <c r="P142" s="33"/>
      <c r="Q142" s="35"/>
      <c r="R142" s="33"/>
      <c r="S142" s="33"/>
      <c r="T142" s="33"/>
      <c r="U142" s="33"/>
      <c r="V142" s="33"/>
      <c r="W142" s="33"/>
    </row>
    <row r="143" customFormat="false" ht="15" hidden="false" customHeight="false" outlineLevel="0" collapsed="false">
      <c r="A143" s="33"/>
      <c r="B143" s="33"/>
      <c r="C143" s="33"/>
      <c r="D143" s="33"/>
      <c r="E143" s="33"/>
      <c r="F143" s="33"/>
      <c r="G143" s="33"/>
      <c r="H143" s="33"/>
      <c r="I143" s="33"/>
      <c r="J143" s="33"/>
      <c r="K143" s="33"/>
      <c r="L143" s="34"/>
      <c r="M143" s="34"/>
      <c r="N143" s="34"/>
      <c r="O143" s="34"/>
      <c r="P143" s="33"/>
      <c r="Q143" s="35"/>
      <c r="R143" s="33"/>
      <c r="S143" s="33"/>
      <c r="T143" s="33"/>
      <c r="U143" s="33"/>
      <c r="V143" s="33"/>
      <c r="W143" s="33"/>
    </row>
    <row r="144" customFormat="false" ht="15" hidden="false" customHeight="false" outlineLevel="0" collapsed="false">
      <c r="A144" s="33"/>
      <c r="B144" s="33"/>
      <c r="C144" s="33"/>
      <c r="D144" s="33"/>
      <c r="E144" s="33"/>
      <c r="F144" s="33"/>
      <c r="G144" s="33"/>
      <c r="H144" s="33"/>
      <c r="I144" s="33"/>
      <c r="J144" s="33"/>
      <c r="K144" s="33"/>
      <c r="L144" s="34"/>
      <c r="M144" s="34"/>
      <c r="N144" s="34"/>
      <c r="O144" s="34"/>
      <c r="P144" s="33"/>
      <c r="Q144" s="35"/>
      <c r="R144" s="33"/>
      <c r="S144" s="33"/>
      <c r="T144" s="33"/>
      <c r="U144" s="33"/>
      <c r="V144" s="33"/>
      <c r="W144" s="33"/>
    </row>
    <row r="145" customFormat="false" ht="15" hidden="false" customHeight="false" outlineLevel="0" collapsed="false">
      <c r="A145" s="33"/>
      <c r="B145" s="33"/>
      <c r="C145" s="33"/>
      <c r="D145" s="33"/>
      <c r="E145" s="33"/>
      <c r="F145" s="33"/>
      <c r="G145" s="33"/>
      <c r="H145" s="33"/>
      <c r="I145" s="33"/>
      <c r="J145" s="33"/>
      <c r="K145" s="33"/>
      <c r="L145" s="34"/>
      <c r="M145" s="34"/>
      <c r="N145" s="34"/>
      <c r="O145" s="34"/>
      <c r="P145" s="33"/>
      <c r="Q145" s="35"/>
      <c r="R145" s="33"/>
      <c r="S145" s="33"/>
      <c r="T145" s="33"/>
      <c r="U145" s="33"/>
      <c r="V145" s="33"/>
      <c r="W145" s="33"/>
    </row>
    <row r="146" customFormat="false" ht="15" hidden="false" customHeight="false" outlineLevel="0" collapsed="false">
      <c r="A146" s="33"/>
      <c r="B146" s="33"/>
      <c r="C146" s="33"/>
      <c r="D146" s="33"/>
      <c r="E146" s="33"/>
      <c r="F146" s="33"/>
      <c r="G146" s="33"/>
      <c r="H146" s="33"/>
      <c r="I146" s="33"/>
      <c r="J146" s="33"/>
      <c r="K146" s="33"/>
      <c r="L146" s="34"/>
      <c r="M146" s="34"/>
      <c r="N146" s="34"/>
      <c r="O146" s="34"/>
      <c r="P146" s="33"/>
      <c r="Q146" s="35"/>
      <c r="R146" s="33"/>
      <c r="S146" s="33"/>
      <c r="T146" s="33"/>
      <c r="U146" s="33"/>
      <c r="V146" s="33"/>
      <c r="W146" s="33"/>
    </row>
    <row r="147" customFormat="false" ht="15" hidden="false" customHeight="false" outlineLevel="0" collapsed="false">
      <c r="A147" s="33"/>
      <c r="B147" s="33"/>
      <c r="C147" s="33"/>
      <c r="D147" s="33"/>
      <c r="E147" s="33"/>
      <c r="F147" s="33"/>
      <c r="G147" s="33"/>
      <c r="H147" s="33"/>
      <c r="I147" s="33"/>
      <c r="J147" s="33"/>
      <c r="K147" s="33"/>
      <c r="L147" s="34"/>
      <c r="M147" s="34"/>
      <c r="N147" s="34"/>
      <c r="O147" s="34"/>
      <c r="P147" s="33"/>
      <c r="Q147" s="35"/>
      <c r="R147" s="33"/>
      <c r="S147" s="33"/>
      <c r="T147" s="33"/>
      <c r="U147" s="33"/>
      <c r="V147" s="33"/>
      <c r="W147" s="33"/>
    </row>
    <row r="148" customFormat="false" ht="15" hidden="false" customHeight="false" outlineLevel="0" collapsed="false">
      <c r="A148" s="33"/>
      <c r="B148" s="33"/>
      <c r="C148" s="33"/>
      <c r="D148" s="33"/>
      <c r="E148" s="33"/>
      <c r="F148" s="33"/>
      <c r="G148" s="33"/>
      <c r="H148" s="33"/>
      <c r="I148" s="33"/>
      <c r="J148" s="33"/>
      <c r="K148" s="33"/>
      <c r="L148" s="34"/>
      <c r="M148" s="34"/>
      <c r="N148" s="34"/>
      <c r="O148" s="34"/>
      <c r="P148" s="33"/>
      <c r="Q148" s="35"/>
      <c r="R148" s="33"/>
      <c r="S148" s="33"/>
      <c r="T148" s="33"/>
      <c r="U148" s="33"/>
      <c r="V148" s="33"/>
      <c r="W148" s="33"/>
    </row>
    <row r="149" customFormat="false" ht="15" hidden="false" customHeight="false" outlineLevel="0" collapsed="false">
      <c r="A149" s="33"/>
      <c r="B149" s="33"/>
      <c r="C149" s="33"/>
      <c r="D149" s="33"/>
      <c r="E149" s="33"/>
      <c r="F149" s="33"/>
      <c r="G149" s="33"/>
      <c r="H149" s="33"/>
      <c r="I149" s="33"/>
      <c r="J149" s="33"/>
      <c r="K149" s="33"/>
      <c r="L149" s="34"/>
      <c r="M149" s="34"/>
      <c r="N149" s="34"/>
      <c r="O149" s="34"/>
      <c r="P149" s="33"/>
      <c r="Q149" s="35"/>
      <c r="R149" s="33"/>
      <c r="S149" s="33"/>
      <c r="T149" s="33"/>
      <c r="U149" s="33"/>
      <c r="V149" s="33"/>
      <c r="W149" s="33"/>
    </row>
    <row r="150" customFormat="false" ht="15" hidden="false" customHeight="false" outlineLevel="0" collapsed="false">
      <c r="A150" s="33"/>
      <c r="B150" s="33"/>
      <c r="C150" s="33"/>
      <c r="D150" s="33"/>
      <c r="E150" s="33"/>
      <c r="F150" s="33"/>
      <c r="G150" s="33"/>
      <c r="H150" s="33"/>
      <c r="I150" s="33"/>
      <c r="J150" s="33"/>
      <c r="K150" s="33"/>
      <c r="L150" s="34"/>
      <c r="M150" s="34"/>
      <c r="N150" s="34"/>
      <c r="O150" s="34"/>
      <c r="P150" s="33"/>
      <c r="Q150" s="35"/>
      <c r="R150" s="33"/>
      <c r="S150" s="33"/>
      <c r="T150" s="33"/>
      <c r="U150" s="33"/>
      <c r="V150" s="33"/>
      <c r="W150" s="33"/>
    </row>
    <row r="151" customFormat="false" ht="15" hidden="false" customHeight="false" outlineLevel="0" collapsed="false">
      <c r="A151" s="33"/>
      <c r="B151" s="33"/>
      <c r="C151" s="33"/>
      <c r="D151" s="33"/>
      <c r="E151" s="33"/>
      <c r="F151" s="33"/>
      <c r="G151" s="33"/>
      <c r="H151" s="33"/>
      <c r="I151" s="33"/>
      <c r="J151" s="33"/>
      <c r="K151" s="33"/>
      <c r="L151" s="34"/>
      <c r="M151" s="34"/>
      <c r="N151" s="34"/>
      <c r="O151" s="34"/>
      <c r="P151" s="33"/>
      <c r="Q151" s="35"/>
      <c r="R151" s="33"/>
      <c r="S151" s="33"/>
      <c r="T151" s="33"/>
      <c r="U151" s="33"/>
      <c r="V151" s="33"/>
      <c r="W151" s="33"/>
    </row>
    <row r="152" customFormat="false" ht="15" hidden="false" customHeight="false" outlineLevel="0" collapsed="false">
      <c r="A152" s="33"/>
      <c r="B152" s="33"/>
      <c r="C152" s="33"/>
      <c r="D152" s="33"/>
      <c r="E152" s="33"/>
      <c r="F152" s="33"/>
      <c r="G152" s="33"/>
      <c r="H152" s="33"/>
      <c r="I152" s="33"/>
      <c r="J152" s="33"/>
      <c r="K152" s="33"/>
      <c r="L152" s="34"/>
      <c r="M152" s="34"/>
      <c r="N152" s="34"/>
      <c r="O152" s="34"/>
      <c r="P152" s="33"/>
      <c r="Q152" s="35"/>
      <c r="R152" s="33"/>
      <c r="S152" s="33"/>
      <c r="T152" s="33"/>
      <c r="U152" s="33"/>
      <c r="V152" s="33"/>
      <c r="W152" s="33"/>
    </row>
    <row r="153" customFormat="false" ht="15" hidden="false" customHeight="false" outlineLevel="0" collapsed="false">
      <c r="A153" s="33"/>
      <c r="B153" s="33"/>
      <c r="C153" s="33"/>
      <c r="D153" s="33"/>
      <c r="E153" s="33"/>
      <c r="F153" s="33"/>
      <c r="G153" s="33"/>
      <c r="H153" s="33"/>
      <c r="I153" s="33"/>
      <c r="J153" s="33"/>
      <c r="K153" s="33"/>
      <c r="L153" s="34"/>
      <c r="M153" s="34"/>
      <c r="N153" s="34"/>
      <c r="O153" s="34"/>
      <c r="P153" s="33"/>
      <c r="Q153" s="35"/>
      <c r="R153" s="33"/>
      <c r="S153" s="33"/>
      <c r="T153" s="33"/>
      <c r="U153" s="33"/>
      <c r="V153" s="33"/>
      <c r="W153" s="33"/>
    </row>
    <row r="154" customFormat="false" ht="15" hidden="false" customHeight="false" outlineLevel="0" collapsed="false">
      <c r="A154" s="33"/>
      <c r="B154" s="33"/>
      <c r="C154" s="33"/>
      <c r="D154" s="33"/>
      <c r="E154" s="33"/>
      <c r="F154" s="33"/>
      <c r="G154" s="33"/>
      <c r="H154" s="33"/>
      <c r="I154" s="33"/>
      <c r="J154" s="33"/>
      <c r="K154" s="33"/>
      <c r="L154" s="34"/>
      <c r="M154" s="34"/>
      <c r="N154" s="34"/>
      <c r="O154" s="34"/>
      <c r="P154" s="33"/>
      <c r="Q154" s="35"/>
      <c r="R154" s="33"/>
      <c r="S154" s="33"/>
      <c r="T154" s="33"/>
      <c r="U154" s="33"/>
      <c r="V154" s="33"/>
      <c r="W154" s="33"/>
    </row>
    <row r="155" customFormat="false" ht="15" hidden="false" customHeight="false" outlineLevel="0" collapsed="false">
      <c r="A155" s="33"/>
      <c r="B155" s="33"/>
      <c r="C155" s="33"/>
      <c r="D155" s="33"/>
      <c r="E155" s="33"/>
      <c r="F155" s="33"/>
      <c r="G155" s="33"/>
      <c r="H155" s="33"/>
      <c r="I155" s="33"/>
      <c r="J155" s="33"/>
      <c r="K155" s="33"/>
      <c r="L155" s="34"/>
      <c r="M155" s="34"/>
      <c r="N155" s="34"/>
      <c r="O155" s="34"/>
      <c r="P155" s="33"/>
      <c r="Q155" s="35"/>
      <c r="R155" s="33"/>
      <c r="S155" s="33"/>
      <c r="T155" s="33"/>
      <c r="U155" s="33"/>
      <c r="V155" s="33"/>
      <c r="W155" s="33"/>
    </row>
    <row r="156" customFormat="false" ht="15" hidden="false" customHeight="false" outlineLevel="0" collapsed="false">
      <c r="A156" s="33"/>
      <c r="B156" s="33"/>
      <c r="C156" s="33"/>
      <c r="D156" s="33"/>
      <c r="E156" s="33"/>
      <c r="F156" s="33"/>
      <c r="G156" s="33"/>
      <c r="H156" s="33"/>
      <c r="I156" s="33"/>
      <c r="J156" s="33"/>
      <c r="K156" s="33"/>
      <c r="L156" s="34"/>
      <c r="M156" s="34"/>
      <c r="N156" s="34"/>
      <c r="O156" s="34"/>
      <c r="P156" s="33"/>
      <c r="Q156" s="35"/>
      <c r="R156" s="33"/>
      <c r="S156" s="33"/>
      <c r="T156" s="33"/>
      <c r="U156" s="33"/>
      <c r="V156" s="33"/>
      <c r="W156" s="33"/>
    </row>
    <row r="157" customFormat="false" ht="15" hidden="false" customHeight="false" outlineLevel="0" collapsed="false">
      <c r="A157" s="33"/>
      <c r="B157" s="33"/>
      <c r="C157" s="33"/>
      <c r="D157" s="33"/>
      <c r="E157" s="33"/>
      <c r="F157" s="33"/>
      <c r="G157" s="33"/>
      <c r="H157" s="33"/>
      <c r="I157" s="33"/>
      <c r="J157" s="33"/>
      <c r="K157" s="33"/>
      <c r="L157" s="34"/>
      <c r="M157" s="34"/>
      <c r="N157" s="34"/>
      <c r="O157" s="34"/>
      <c r="P157" s="33"/>
      <c r="Q157" s="35"/>
      <c r="R157" s="33"/>
      <c r="S157" s="33"/>
      <c r="T157" s="33"/>
      <c r="U157" s="33"/>
      <c r="V157" s="33"/>
      <c r="W157" s="33"/>
    </row>
    <row r="158" customFormat="false" ht="15" hidden="false" customHeight="false" outlineLevel="0" collapsed="false">
      <c r="A158" s="33"/>
      <c r="B158" s="33"/>
      <c r="C158" s="33"/>
      <c r="D158" s="33"/>
      <c r="E158" s="33"/>
      <c r="F158" s="33"/>
      <c r="G158" s="33"/>
      <c r="H158" s="33"/>
      <c r="I158" s="33"/>
      <c r="J158" s="33"/>
      <c r="K158" s="33"/>
      <c r="L158" s="34"/>
      <c r="M158" s="34"/>
      <c r="N158" s="34"/>
      <c r="O158" s="34"/>
      <c r="P158" s="33"/>
      <c r="Q158" s="35"/>
      <c r="R158" s="33"/>
      <c r="S158" s="33"/>
      <c r="T158" s="33"/>
      <c r="U158" s="33"/>
      <c r="V158" s="33"/>
      <c r="W158" s="33"/>
    </row>
    <row r="159" customFormat="false" ht="15" hidden="false" customHeight="false" outlineLevel="0" collapsed="false">
      <c r="A159" s="33"/>
      <c r="B159" s="33"/>
      <c r="C159" s="33"/>
      <c r="D159" s="33"/>
      <c r="E159" s="33"/>
      <c r="F159" s="33"/>
      <c r="G159" s="33"/>
      <c r="H159" s="33"/>
      <c r="I159" s="33"/>
      <c r="J159" s="33"/>
      <c r="K159" s="33"/>
      <c r="L159" s="34"/>
      <c r="M159" s="34"/>
      <c r="N159" s="34"/>
      <c r="O159" s="34"/>
      <c r="P159" s="33"/>
      <c r="Q159" s="35"/>
      <c r="R159" s="33"/>
      <c r="S159" s="33"/>
      <c r="T159" s="33"/>
      <c r="U159" s="33"/>
      <c r="V159" s="33"/>
      <c r="W159" s="33"/>
    </row>
    <row r="160" customFormat="false" ht="15" hidden="false" customHeight="false" outlineLevel="0" collapsed="false">
      <c r="A160" s="33"/>
      <c r="B160" s="33"/>
      <c r="C160" s="33"/>
      <c r="D160" s="33"/>
      <c r="E160" s="33"/>
      <c r="F160" s="33"/>
      <c r="G160" s="33"/>
      <c r="H160" s="33"/>
      <c r="I160" s="33"/>
      <c r="J160" s="33"/>
      <c r="K160" s="33"/>
      <c r="L160" s="34"/>
      <c r="M160" s="34"/>
      <c r="N160" s="34"/>
      <c r="O160" s="34"/>
      <c r="P160" s="33"/>
      <c r="Q160" s="35"/>
      <c r="R160" s="33"/>
      <c r="S160" s="33"/>
      <c r="T160" s="33"/>
      <c r="U160" s="33"/>
      <c r="V160" s="33"/>
      <c r="W160" s="33"/>
    </row>
    <row r="161" customFormat="false" ht="15" hidden="false" customHeight="false" outlineLevel="0" collapsed="false">
      <c r="A161" s="33"/>
      <c r="B161" s="33"/>
      <c r="C161" s="33"/>
      <c r="D161" s="33"/>
      <c r="E161" s="33"/>
      <c r="F161" s="33"/>
      <c r="G161" s="33"/>
      <c r="H161" s="33"/>
      <c r="I161" s="33"/>
      <c r="J161" s="33"/>
      <c r="K161" s="33"/>
      <c r="L161" s="34"/>
      <c r="M161" s="34"/>
      <c r="N161" s="34"/>
      <c r="O161" s="34"/>
      <c r="P161" s="33"/>
      <c r="Q161" s="35"/>
      <c r="R161" s="33"/>
      <c r="S161" s="33"/>
      <c r="T161" s="33"/>
      <c r="U161" s="33"/>
      <c r="V161" s="33"/>
      <c r="W161" s="33"/>
    </row>
    <row r="162" customFormat="false" ht="15" hidden="false" customHeight="false" outlineLevel="0" collapsed="false">
      <c r="A162" s="33"/>
      <c r="B162" s="33"/>
      <c r="C162" s="33"/>
      <c r="D162" s="33"/>
      <c r="E162" s="33"/>
      <c r="F162" s="33"/>
      <c r="G162" s="33"/>
      <c r="H162" s="33"/>
      <c r="I162" s="33"/>
      <c r="J162" s="33"/>
      <c r="K162" s="33"/>
      <c r="L162" s="34"/>
      <c r="M162" s="34"/>
      <c r="N162" s="34"/>
      <c r="O162" s="34"/>
      <c r="P162" s="33"/>
      <c r="Q162" s="35"/>
      <c r="R162" s="33"/>
      <c r="S162" s="33"/>
      <c r="T162" s="33"/>
      <c r="U162" s="33"/>
      <c r="V162" s="33"/>
      <c r="W162" s="33"/>
    </row>
    <row r="163" customFormat="false" ht="15" hidden="false" customHeight="false" outlineLevel="0" collapsed="false">
      <c r="A163" s="33"/>
      <c r="B163" s="33"/>
      <c r="C163" s="33"/>
      <c r="D163" s="33"/>
      <c r="E163" s="33"/>
      <c r="F163" s="33"/>
      <c r="G163" s="33"/>
      <c r="H163" s="33"/>
      <c r="I163" s="33"/>
      <c r="J163" s="33"/>
      <c r="K163" s="33"/>
      <c r="L163" s="34"/>
      <c r="M163" s="34"/>
      <c r="N163" s="34"/>
      <c r="O163" s="34"/>
      <c r="P163" s="33"/>
      <c r="Q163" s="35"/>
      <c r="R163" s="33"/>
      <c r="S163" s="33"/>
      <c r="T163" s="33"/>
      <c r="U163" s="33"/>
      <c r="V163" s="33"/>
      <c r="W163" s="33"/>
    </row>
    <row r="164" customFormat="false" ht="15" hidden="false" customHeight="false" outlineLevel="0" collapsed="false">
      <c r="A164" s="33"/>
      <c r="B164" s="33"/>
      <c r="C164" s="33"/>
      <c r="D164" s="33"/>
      <c r="E164" s="33"/>
      <c r="F164" s="33"/>
      <c r="G164" s="33"/>
      <c r="H164" s="33"/>
      <c r="I164" s="33"/>
      <c r="J164" s="33"/>
      <c r="K164" s="33"/>
      <c r="L164" s="34"/>
      <c r="M164" s="34"/>
      <c r="N164" s="34"/>
      <c r="O164" s="34"/>
      <c r="P164" s="33"/>
      <c r="Q164" s="35"/>
      <c r="R164" s="33"/>
      <c r="S164" s="33"/>
      <c r="T164" s="33"/>
      <c r="U164" s="33"/>
      <c r="V164" s="33"/>
      <c r="W164" s="33"/>
    </row>
    <row r="165" customFormat="false" ht="15" hidden="false" customHeight="false" outlineLevel="0" collapsed="false">
      <c r="A165" s="33"/>
      <c r="B165" s="33"/>
      <c r="C165" s="33"/>
      <c r="D165" s="33"/>
      <c r="E165" s="33"/>
      <c r="F165" s="33"/>
      <c r="G165" s="33"/>
      <c r="H165" s="33"/>
      <c r="I165" s="33"/>
      <c r="J165" s="33"/>
      <c r="K165" s="33"/>
      <c r="L165" s="34"/>
      <c r="M165" s="34"/>
      <c r="N165" s="34"/>
      <c r="O165" s="34"/>
      <c r="P165" s="33"/>
      <c r="Q165" s="35"/>
      <c r="R165" s="33"/>
      <c r="S165" s="33"/>
      <c r="T165" s="33"/>
      <c r="U165" s="33"/>
      <c r="V165" s="33"/>
      <c r="W165" s="33"/>
    </row>
    <row r="166" customFormat="false" ht="15" hidden="false" customHeight="false" outlineLevel="0" collapsed="false">
      <c r="A166" s="33"/>
      <c r="B166" s="33"/>
      <c r="C166" s="33"/>
      <c r="D166" s="33"/>
      <c r="E166" s="33"/>
      <c r="F166" s="33"/>
      <c r="G166" s="33"/>
      <c r="H166" s="33"/>
      <c r="I166" s="33"/>
      <c r="J166" s="33"/>
      <c r="K166" s="33"/>
      <c r="L166" s="34"/>
      <c r="M166" s="34"/>
      <c r="N166" s="34"/>
      <c r="O166" s="34"/>
      <c r="P166" s="33"/>
      <c r="Q166" s="35"/>
      <c r="R166" s="33"/>
      <c r="S166" s="33"/>
      <c r="T166" s="33"/>
      <c r="U166" s="33"/>
      <c r="V166" s="33"/>
      <c r="W166" s="33"/>
    </row>
    <row r="167" customFormat="false" ht="15" hidden="false" customHeight="false" outlineLevel="0" collapsed="false">
      <c r="A167" s="33"/>
      <c r="B167" s="33"/>
      <c r="C167" s="33"/>
      <c r="D167" s="33"/>
      <c r="E167" s="33"/>
      <c r="F167" s="33"/>
      <c r="G167" s="33"/>
      <c r="H167" s="33"/>
      <c r="I167" s="33"/>
      <c r="J167" s="33"/>
      <c r="K167" s="33"/>
      <c r="L167" s="34"/>
      <c r="M167" s="34"/>
      <c r="N167" s="34"/>
      <c r="O167" s="34"/>
      <c r="P167" s="33"/>
      <c r="Q167" s="35"/>
      <c r="R167" s="33"/>
      <c r="S167" s="33"/>
      <c r="T167" s="33"/>
      <c r="U167" s="33"/>
      <c r="V167" s="33"/>
      <c r="W167" s="33"/>
    </row>
    <row r="168" customFormat="false" ht="15" hidden="false" customHeight="false" outlineLevel="0" collapsed="false">
      <c r="A168" s="33"/>
      <c r="B168" s="33"/>
      <c r="C168" s="33"/>
      <c r="D168" s="33"/>
      <c r="E168" s="33"/>
      <c r="F168" s="33"/>
      <c r="G168" s="33"/>
      <c r="H168" s="33"/>
      <c r="I168" s="33"/>
      <c r="J168" s="33"/>
      <c r="K168" s="33"/>
      <c r="L168" s="34"/>
      <c r="M168" s="34"/>
      <c r="N168" s="34"/>
      <c r="O168" s="34"/>
      <c r="P168" s="33"/>
      <c r="Q168" s="35"/>
      <c r="R168" s="33"/>
      <c r="S168" s="33"/>
      <c r="T168" s="33"/>
      <c r="U168" s="33"/>
      <c r="V168" s="33"/>
      <c r="W168" s="33"/>
    </row>
    <row r="169" customFormat="false" ht="15" hidden="false" customHeight="false" outlineLevel="0" collapsed="false">
      <c r="A169" s="33"/>
      <c r="B169" s="33"/>
      <c r="C169" s="33"/>
      <c r="D169" s="33"/>
      <c r="E169" s="33"/>
      <c r="F169" s="33"/>
      <c r="G169" s="33"/>
      <c r="H169" s="33"/>
      <c r="I169" s="33"/>
      <c r="J169" s="33"/>
      <c r="K169" s="33"/>
      <c r="L169" s="34"/>
      <c r="M169" s="34"/>
      <c r="N169" s="34"/>
      <c r="O169" s="34"/>
      <c r="P169" s="33"/>
      <c r="Q169" s="35"/>
      <c r="R169" s="33"/>
      <c r="S169" s="33"/>
      <c r="T169" s="33"/>
      <c r="U169" s="33"/>
      <c r="V169" s="33"/>
      <c r="W169" s="33"/>
    </row>
    <row r="170" customFormat="false" ht="15" hidden="false" customHeight="false" outlineLevel="0" collapsed="false">
      <c r="A170" s="33"/>
      <c r="B170" s="33"/>
      <c r="C170" s="33"/>
      <c r="D170" s="33"/>
      <c r="E170" s="33"/>
      <c r="F170" s="33"/>
      <c r="G170" s="33"/>
      <c r="H170" s="33"/>
      <c r="I170" s="33"/>
      <c r="J170" s="33"/>
      <c r="K170" s="33"/>
      <c r="L170" s="34"/>
      <c r="M170" s="34"/>
      <c r="N170" s="34"/>
      <c r="O170" s="34"/>
      <c r="P170" s="33"/>
      <c r="Q170" s="35"/>
      <c r="R170" s="33"/>
      <c r="S170" s="33"/>
      <c r="T170" s="33"/>
      <c r="U170" s="33"/>
      <c r="V170" s="33"/>
      <c r="W170" s="33"/>
    </row>
    <row r="171" customFormat="false" ht="15" hidden="false" customHeight="false" outlineLevel="0" collapsed="false">
      <c r="A171" s="33"/>
      <c r="B171" s="33"/>
      <c r="C171" s="33"/>
      <c r="D171" s="33"/>
      <c r="E171" s="33"/>
      <c r="F171" s="33"/>
      <c r="G171" s="33"/>
      <c r="H171" s="33"/>
      <c r="I171" s="33"/>
      <c r="J171" s="33"/>
      <c r="K171" s="33"/>
      <c r="L171" s="34"/>
      <c r="M171" s="34"/>
      <c r="N171" s="34"/>
      <c r="O171" s="34"/>
      <c r="P171" s="33"/>
      <c r="Q171" s="35"/>
      <c r="R171" s="33"/>
      <c r="S171" s="33"/>
      <c r="T171" s="33"/>
      <c r="U171" s="33"/>
      <c r="V171" s="33"/>
      <c r="W171" s="33"/>
    </row>
    <row r="172" customFormat="false" ht="15" hidden="false" customHeight="false" outlineLevel="0" collapsed="false">
      <c r="A172" s="33"/>
      <c r="B172" s="33"/>
      <c r="C172" s="33"/>
      <c r="D172" s="33"/>
      <c r="E172" s="33"/>
      <c r="F172" s="33"/>
      <c r="G172" s="33"/>
      <c r="H172" s="33"/>
      <c r="I172" s="33"/>
      <c r="J172" s="33"/>
      <c r="K172" s="33"/>
      <c r="L172" s="34"/>
      <c r="M172" s="34"/>
      <c r="N172" s="34"/>
      <c r="O172" s="34"/>
      <c r="P172" s="33"/>
      <c r="Q172" s="35"/>
      <c r="R172" s="33"/>
      <c r="S172" s="33"/>
      <c r="T172" s="33"/>
      <c r="U172" s="33"/>
      <c r="V172" s="33"/>
      <c r="W172" s="33"/>
    </row>
    <row r="173" customFormat="false" ht="15" hidden="false" customHeight="false" outlineLevel="0" collapsed="false">
      <c r="A173" s="33"/>
      <c r="B173" s="33"/>
      <c r="C173" s="33"/>
      <c r="D173" s="33"/>
      <c r="E173" s="33"/>
      <c r="F173" s="33"/>
      <c r="G173" s="33"/>
      <c r="H173" s="33"/>
      <c r="I173" s="33"/>
      <c r="J173" s="33"/>
      <c r="K173" s="33"/>
      <c r="L173" s="34"/>
      <c r="M173" s="34"/>
      <c r="N173" s="34"/>
      <c r="O173" s="34"/>
      <c r="P173" s="33"/>
      <c r="Q173" s="35"/>
      <c r="R173" s="33"/>
      <c r="S173" s="33"/>
      <c r="T173" s="33"/>
      <c r="U173" s="33"/>
      <c r="V173" s="33"/>
      <c r="W173" s="33"/>
    </row>
    <row r="174" customFormat="false" ht="15" hidden="false" customHeight="false" outlineLevel="0" collapsed="false">
      <c r="A174" s="33"/>
      <c r="B174" s="33"/>
      <c r="C174" s="33"/>
      <c r="D174" s="33"/>
      <c r="E174" s="33"/>
      <c r="F174" s="33"/>
      <c r="G174" s="33"/>
      <c r="H174" s="33"/>
      <c r="I174" s="33"/>
      <c r="J174" s="33"/>
      <c r="K174" s="33"/>
      <c r="L174" s="34"/>
      <c r="M174" s="34"/>
      <c r="N174" s="34"/>
      <c r="O174" s="34"/>
      <c r="P174" s="33"/>
      <c r="Q174" s="35"/>
      <c r="R174" s="33"/>
      <c r="S174" s="33"/>
      <c r="T174" s="33"/>
      <c r="U174" s="33"/>
      <c r="V174" s="33"/>
      <c r="W174" s="33"/>
    </row>
    <row r="175" customFormat="false" ht="15" hidden="false" customHeight="false" outlineLevel="0" collapsed="false">
      <c r="A175" s="33"/>
      <c r="B175" s="33"/>
      <c r="C175" s="33"/>
      <c r="D175" s="33"/>
      <c r="E175" s="33"/>
      <c r="F175" s="33"/>
      <c r="G175" s="33"/>
      <c r="H175" s="33"/>
      <c r="I175" s="33"/>
      <c r="J175" s="33"/>
      <c r="K175" s="33"/>
      <c r="L175" s="34"/>
      <c r="M175" s="34"/>
      <c r="N175" s="34"/>
      <c r="O175" s="34"/>
      <c r="P175" s="33"/>
      <c r="Q175" s="35"/>
      <c r="R175" s="33"/>
      <c r="S175" s="33"/>
      <c r="T175" s="33"/>
      <c r="U175" s="33"/>
      <c r="V175" s="33"/>
      <c r="W175" s="33"/>
    </row>
    <row r="176" customFormat="false" ht="15" hidden="false" customHeight="false" outlineLevel="0" collapsed="false">
      <c r="A176" s="33"/>
      <c r="B176" s="33"/>
      <c r="C176" s="33"/>
      <c r="D176" s="33"/>
      <c r="E176" s="33"/>
      <c r="F176" s="33"/>
      <c r="G176" s="33"/>
      <c r="H176" s="33"/>
      <c r="I176" s="33"/>
      <c r="J176" s="33"/>
      <c r="K176" s="33"/>
      <c r="L176" s="34"/>
      <c r="M176" s="34"/>
      <c r="N176" s="34"/>
      <c r="O176" s="34"/>
      <c r="P176" s="33"/>
      <c r="Q176" s="35"/>
      <c r="R176" s="33"/>
      <c r="S176" s="33"/>
      <c r="T176" s="33"/>
      <c r="U176" s="33"/>
      <c r="V176" s="33"/>
      <c r="W176" s="33"/>
    </row>
    <row r="177" customFormat="false" ht="15" hidden="false" customHeight="false" outlineLevel="0" collapsed="false">
      <c r="A177" s="33"/>
      <c r="B177" s="33"/>
      <c r="C177" s="33"/>
      <c r="D177" s="33"/>
      <c r="E177" s="33"/>
      <c r="F177" s="33"/>
      <c r="G177" s="33"/>
      <c r="H177" s="33"/>
      <c r="I177" s="33"/>
      <c r="J177" s="33"/>
      <c r="K177" s="33"/>
      <c r="L177" s="34"/>
      <c r="M177" s="34"/>
      <c r="N177" s="34"/>
      <c r="O177" s="34"/>
      <c r="P177" s="33"/>
      <c r="Q177" s="35"/>
      <c r="R177" s="33"/>
      <c r="S177" s="33"/>
      <c r="T177" s="33"/>
      <c r="U177" s="33"/>
      <c r="V177" s="33"/>
      <c r="W177" s="33"/>
    </row>
    <row r="178" customFormat="false" ht="15" hidden="false" customHeight="false" outlineLevel="0" collapsed="false">
      <c r="A178" s="33"/>
      <c r="B178" s="33"/>
      <c r="C178" s="33"/>
      <c r="D178" s="33"/>
      <c r="E178" s="33"/>
      <c r="F178" s="33"/>
      <c r="G178" s="33"/>
      <c r="H178" s="33"/>
      <c r="I178" s="33"/>
      <c r="J178" s="33"/>
      <c r="K178" s="33"/>
      <c r="L178" s="34"/>
      <c r="M178" s="34"/>
      <c r="N178" s="34"/>
      <c r="O178" s="34"/>
      <c r="P178" s="33"/>
      <c r="Q178" s="35"/>
      <c r="R178" s="33"/>
      <c r="S178" s="33"/>
      <c r="T178" s="33"/>
      <c r="U178" s="33"/>
      <c r="V178" s="33"/>
      <c r="W178" s="33"/>
    </row>
    <row r="179" customFormat="false" ht="15" hidden="false" customHeight="false" outlineLevel="0" collapsed="false">
      <c r="A179" s="33"/>
      <c r="B179" s="33"/>
      <c r="C179" s="33"/>
      <c r="D179" s="33"/>
      <c r="E179" s="33"/>
      <c r="F179" s="33"/>
      <c r="G179" s="33"/>
      <c r="H179" s="33"/>
      <c r="I179" s="33"/>
      <c r="J179" s="33"/>
      <c r="K179" s="33"/>
      <c r="L179" s="34"/>
      <c r="M179" s="34"/>
      <c r="N179" s="34"/>
      <c r="O179" s="34"/>
      <c r="P179" s="33"/>
      <c r="Q179" s="35"/>
      <c r="R179" s="33"/>
      <c r="S179" s="33"/>
      <c r="T179" s="33"/>
      <c r="U179" s="33"/>
      <c r="V179" s="33"/>
      <c r="W179" s="33"/>
    </row>
    <row r="180" customFormat="false" ht="15" hidden="false" customHeight="false" outlineLevel="0" collapsed="false">
      <c r="A180" s="33"/>
      <c r="B180" s="33"/>
      <c r="C180" s="33"/>
      <c r="D180" s="33"/>
      <c r="E180" s="33"/>
      <c r="F180" s="33"/>
      <c r="G180" s="33"/>
      <c r="H180" s="33"/>
      <c r="I180" s="33"/>
      <c r="J180" s="33"/>
      <c r="K180" s="33"/>
      <c r="L180" s="34"/>
      <c r="M180" s="34"/>
      <c r="N180" s="34"/>
      <c r="O180" s="34"/>
      <c r="P180" s="33"/>
      <c r="Q180" s="35"/>
      <c r="R180" s="33"/>
      <c r="S180" s="33"/>
      <c r="T180" s="33"/>
      <c r="U180" s="33"/>
      <c r="V180" s="33"/>
      <c r="W180" s="33"/>
    </row>
    <row r="181" customFormat="false" ht="15" hidden="false" customHeight="false" outlineLevel="0" collapsed="false">
      <c r="A181" s="33"/>
      <c r="B181" s="33"/>
      <c r="C181" s="33"/>
      <c r="D181" s="33"/>
      <c r="E181" s="33"/>
      <c r="F181" s="33"/>
      <c r="G181" s="33"/>
      <c r="H181" s="33"/>
      <c r="I181" s="33"/>
      <c r="J181" s="33"/>
      <c r="K181" s="33"/>
      <c r="L181" s="34"/>
      <c r="M181" s="34"/>
      <c r="N181" s="34"/>
      <c r="O181" s="34"/>
      <c r="P181" s="33"/>
      <c r="Q181" s="35"/>
      <c r="R181" s="33"/>
      <c r="S181" s="33"/>
      <c r="T181" s="33"/>
      <c r="U181" s="33"/>
      <c r="V181" s="33"/>
      <c r="W181" s="33"/>
    </row>
    <row r="182" customFormat="false" ht="15" hidden="false" customHeight="false" outlineLevel="0" collapsed="false">
      <c r="A182" s="33"/>
      <c r="B182" s="33"/>
      <c r="C182" s="33"/>
      <c r="D182" s="33"/>
      <c r="E182" s="33"/>
      <c r="F182" s="33"/>
      <c r="G182" s="33"/>
      <c r="H182" s="33"/>
      <c r="I182" s="33"/>
      <c r="J182" s="33"/>
      <c r="K182" s="33"/>
      <c r="L182" s="34"/>
      <c r="M182" s="34"/>
      <c r="N182" s="34"/>
      <c r="O182" s="34"/>
      <c r="P182" s="33"/>
      <c r="Q182" s="35"/>
      <c r="R182" s="33"/>
      <c r="S182" s="33"/>
      <c r="T182" s="33"/>
      <c r="U182" s="33"/>
      <c r="V182" s="33"/>
      <c r="W182" s="33"/>
    </row>
    <row r="183" customFormat="false" ht="15" hidden="false" customHeight="false" outlineLevel="0" collapsed="false">
      <c r="A183" s="33"/>
      <c r="B183" s="33"/>
      <c r="C183" s="33"/>
      <c r="D183" s="33"/>
      <c r="E183" s="33"/>
      <c r="F183" s="33"/>
      <c r="G183" s="33"/>
      <c r="H183" s="33"/>
      <c r="I183" s="33"/>
      <c r="J183" s="33"/>
      <c r="K183" s="33"/>
      <c r="L183" s="34"/>
      <c r="M183" s="34"/>
      <c r="N183" s="34"/>
      <c r="O183" s="34"/>
      <c r="P183" s="33"/>
      <c r="Q183" s="35"/>
      <c r="R183" s="33"/>
      <c r="S183" s="33"/>
      <c r="T183" s="33"/>
      <c r="U183" s="33"/>
      <c r="V183" s="33"/>
      <c r="W183" s="33"/>
    </row>
    <row r="184" customFormat="false" ht="15" hidden="false" customHeight="false" outlineLevel="0" collapsed="false">
      <c r="A184" s="33"/>
      <c r="B184" s="33"/>
      <c r="C184" s="33"/>
      <c r="D184" s="33"/>
      <c r="E184" s="33"/>
      <c r="F184" s="33"/>
      <c r="G184" s="33"/>
      <c r="H184" s="33"/>
      <c r="I184" s="33"/>
      <c r="J184" s="33"/>
      <c r="K184" s="33"/>
      <c r="L184" s="34"/>
      <c r="M184" s="34"/>
      <c r="N184" s="34"/>
      <c r="O184" s="34"/>
      <c r="P184" s="33"/>
      <c r="Q184" s="35"/>
      <c r="R184" s="33"/>
      <c r="S184" s="33"/>
      <c r="T184" s="33"/>
      <c r="U184" s="33"/>
      <c r="V184" s="33"/>
      <c r="W184" s="33"/>
    </row>
    <row r="185" customFormat="false" ht="15" hidden="false" customHeight="false" outlineLevel="0" collapsed="false">
      <c r="A185" s="33"/>
      <c r="B185" s="33"/>
      <c r="C185" s="33"/>
      <c r="D185" s="33"/>
      <c r="E185" s="33"/>
      <c r="F185" s="33"/>
      <c r="G185" s="33"/>
      <c r="H185" s="33"/>
      <c r="I185" s="33"/>
      <c r="J185" s="33"/>
      <c r="K185" s="33"/>
      <c r="L185" s="34"/>
      <c r="M185" s="34"/>
      <c r="N185" s="34"/>
      <c r="O185" s="34"/>
      <c r="P185" s="33"/>
      <c r="Q185" s="35"/>
      <c r="R185" s="33"/>
      <c r="S185" s="33"/>
      <c r="T185" s="33"/>
      <c r="U185" s="33"/>
      <c r="V185" s="33"/>
      <c r="W185" s="33"/>
    </row>
    <row r="186" customFormat="false" ht="15" hidden="false" customHeight="false" outlineLevel="0" collapsed="false">
      <c r="A186" s="33"/>
      <c r="B186" s="33"/>
      <c r="C186" s="33"/>
      <c r="D186" s="33"/>
      <c r="E186" s="33"/>
      <c r="F186" s="33"/>
      <c r="G186" s="33"/>
      <c r="H186" s="33"/>
      <c r="I186" s="33"/>
      <c r="J186" s="33"/>
      <c r="K186" s="33"/>
      <c r="L186" s="34"/>
      <c r="M186" s="34"/>
      <c r="N186" s="34"/>
      <c r="O186" s="34"/>
      <c r="P186" s="33"/>
      <c r="Q186" s="35"/>
      <c r="R186" s="33"/>
      <c r="S186" s="33"/>
      <c r="T186" s="33"/>
      <c r="U186" s="33"/>
      <c r="V186" s="33"/>
      <c r="W186" s="33"/>
    </row>
    <row r="187" customFormat="false" ht="15" hidden="false" customHeight="false" outlineLevel="0" collapsed="false">
      <c r="A187" s="33"/>
      <c r="B187" s="33"/>
      <c r="C187" s="33"/>
      <c r="D187" s="33"/>
      <c r="E187" s="33"/>
      <c r="F187" s="33"/>
      <c r="G187" s="33"/>
      <c r="H187" s="33"/>
      <c r="I187" s="33"/>
      <c r="J187" s="33"/>
      <c r="K187" s="33"/>
      <c r="L187" s="34"/>
      <c r="M187" s="34"/>
      <c r="N187" s="34"/>
      <c r="O187" s="34"/>
      <c r="P187" s="33"/>
      <c r="Q187" s="35"/>
      <c r="R187" s="33"/>
      <c r="S187" s="33"/>
      <c r="T187" s="33"/>
      <c r="U187" s="33"/>
      <c r="V187" s="33"/>
      <c r="W187" s="33"/>
    </row>
    <row r="188" customFormat="false" ht="15" hidden="false" customHeight="false" outlineLevel="0" collapsed="false">
      <c r="A188" s="33"/>
      <c r="B188" s="33"/>
      <c r="C188" s="33"/>
      <c r="D188" s="33"/>
      <c r="E188" s="33"/>
      <c r="F188" s="33"/>
      <c r="G188" s="33"/>
      <c r="H188" s="33"/>
      <c r="I188" s="33"/>
      <c r="J188" s="33"/>
      <c r="K188" s="33"/>
      <c r="L188" s="34"/>
      <c r="M188" s="34"/>
      <c r="N188" s="34"/>
      <c r="O188" s="34"/>
      <c r="P188" s="33"/>
      <c r="Q188" s="35"/>
      <c r="R188" s="33"/>
      <c r="S188" s="33"/>
      <c r="T188" s="33"/>
      <c r="U188" s="33"/>
      <c r="V188" s="33"/>
      <c r="W188" s="33"/>
    </row>
    <row r="189" customFormat="false" ht="15" hidden="false" customHeight="false" outlineLevel="0" collapsed="false">
      <c r="A189" s="33"/>
      <c r="B189" s="33"/>
      <c r="C189" s="33"/>
      <c r="D189" s="33"/>
      <c r="E189" s="33"/>
      <c r="F189" s="33"/>
      <c r="G189" s="33"/>
      <c r="H189" s="33"/>
      <c r="I189" s="33"/>
      <c r="J189" s="33"/>
      <c r="K189" s="33"/>
      <c r="L189" s="34"/>
      <c r="M189" s="34"/>
      <c r="N189" s="34"/>
      <c r="O189" s="34"/>
      <c r="P189" s="33"/>
      <c r="Q189" s="35"/>
      <c r="R189" s="33"/>
      <c r="S189" s="33"/>
      <c r="T189" s="33"/>
      <c r="U189" s="33"/>
      <c r="V189" s="33"/>
      <c r="W189" s="33"/>
    </row>
    <row r="190" customFormat="false" ht="15" hidden="false" customHeight="false" outlineLevel="0" collapsed="false">
      <c r="A190" s="33"/>
      <c r="B190" s="33"/>
      <c r="C190" s="33"/>
      <c r="D190" s="33"/>
      <c r="E190" s="33"/>
      <c r="F190" s="33"/>
      <c r="G190" s="33"/>
      <c r="H190" s="33"/>
      <c r="I190" s="33"/>
      <c r="J190" s="33"/>
      <c r="K190" s="33"/>
      <c r="L190" s="34"/>
      <c r="M190" s="34"/>
      <c r="N190" s="34"/>
      <c r="O190" s="34"/>
      <c r="P190" s="33"/>
      <c r="Q190" s="35"/>
      <c r="R190" s="33"/>
      <c r="S190" s="33"/>
      <c r="T190" s="33"/>
      <c r="U190" s="33"/>
      <c r="V190" s="33"/>
      <c r="W190" s="33"/>
    </row>
    <row r="191" customFormat="false" ht="15" hidden="false" customHeight="false" outlineLevel="0" collapsed="false">
      <c r="A191" s="33"/>
      <c r="B191" s="33"/>
      <c r="C191" s="33"/>
      <c r="D191" s="33"/>
      <c r="E191" s="33"/>
      <c r="F191" s="33"/>
      <c r="G191" s="33"/>
      <c r="H191" s="33"/>
      <c r="I191" s="33"/>
      <c r="J191" s="33"/>
      <c r="K191" s="33"/>
      <c r="L191" s="34"/>
      <c r="M191" s="34"/>
      <c r="N191" s="34"/>
      <c r="O191" s="34"/>
      <c r="P191" s="33"/>
      <c r="Q191" s="35"/>
      <c r="R191" s="33"/>
      <c r="S191" s="33"/>
      <c r="T191" s="33"/>
      <c r="U191" s="33"/>
      <c r="V191" s="33"/>
      <c r="W191" s="33"/>
    </row>
    <row r="192" customFormat="false" ht="15" hidden="false" customHeight="false" outlineLevel="0" collapsed="false">
      <c r="A192" s="33"/>
      <c r="B192" s="33"/>
      <c r="C192" s="33"/>
      <c r="D192" s="33"/>
      <c r="E192" s="33"/>
      <c r="F192" s="33"/>
      <c r="G192" s="33"/>
      <c r="H192" s="33"/>
      <c r="I192" s="33"/>
      <c r="J192" s="33"/>
      <c r="K192" s="33"/>
      <c r="L192" s="34"/>
      <c r="M192" s="34"/>
      <c r="N192" s="34"/>
      <c r="O192" s="34"/>
      <c r="P192" s="33"/>
      <c r="Q192" s="35"/>
      <c r="R192" s="33"/>
      <c r="S192" s="33"/>
      <c r="T192" s="33"/>
      <c r="U192" s="33"/>
      <c r="V192" s="33"/>
      <c r="W192" s="33"/>
    </row>
    <row r="193" customFormat="false" ht="15" hidden="false" customHeight="false" outlineLevel="0" collapsed="false">
      <c r="A193" s="33"/>
      <c r="B193" s="33"/>
      <c r="C193" s="33"/>
      <c r="D193" s="33"/>
      <c r="E193" s="33"/>
      <c r="F193" s="33"/>
      <c r="G193" s="33"/>
      <c r="H193" s="33"/>
      <c r="I193" s="33"/>
      <c r="J193" s="33"/>
      <c r="K193" s="33"/>
      <c r="L193" s="34"/>
      <c r="M193" s="34"/>
      <c r="N193" s="34"/>
      <c r="O193" s="34"/>
      <c r="P193" s="33"/>
      <c r="Q193" s="35"/>
      <c r="R193" s="33"/>
      <c r="S193" s="33"/>
      <c r="T193" s="33"/>
      <c r="U193" s="33"/>
      <c r="V193" s="33"/>
      <c r="W193" s="33"/>
    </row>
    <row r="194" customFormat="false" ht="15" hidden="false" customHeight="false" outlineLevel="0" collapsed="false">
      <c r="A194" s="33"/>
      <c r="B194" s="33"/>
      <c r="C194" s="33"/>
      <c r="D194" s="33"/>
      <c r="E194" s="33"/>
      <c r="F194" s="33"/>
      <c r="G194" s="33"/>
      <c r="H194" s="33"/>
      <c r="I194" s="33"/>
      <c r="J194" s="33"/>
      <c r="K194" s="33"/>
      <c r="L194" s="34"/>
      <c r="M194" s="34"/>
      <c r="N194" s="34"/>
      <c r="O194" s="34"/>
      <c r="P194" s="33"/>
      <c r="Q194" s="35"/>
      <c r="R194" s="33"/>
      <c r="S194" s="33"/>
      <c r="T194" s="33"/>
      <c r="U194" s="33"/>
      <c r="V194" s="33"/>
      <c r="W194" s="33"/>
    </row>
    <row r="195" customFormat="false" ht="15" hidden="false" customHeight="false" outlineLevel="0" collapsed="false">
      <c r="A195" s="33"/>
      <c r="B195" s="33"/>
      <c r="C195" s="33"/>
      <c r="D195" s="33"/>
      <c r="E195" s="33"/>
      <c r="F195" s="33"/>
      <c r="G195" s="33"/>
      <c r="H195" s="33"/>
      <c r="I195" s="33"/>
      <c r="J195" s="33"/>
      <c r="K195" s="33"/>
      <c r="L195" s="34"/>
      <c r="M195" s="34"/>
      <c r="N195" s="34"/>
      <c r="O195" s="34"/>
      <c r="P195" s="33"/>
      <c r="Q195" s="35"/>
      <c r="R195" s="33"/>
      <c r="S195" s="33"/>
      <c r="T195" s="33"/>
      <c r="U195" s="33"/>
      <c r="V195" s="33"/>
      <c r="W195" s="33"/>
    </row>
    <row r="196" customFormat="false" ht="15" hidden="false" customHeight="false" outlineLevel="0" collapsed="false">
      <c r="A196" s="33"/>
      <c r="B196" s="33"/>
      <c r="C196" s="33"/>
      <c r="D196" s="33"/>
      <c r="E196" s="33"/>
      <c r="F196" s="33"/>
      <c r="G196" s="33"/>
      <c r="H196" s="33"/>
      <c r="I196" s="33"/>
      <c r="J196" s="33"/>
      <c r="K196" s="33"/>
      <c r="L196" s="34"/>
      <c r="M196" s="34"/>
      <c r="N196" s="34"/>
      <c r="O196" s="34"/>
      <c r="P196" s="33"/>
      <c r="Q196" s="35"/>
      <c r="R196" s="33"/>
      <c r="S196" s="33"/>
      <c r="T196" s="33"/>
      <c r="U196" s="33"/>
      <c r="V196" s="33"/>
      <c r="W196" s="33"/>
    </row>
    <row r="197" customFormat="false" ht="15" hidden="false" customHeight="false" outlineLevel="0" collapsed="false">
      <c r="A197" s="33"/>
      <c r="B197" s="33"/>
      <c r="C197" s="33"/>
      <c r="D197" s="33"/>
      <c r="E197" s="33"/>
      <c r="F197" s="33"/>
      <c r="G197" s="33"/>
      <c r="H197" s="33"/>
      <c r="I197" s="33"/>
      <c r="J197" s="33"/>
      <c r="K197" s="33"/>
      <c r="L197" s="34"/>
      <c r="M197" s="34"/>
      <c r="N197" s="34"/>
      <c r="O197" s="34"/>
      <c r="P197" s="33"/>
      <c r="Q197" s="35"/>
      <c r="R197" s="33"/>
      <c r="S197" s="33"/>
      <c r="T197" s="33"/>
      <c r="U197" s="33"/>
      <c r="V197" s="33"/>
      <c r="W197" s="33"/>
    </row>
    <row r="198" customFormat="false" ht="15" hidden="false" customHeight="false" outlineLevel="0" collapsed="false">
      <c r="A198" s="33"/>
      <c r="B198" s="33"/>
      <c r="C198" s="33"/>
      <c r="D198" s="33"/>
      <c r="E198" s="33"/>
      <c r="F198" s="33"/>
      <c r="G198" s="33"/>
      <c r="H198" s="33"/>
      <c r="I198" s="33"/>
      <c r="J198" s="33"/>
      <c r="K198" s="33"/>
      <c r="L198" s="34"/>
      <c r="M198" s="34"/>
      <c r="N198" s="34"/>
      <c r="O198" s="34"/>
      <c r="P198" s="33"/>
      <c r="Q198" s="35"/>
      <c r="R198" s="33"/>
      <c r="S198" s="33"/>
      <c r="T198" s="33"/>
      <c r="U198" s="33"/>
      <c r="V198" s="33"/>
      <c r="W198" s="33"/>
    </row>
    <row r="199" customFormat="false" ht="15" hidden="false" customHeight="false" outlineLevel="0" collapsed="false">
      <c r="A199" s="33"/>
      <c r="B199" s="33"/>
      <c r="C199" s="33"/>
      <c r="D199" s="33"/>
      <c r="E199" s="33"/>
      <c r="F199" s="33"/>
      <c r="G199" s="33"/>
      <c r="H199" s="33"/>
      <c r="I199" s="33"/>
      <c r="J199" s="33"/>
      <c r="K199" s="33"/>
      <c r="L199" s="34"/>
      <c r="M199" s="34"/>
      <c r="N199" s="34"/>
      <c r="O199" s="34"/>
      <c r="P199" s="33"/>
      <c r="Q199" s="35"/>
      <c r="R199" s="33"/>
      <c r="S199" s="33"/>
      <c r="T199" s="33"/>
      <c r="U199" s="33"/>
      <c r="V199" s="33"/>
      <c r="W199" s="33"/>
    </row>
    <row r="200" customFormat="false" ht="15" hidden="false" customHeight="false" outlineLevel="0" collapsed="false">
      <c r="A200" s="33"/>
      <c r="B200" s="33"/>
      <c r="C200" s="33"/>
      <c r="D200" s="33"/>
      <c r="E200" s="33"/>
      <c r="F200" s="33"/>
      <c r="G200" s="33"/>
      <c r="H200" s="33"/>
      <c r="I200" s="33"/>
      <c r="J200" s="33"/>
      <c r="K200" s="33"/>
      <c r="L200" s="34"/>
      <c r="M200" s="34"/>
      <c r="N200" s="34"/>
      <c r="O200" s="34"/>
      <c r="P200" s="33"/>
      <c r="Q200" s="35"/>
      <c r="R200" s="33"/>
      <c r="S200" s="33"/>
      <c r="T200" s="33"/>
      <c r="U200" s="33"/>
      <c r="V200" s="33"/>
      <c r="W200" s="33"/>
    </row>
    <row r="201" customFormat="false" ht="15" hidden="false" customHeight="false" outlineLevel="0" collapsed="false">
      <c r="A201" s="33"/>
      <c r="B201" s="33"/>
      <c r="C201" s="33"/>
      <c r="D201" s="33"/>
      <c r="E201" s="33"/>
      <c r="F201" s="33"/>
      <c r="G201" s="33"/>
      <c r="H201" s="33"/>
      <c r="I201" s="33"/>
      <c r="J201" s="33"/>
      <c r="K201" s="33"/>
      <c r="L201" s="34"/>
      <c r="M201" s="34"/>
      <c r="N201" s="34"/>
      <c r="O201" s="34"/>
      <c r="P201" s="33"/>
      <c r="Q201" s="35"/>
      <c r="R201" s="33"/>
      <c r="S201" s="33"/>
      <c r="T201" s="33"/>
      <c r="U201" s="33"/>
      <c r="V201" s="33"/>
      <c r="W201" s="33"/>
    </row>
    <row r="202" customFormat="false" ht="15" hidden="false" customHeight="false" outlineLevel="0" collapsed="false">
      <c r="A202" s="33"/>
      <c r="B202" s="33"/>
      <c r="C202" s="33"/>
      <c r="D202" s="33"/>
      <c r="E202" s="33"/>
      <c r="F202" s="33"/>
      <c r="G202" s="33"/>
      <c r="H202" s="33"/>
      <c r="I202" s="33"/>
      <c r="J202" s="33"/>
      <c r="K202" s="33"/>
      <c r="L202" s="34"/>
      <c r="M202" s="34"/>
      <c r="N202" s="34"/>
      <c r="O202" s="34"/>
      <c r="P202" s="33"/>
      <c r="Q202" s="35"/>
      <c r="R202" s="33"/>
      <c r="S202" s="33"/>
      <c r="T202" s="33"/>
      <c r="U202" s="33"/>
      <c r="V202" s="33"/>
      <c r="W202" s="33"/>
    </row>
    <row r="203" customFormat="false" ht="15" hidden="false" customHeight="false" outlineLevel="0" collapsed="false">
      <c r="A203" s="33"/>
      <c r="B203" s="33"/>
      <c r="C203" s="33"/>
      <c r="D203" s="33"/>
      <c r="E203" s="33"/>
      <c r="F203" s="33"/>
      <c r="G203" s="33"/>
      <c r="H203" s="33"/>
      <c r="I203" s="33"/>
      <c r="J203" s="33"/>
      <c r="K203" s="33"/>
      <c r="L203" s="34"/>
      <c r="M203" s="34"/>
      <c r="N203" s="34"/>
      <c r="O203" s="34"/>
      <c r="P203" s="33"/>
      <c r="Q203" s="35"/>
      <c r="R203" s="33"/>
      <c r="S203" s="33"/>
      <c r="T203" s="33"/>
      <c r="U203" s="33"/>
      <c r="V203" s="33"/>
      <c r="W203" s="33"/>
    </row>
    <row r="204" customFormat="false" ht="15" hidden="false" customHeight="false" outlineLevel="0" collapsed="false">
      <c r="A204" s="33"/>
      <c r="B204" s="33"/>
      <c r="C204" s="33"/>
      <c r="D204" s="33"/>
      <c r="E204" s="33"/>
      <c r="F204" s="33"/>
      <c r="G204" s="33"/>
      <c r="H204" s="33"/>
      <c r="I204" s="33"/>
      <c r="J204" s="33"/>
      <c r="K204" s="33"/>
      <c r="L204" s="34"/>
      <c r="M204" s="34"/>
      <c r="N204" s="34"/>
      <c r="O204" s="34"/>
      <c r="P204" s="33"/>
      <c r="Q204" s="35"/>
      <c r="R204" s="33"/>
      <c r="S204" s="33"/>
      <c r="T204" s="33"/>
      <c r="U204" s="33"/>
      <c r="V204" s="33"/>
      <c r="W204" s="33"/>
    </row>
    <row r="205" customFormat="false" ht="15" hidden="false" customHeight="false" outlineLevel="0" collapsed="false">
      <c r="A205" s="33"/>
      <c r="B205" s="33"/>
      <c r="C205" s="33"/>
      <c r="D205" s="33"/>
      <c r="E205" s="33"/>
      <c r="F205" s="33"/>
      <c r="G205" s="33"/>
      <c r="H205" s="33"/>
      <c r="I205" s="33"/>
      <c r="J205" s="33"/>
      <c r="K205" s="33"/>
      <c r="L205" s="34"/>
      <c r="M205" s="34"/>
      <c r="N205" s="34"/>
      <c r="O205" s="34"/>
      <c r="P205" s="33"/>
      <c r="Q205" s="35"/>
      <c r="R205" s="33"/>
      <c r="S205" s="33"/>
      <c r="T205" s="33"/>
      <c r="U205" s="33"/>
      <c r="V205" s="33"/>
      <c r="W205" s="33"/>
    </row>
    <row r="206" customFormat="false" ht="15" hidden="false" customHeight="false" outlineLevel="0" collapsed="false">
      <c r="A206" s="33"/>
      <c r="B206" s="33"/>
      <c r="C206" s="33"/>
      <c r="D206" s="33"/>
      <c r="E206" s="33"/>
      <c r="F206" s="33"/>
      <c r="G206" s="33"/>
      <c r="H206" s="33"/>
      <c r="I206" s="33"/>
      <c r="J206" s="33"/>
      <c r="K206" s="33"/>
      <c r="L206" s="34"/>
      <c r="M206" s="34"/>
      <c r="N206" s="34"/>
      <c r="O206" s="34"/>
      <c r="P206" s="33"/>
      <c r="Q206" s="35"/>
      <c r="R206" s="33"/>
      <c r="S206" s="33"/>
      <c r="T206" s="33"/>
      <c r="U206" s="33"/>
      <c r="V206" s="33"/>
      <c r="W206" s="33"/>
    </row>
    <row r="207" customFormat="false" ht="15" hidden="false" customHeight="false" outlineLevel="0" collapsed="false">
      <c r="A207" s="33"/>
      <c r="B207" s="33"/>
      <c r="C207" s="33"/>
      <c r="D207" s="33"/>
      <c r="E207" s="33"/>
      <c r="F207" s="33"/>
      <c r="G207" s="33"/>
      <c r="H207" s="33"/>
      <c r="I207" s="33"/>
      <c r="J207" s="33"/>
      <c r="K207" s="33"/>
      <c r="L207" s="34"/>
      <c r="M207" s="34"/>
      <c r="N207" s="34"/>
      <c r="O207" s="34"/>
      <c r="P207" s="33"/>
      <c r="Q207" s="35"/>
      <c r="R207" s="33"/>
      <c r="S207" s="33"/>
      <c r="T207" s="33"/>
      <c r="U207" s="33"/>
      <c r="V207" s="33"/>
      <c r="W207" s="33"/>
    </row>
    <row r="208" customFormat="false" ht="15" hidden="false" customHeight="false" outlineLevel="0" collapsed="false">
      <c r="A208" s="33"/>
      <c r="B208" s="33"/>
      <c r="C208" s="33"/>
      <c r="D208" s="33"/>
      <c r="E208" s="33"/>
      <c r="F208" s="33"/>
      <c r="G208" s="33"/>
      <c r="H208" s="33"/>
      <c r="I208" s="33"/>
      <c r="J208" s="33"/>
      <c r="K208" s="33"/>
      <c r="L208" s="34"/>
      <c r="M208" s="34"/>
      <c r="N208" s="34"/>
      <c r="O208" s="34"/>
      <c r="P208" s="33"/>
      <c r="Q208" s="35"/>
      <c r="R208" s="33"/>
      <c r="S208" s="33"/>
      <c r="T208" s="33"/>
      <c r="U208" s="33"/>
      <c r="V208" s="33"/>
      <c r="W208" s="33"/>
    </row>
    <row r="209" customFormat="false" ht="15" hidden="false" customHeight="false" outlineLevel="0" collapsed="false">
      <c r="A209" s="33"/>
      <c r="B209" s="33"/>
      <c r="C209" s="33"/>
      <c r="D209" s="33"/>
      <c r="E209" s="33"/>
      <c r="F209" s="33"/>
      <c r="G209" s="33"/>
      <c r="H209" s="33"/>
      <c r="I209" s="33"/>
      <c r="J209" s="33"/>
      <c r="K209" s="33"/>
      <c r="L209" s="34"/>
      <c r="M209" s="34"/>
      <c r="N209" s="34"/>
      <c r="O209" s="34"/>
      <c r="P209" s="33"/>
      <c r="Q209" s="35"/>
      <c r="R209" s="33"/>
      <c r="S209" s="33"/>
      <c r="T209" s="33"/>
      <c r="U209" s="33"/>
      <c r="V209" s="33"/>
      <c r="W209" s="33"/>
    </row>
    <row r="210" customFormat="false" ht="15" hidden="false" customHeight="false" outlineLevel="0" collapsed="false">
      <c r="A210" s="33"/>
      <c r="B210" s="33"/>
      <c r="C210" s="33"/>
      <c r="D210" s="33"/>
      <c r="E210" s="33"/>
      <c r="F210" s="33"/>
      <c r="G210" s="33"/>
      <c r="H210" s="33"/>
      <c r="I210" s="33"/>
      <c r="J210" s="33"/>
      <c r="K210" s="33"/>
      <c r="L210" s="34"/>
      <c r="M210" s="34"/>
      <c r="N210" s="34"/>
      <c r="O210" s="34"/>
      <c r="P210" s="33"/>
      <c r="Q210" s="35"/>
      <c r="R210" s="33"/>
      <c r="S210" s="33"/>
      <c r="T210" s="33"/>
      <c r="U210" s="33"/>
      <c r="V210" s="33"/>
      <c r="W210" s="33"/>
    </row>
    <row r="211" customFormat="false" ht="15" hidden="false" customHeight="false" outlineLevel="0" collapsed="false">
      <c r="A211" s="33"/>
      <c r="B211" s="33"/>
      <c r="C211" s="33"/>
      <c r="D211" s="33"/>
      <c r="E211" s="33"/>
      <c r="F211" s="33"/>
      <c r="G211" s="33"/>
      <c r="H211" s="33"/>
      <c r="I211" s="33"/>
      <c r="J211" s="33"/>
      <c r="K211" s="33"/>
      <c r="L211" s="34"/>
      <c r="M211" s="34"/>
      <c r="N211" s="34"/>
      <c r="O211" s="34"/>
      <c r="P211" s="33"/>
      <c r="Q211" s="35"/>
      <c r="R211" s="33"/>
      <c r="S211" s="33"/>
      <c r="T211" s="33"/>
      <c r="U211" s="33"/>
      <c r="V211" s="33"/>
      <c r="W211" s="33"/>
    </row>
    <row r="212" customFormat="false" ht="15" hidden="false" customHeight="false" outlineLevel="0" collapsed="false">
      <c r="A212" s="33"/>
      <c r="B212" s="33"/>
      <c r="C212" s="33"/>
      <c r="D212" s="33"/>
      <c r="E212" s="33"/>
      <c r="F212" s="33"/>
      <c r="G212" s="33"/>
      <c r="H212" s="33"/>
      <c r="I212" s="33"/>
      <c r="J212" s="33"/>
      <c r="K212" s="33"/>
      <c r="L212" s="34"/>
      <c r="M212" s="34"/>
      <c r="N212" s="34"/>
      <c r="O212" s="34"/>
      <c r="P212" s="33"/>
      <c r="Q212" s="35"/>
      <c r="R212" s="33"/>
      <c r="S212" s="33"/>
      <c r="T212" s="33"/>
      <c r="U212" s="33"/>
      <c r="V212" s="33"/>
      <c r="W212" s="33"/>
    </row>
    <row r="213" customFormat="false" ht="15" hidden="false" customHeight="false" outlineLevel="0" collapsed="false">
      <c r="A213" s="33"/>
      <c r="B213" s="33"/>
      <c r="C213" s="33"/>
      <c r="D213" s="33"/>
      <c r="E213" s="33"/>
      <c r="F213" s="33"/>
      <c r="G213" s="33"/>
      <c r="H213" s="33"/>
      <c r="I213" s="33"/>
      <c r="J213" s="33"/>
      <c r="K213" s="33"/>
      <c r="L213" s="34"/>
      <c r="M213" s="34"/>
      <c r="N213" s="34"/>
      <c r="O213" s="34"/>
      <c r="P213" s="33"/>
      <c r="Q213" s="35"/>
      <c r="R213" s="33"/>
      <c r="S213" s="33"/>
      <c r="T213" s="33"/>
      <c r="U213" s="33"/>
      <c r="V213" s="33"/>
      <c r="W213" s="33"/>
    </row>
    <row r="214" customFormat="false" ht="15" hidden="false" customHeight="false" outlineLevel="0" collapsed="false">
      <c r="A214" s="33"/>
      <c r="B214" s="33"/>
      <c r="C214" s="33"/>
      <c r="D214" s="33"/>
      <c r="E214" s="33"/>
      <c r="F214" s="33"/>
      <c r="G214" s="33"/>
      <c r="H214" s="33"/>
      <c r="I214" s="33"/>
      <c r="J214" s="33"/>
      <c r="K214" s="33"/>
      <c r="L214" s="34"/>
      <c r="M214" s="34"/>
      <c r="N214" s="34"/>
      <c r="O214" s="34"/>
      <c r="P214" s="33"/>
      <c r="Q214" s="35"/>
      <c r="R214" s="33"/>
      <c r="S214" s="33"/>
      <c r="T214" s="33"/>
      <c r="U214" s="33"/>
      <c r="V214" s="33"/>
      <c r="W214" s="33"/>
    </row>
    <row r="215" customFormat="false" ht="15" hidden="false" customHeight="false" outlineLevel="0" collapsed="false">
      <c r="A215" s="33"/>
      <c r="B215" s="33"/>
      <c r="C215" s="33"/>
      <c r="D215" s="33"/>
      <c r="E215" s="33"/>
      <c r="F215" s="33"/>
      <c r="G215" s="33"/>
      <c r="H215" s="33"/>
      <c r="I215" s="33"/>
      <c r="J215" s="33"/>
      <c r="K215" s="33"/>
      <c r="L215" s="34"/>
      <c r="M215" s="34"/>
      <c r="N215" s="34"/>
      <c r="O215" s="34"/>
      <c r="P215" s="33"/>
      <c r="Q215" s="35"/>
      <c r="R215" s="33"/>
      <c r="S215" s="33"/>
      <c r="T215" s="33"/>
      <c r="U215" s="33"/>
      <c r="V215" s="33"/>
      <c r="W215" s="33"/>
    </row>
    <row r="216" customFormat="false" ht="15" hidden="false" customHeight="false" outlineLevel="0" collapsed="false">
      <c r="A216" s="33"/>
      <c r="B216" s="33"/>
      <c r="C216" s="33"/>
      <c r="D216" s="33"/>
      <c r="E216" s="33"/>
      <c r="F216" s="33"/>
      <c r="G216" s="33"/>
      <c r="H216" s="33"/>
      <c r="I216" s="33"/>
      <c r="J216" s="33"/>
      <c r="K216" s="33"/>
      <c r="L216" s="34"/>
      <c r="M216" s="34"/>
      <c r="N216" s="34"/>
      <c r="O216" s="34"/>
      <c r="P216" s="33"/>
      <c r="Q216" s="35"/>
      <c r="R216" s="33"/>
      <c r="S216" s="33"/>
      <c r="T216" s="33"/>
      <c r="U216" s="33"/>
      <c r="V216" s="33"/>
      <c r="W216" s="33"/>
    </row>
    <row r="217" customFormat="false" ht="15" hidden="false" customHeight="false" outlineLevel="0" collapsed="false">
      <c r="A217" s="33"/>
      <c r="B217" s="33"/>
      <c r="C217" s="33"/>
      <c r="D217" s="33"/>
      <c r="E217" s="33"/>
      <c r="F217" s="33"/>
      <c r="G217" s="33"/>
      <c r="H217" s="33"/>
      <c r="I217" s="33"/>
      <c r="J217" s="33"/>
      <c r="K217" s="33"/>
      <c r="L217" s="34"/>
      <c r="M217" s="34"/>
      <c r="N217" s="34"/>
      <c r="O217" s="34"/>
      <c r="P217" s="33"/>
      <c r="Q217" s="35"/>
      <c r="R217" s="33"/>
      <c r="S217" s="33"/>
      <c r="T217" s="33"/>
      <c r="U217" s="33"/>
      <c r="V217" s="33"/>
      <c r="W217" s="33"/>
    </row>
    <row r="218" customFormat="false" ht="15" hidden="false" customHeight="false" outlineLevel="0" collapsed="false">
      <c r="A218" s="33"/>
      <c r="B218" s="33"/>
      <c r="C218" s="33"/>
      <c r="D218" s="33"/>
      <c r="E218" s="33"/>
      <c r="F218" s="33"/>
      <c r="G218" s="33"/>
      <c r="H218" s="33"/>
      <c r="I218" s="33"/>
      <c r="J218" s="33"/>
      <c r="K218" s="33"/>
      <c r="L218" s="34"/>
      <c r="M218" s="34"/>
      <c r="N218" s="34"/>
      <c r="O218" s="34"/>
      <c r="P218" s="33"/>
      <c r="Q218" s="35"/>
      <c r="R218" s="33"/>
      <c r="S218" s="33"/>
      <c r="T218" s="33"/>
      <c r="U218" s="33"/>
      <c r="V218" s="33"/>
      <c r="W218" s="33"/>
    </row>
    <row r="219" customFormat="false" ht="15" hidden="false" customHeight="false" outlineLevel="0" collapsed="false">
      <c r="A219" s="33"/>
      <c r="B219" s="33"/>
      <c r="C219" s="33"/>
      <c r="D219" s="33"/>
      <c r="E219" s="33"/>
      <c r="F219" s="33"/>
      <c r="G219" s="33"/>
      <c r="H219" s="33"/>
      <c r="I219" s="33"/>
      <c r="J219" s="33"/>
      <c r="K219" s="33"/>
      <c r="L219" s="34"/>
      <c r="M219" s="34"/>
      <c r="N219" s="34"/>
      <c r="O219" s="34"/>
      <c r="P219" s="33"/>
      <c r="Q219" s="35"/>
      <c r="R219" s="33"/>
      <c r="S219" s="33"/>
      <c r="T219" s="33"/>
      <c r="U219" s="33"/>
      <c r="V219" s="33"/>
      <c r="W219" s="33"/>
    </row>
    <row r="220" customFormat="false" ht="15" hidden="false" customHeight="false" outlineLevel="0" collapsed="false">
      <c r="A220" s="33"/>
      <c r="B220" s="33"/>
      <c r="C220" s="33"/>
      <c r="D220" s="33"/>
      <c r="E220" s="33"/>
      <c r="F220" s="33"/>
      <c r="G220" s="33"/>
      <c r="H220" s="33"/>
      <c r="I220" s="33"/>
      <c r="J220" s="33"/>
      <c r="K220" s="33"/>
      <c r="L220" s="34"/>
      <c r="M220" s="34"/>
      <c r="N220" s="34"/>
      <c r="O220" s="34"/>
      <c r="P220" s="33"/>
      <c r="Q220" s="35"/>
      <c r="R220" s="33"/>
      <c r="S220" s="33"/>
      <c r="T220" s="33"/>
      <c r="U220" s="33"/>
      <c r="V220" s="33"/>
      <c r="W220" s="33"/>
    </row>
    <row r="221" customFormat="false" ht="15" hidden="false" customHeight="false" outlineLevel="0" collapsed="false">
      <c r="A221" s="33"/>
      <c r="B221" s="33"/>
      <c r="C221" s="33"/>
      <c r="D221" s="33"/>
      <c r="E221" s="33"/>
      <c r="F221" s="33"/>
      <c r="G221" s="33"/>
      <c r="H221" s="33"/>
      <c r="I221" s="33"/>
      <c r="J221" s="33"/>
      <c r="K221" s="33"/>
      <c r="L221" s="34"/>
      <c r="M221" s="34"/>
      <c r="N221" s="34"/>
      <c r="O221" s="34"/>
      <c r="P221" s="33"/>
      <c r="Q221" s="35"/>
      <c r="R221" s="33"/>
      <c r="S221" s="33"/>
      <c r="T221" s="33"/>
      <c r="U221" s="33"/>
      <c r="V221" s="33"/>
      <c r="W221" s="33"/>
    </row>
    <row r="222" customFormat="false" ht="15" hidden="false" customHeight="false" outlineLevel="0" collapsed="false">
      <c r="A222" s="33"/>
      <c r="B222" s="33"/>
      <c r="C222" s="33"/>
      <c r="D222" s="33"/>
      <c r="E222" s="33"/>
      <c r="F222" s="33"/>
      <c r="G222" s="33"/>
      <c r="H222" s="33"/>
      <c r="I222" s="33"/>
      <c r="J222" s="33"/>
      <c r="K222" s="33"/>
      <c r="L222" s="34"/>
      <c r="M222" s="34"/>
      <c r="N222" s="34"/>
      <c r="O222" s="34"/>
      <c r="P222" s="33"/>
      <c r="Q222" s="35"/>
      <c r="R222" s="33"/>
      <c r="S222" s="33"/>
      <c r="T222" s="33"/>
      <c r="U222" s="33"/>
      <c r="V222" s="33"/>
      <c r="W222" s="33"/>
    </row>
    <row r="223" customFormat="false" ht="15" hidden="false" customHeight="false" outlineLevel="0" collapsed="false">
      <c r="A223" s="33"/>
      <c r="B223" s="33"/>
      <c r="C223" s="33"/>
      <c r="D223" s="33"/>
      <c r="E223" s="33"/>
      <c r="F223" s="33"/>
      <c r="G223" s="33"/>
      <c r="H223" s="33"/>
      <c r="I223" s="33"/>
      <c r="J223" s="33"/>
      <c r="K223" s="33"/>
      <c r="L223" s="34"/>
      <c r="M223" s="34"/>
      <c r="N223" s="34"/>
      <c r="O223" s="34"/>
      <c r="P223" s="33"/>
      <c r="Q223" s="35"/>
      <c r="R223" s="33"/>
      <c r="S223" s="33"/>
      <c r="T223" s="33"/>
      <c r="U223" s="33"/>
      <c r="V223" s="33"/>
      <c r="W223" s="33"/>
    </row>
    <row r="224" customFormat="false" ht="15" hidden="false" customHeight="false" outlineLevel="0" collapsed="false">
      <c r="A224" s="33"/>
      <c r="B224" s="33"/>
      <c r="C224" s="33"/>
      <c r="D224" s="33"/>
      <c r="E224" s="33"/>
      <c r="F224" s="33"/>
      <c r="G224" s="33"/>
      <c r="H224" s="33"/>
      <c r="I224" s="33"/>
      <c r="J224" s="33"/>
      <c r="K224" s="33"/>
      <c r="L224" s="34"/>
      <c r="M224" s="34"/>
      <c r="N224" s="34"/>
      <c r="O224" s="34"/>
      <c r="P224" s="33"/>
      <c r="Q224" s="35"/>
      <c r="R224" s="33"/>
      <c r="S224" s="33"/>
      <c r="T224" s="33"/>
      <c r="U224" s="33"/>
      <c r="V224" s="33"/>
      <c r="W224" s="33"/>
    </row>
    <row r="225" customFormat="false" ht="15" hidden="false" customHeight="false" outlineLevel="0" collapsed="false">
      <c r="A225" s="33"/>
      <c r="B225" s="33"/>
      <c r="C225" s="33"/>
      <c r="D225" s="33"/>
      <c r="E225" s="33"/>
      <c r="F225" s="33"/>
      <c r="G225" s="33"/>
      <c r="H225" s="33"/>
      <c r="I225" s="33"/>
      <c r="J225" s="33"/>
      <c r="K225" s="33"/>
      <c r="L225" s="34"/>
      <c r="M225" s="34"/>
      <c r="N225" s="34"/>
      <c r="O225" s="34"/>
      <c r="P225" s="33"/>
      <c r="Q225" s="35"/>
      <c r="R225" s="33"/>
      <c r="S225" s="33"/>
      <c r="T225" s="33"/>
      <c r="U225" s="33"/>
      <c r="V225" s="33"/>
      <c r="W225" s="33"/>
    </row>
    <row r="226" customFormat="false" ht="15" hidden="false" customHeight="false" outlineLevel="0" collapsed="false">
      <c r="A226" s="33"/>
      <c r="B226" s="33"/>
      <c r="C226" s="33"/>
      <c r="D226" s="33"/>
      <c r="E226" s="33"/>
      <c r="F226" s="33"/>
      <c r="G226" s="33"/>
      <c r="H226" s="33"/>
      <c r="I226" s="33"/>
      <c r="J226" s="33"/>
      <c r="K226" s="33"/>
      <c r="L226" s="34"/>
      <c r="M226" s="34"/>
      <c r="N226" s="34"/>
      <c r="O226" s="34"/>
      <c r="P226" s="33"/>
      <c r="Q226" s="35"/>
      <c r="R226" s="33"/>
      <c r="S226" s="33"/>
      <c r="T226" s="33"/>
      <c r="U226" s="33"/>
      <c r="V226" s="33"/>
      <c r="W226" s="33"/>
    </row>
    <row r="227" customFormat="false" ht="15" hidden="false" customHeight="false" outlineLevel="0" collapsed="false">
      <c r="A227" s="33"/>
      <c r="B227" s="33"/>
      <c r="C227" s="33"/>
      <c r="D227" s="33"/>
      <c r="E227" s="33"/>
      <c r="F227" s="33"/>
      <c r="G227" s="33"/>
      <c r="H227" s="33"/>
      <c r="I227" s="33"/>
      <c r="J227" s="33"/>
      <c r="K227" s="33"/>
      <c r="L227" s="34"/>
      <c r="M227" s="34"/>
      <c r="N227" s="34"/>
      <c r="O227" s="34"/>
      <c r="P227" s="33"/>
      <c r="Q227" s="35"/>
      <c r="R227" s="33"/>
      <c r="S227" s="33"/>
      <c r="T227" s="33"/>
      <c r="U227" s="33"/>
      <c r="V227" s="33"/>
      <c r="W227" s="33"/>
    </row>
    <row r="228" customFormat="false" ht="15" hidden="false" customHeight="false" outlineLevel="0" collapsed="false">
      <c r="A228" s="33"/>
      <c r="B228" s="33"/>
      <c r="C228" s="33"/>
      <c r="D228" s="33"/>
      <c r="E228" s="33"/>
      <c r="F228" s="33"/>
      <c r="G228" s="33"/>
      <c r="H228" s="33"/>
      <c r="I228" s="33"/>
      <c r="J228" s="33"/>
      <c r="K228" s="33"/>
      <c r="L228" s="34"/>
      <c r="M228" s="34"/>
      <c r="N228" s="34"/>
      <c r="O228" s="34"/>
      <c r="P228" s="33"/>
      <c r="Q228" s="35"/>
      <c r="R228" s="33"/>
      <c r="S228" s="33"/>
      <c r="T228" s="33"/>
      <c r="U228" s="33"/>
      <c r="V228" s="33"/>
      <c r="W228" s="33"/>
    </row>
    <row r="229" customFormat="false" ht="15" hidden="false" customHeight="false" outlineLevel="0" collapsed="false">
      <c r="A229" s="33"/>
      <c r="B229" s="33"/>
      <c r="C229" s="33"/>
      <c r="D229" s="33"/>
      <c r="E229" s="33"/>
      <c r="F229" s="33"/>
      <c r="G229" s="33"/>
      <c r="H229" s="33"/>
      <c r="I229" s="33"/>
      <c r="J229" s="33"/>
      <c r="K229" s="33"/>
      <c r="L229" s="34"/>
      <c r="M229" s="34"/>
      <c r="N229" s="34"/>
      <c r="O229" s="34"/>
      <c r="P229" s="33"/>
      <c r="Q229" s="35"/>
      <c r="R229" s="33"/>
      <c r="S229" s="33"/>
      <c r="T229" s="33"/>
      <c r="U229" s="33"/>
      <c r="V229" s="33"/>
      <c r="W229" s="33"/>
    </row>
    <row r="230" customFormat="false" ht="15" hidden="false" customHeight="false" outlineLevel="0" collapsed="false">
      <c r="A230" s="33"/>
      <c r="B230" s="33"/>
      <c r="C230" s="33"/>
      <c r="D230" s="33"/>
      <c r="E230" s="33"/>
      <c r="F230" s="33"/>
      <c r="G230" s="33"/>
      <c r="H230" s="33"/>
      <c r="I230" s="33"/>
      <c r="J230" s="33"/>
      <c r="K230" s="33"/>
      <c r="L230" s="34"/>
      <c r="M230" s="34"/>
      <c r="N230" s="34"/>
      <c r="O230" s="34"/>
      <c r="P230" s="33"/>
      <c r="Q230" s="35"/>
      <c r="R230" s="33"/>
      <c r="S230" s="33"/>
      <c r="T230" s="33"/>
      <c r="U230" s="33"/>
      <c r="V230" s="33"/>
      <c r="W230" s="33"/>
    </row>
    <row r="231" customFormat="false" ht="15" hidden="false" customHeight="false" outlineLevel="0" collapsed="false">
      <c r="A231" s="33"/>
      <c r="B231" s="33"/>
      <c r="C231" s="33"/>
      <c r="D231" s="33"/>
      <c r="E231" s="33"/>
      <c r="F231" s="33"/>
      <c r="G231" s="33"/>
      <c r="H231" s="33"/>
      <c r="I231" s="33"/>
      <c r="J231" s="33"/>
      <c r="K231" s="33"/>
      <c r="L231" s="34"/>
      <c r="M231" s="34"/>
      <c r="N231" s="34"/>
      <c r="O231" s="34"/>
      <c r="P231" s="33"/>
      <c r="Q231" s="35"/>
      <c r="R231" s="33"/>
      <c r="S231" s="33"/>
      <c r="T231" s="33"/>
      <c r="U231" s="33"/>
      <c r="V231" s="33"/>
      <c r="W231" s="33"/>
    </row>
    <row r="232" customFormat="false" ht="15" hidden="false" customHeight="false" outlineLevel="0" collapsed="false">
      <c r="A232" s="33"/>
      <c r="B232" s="33"/>
      <c r="C232" s="33"/>
      <c r="D232" s="33"/>
      <c r="E232" s="33"/>
      <c r="F232" s="33"/>
      <c r="G232" s="33"/>
      <c r="H232" s="33"/>
      <c r="I232" s="33"/>
      <c r="J232" s="33"/>
      <c r="K232" s="33"/>
      <c r="L232" s="34"/>
      <c r="M232" s="34"/>
      <c r="N232" s="34"/>
      <c r="O232" s="34"/>
      <c r="P232" s="33"/>
      <c r="Q232" s="35"/>
      <c r="R232" s="33"/>
      <c r="S232" s="33"/>
      <c r="T232" s="33"/>
      <c r="U232" s="33"/>
      <c r="V232" s="33"/>
      <c r="W232" s="33"/>
    </row>
    <row r="233" customFormat="false" ht="15" hidden="false" customHeight="false" outlineLevel="0" collapsed="false">
      <c r="A233" s="33"/>
      <c r="B233" s="33"/>
      <c r="C233" s="33"/>
      <c r="D233" s="33"/>
      <c r="E233" s="33"/>
      <c r="F233" s="33"/>
      <c r="G233" s="33"/>
      <c r="H233" s="33"/>
      <c r="I233" s="33"/>
      <c r="J233" s="33"/>
      <c r="K233" s="33"/>
      <c r="L233" s="34"/>
      <c r="M233" s="34"/>
      <c r="N233" s="34"/>
      <c r="O233" s="34"/>
      <c r="P233" s="33"/>
      <c r="Q233" s="35"/>
      <c r="R233" s="33"/>
      <c r="S233" s="33"/>
      <c r="T233" s="33"/>
      <c r="U233" s="33"/>
      <c r="V233" s="33"/>
      <c r="W233" s="33"/>
    </row>
    <row r="234" customFormat="false" ht="15" hidden="false" customHeight="false" outlineLevel="0" collapsed="false">
      <c r="A234" s="33"/>
      <c r="B234" s="33"/>
      <c r="C234" s="33"/>
      <c r="D234" s="33"/>
      <c r="E234" s="33"/>
      <c r="F234" s="33"/>
      <c r="G234" s="33"/>
      <c r="H234" s="33"/>
      <c r="I234" s="33"/>
      <c r="J234" s="33"/>
      <c r="K234" s="33"/>
      <c r="L234" s="34"/>
      <c r="M234" s="34"/>
      <c r="N234" s="34"/>
      <c r="O234" s="34"/>
      <c r="P234" s="33"/>
      <c r="Q234" s="35"/>
      <c r="R234" s="33"/>
      <c r="S234" s="33"/>
      <c r="T234" s="33"/>
      <c r="U234" s="33"/>
      <c r="V234" s="33"/>
      <c r="W234" s="33"/>
    </row>
    <row r="235" customFormat="false" ht="15" hidden="false" customHeight="false" outlineLevel="0" collapsed="false">
      <c r="A235" s="33"/>
      <c r="B235" s="33"/>
      <c r="C235" s="33"/>
      <c r="D235" s="33"/>
      <c r="E235" s="33"/>
      <c r="F235" s="33"/>
      <c r="G235" s="33"/>
      <c r="H235" s="33"/>
      <c r="I235" s="33"/>
      <c r="J235" s="33"/>
      <c r="K235" s="33"/>
      <c r="L235" s="34"/>
      <c r="M235" s="34"/>
      <c r="N235" s="34"/>
      <c r="O235" s="34"/>
      <c r="P235" s="33"/>
      <c r="Q235" s="35"/>
      <c r="R235" s="33"/>
      <c r="S235" s="33"/>
      <c r="T235" s="33"/>
      <c r="U235" s="33"/>
      <c r="V235" s="33"/>
      <c r="W235" s="33"/>
    </row>
    <row r="236" customFormat="false" ht="15" hidden="false" customHeight="false" outlineLevel="0" collapsed="false">
      <c r="A236" s="33"/>
      <c r="B236" s="33"/>
      <c r="C236" s="33"/>
      <c r="D236" s="33"/>
      <c r="E236" s="33"/>
      <c r="F236" s="33"/>
      <c r="G236" s="33"/>
      <c r="H236" s="33"/>
      <c r="I236" s="33"/>
      <c r="J236" s="33"/>
      <c r="K236" s="33"/>
      <c r="L236" s="34"/>
      <c r="M236" s="34"/>
      <c r="N236" s="34"/>
      <c r="O236" s="34"/>
      <c r="P236" s="33"/>
      <c r="Q236" s="35"/>
      <c r="R236" s="33"/>
      <c r="S236" s="33"/>
      <c r="T236" s="33"/>
      <c r="U236" s="33"/>
      <c r="V236" s="33"/>
      <c r="W236" s="33"/>
    </row>
    <row r="237" customFormat="false" ht="15" hidden="false" customHeight="false" outlineLevel="0" collapsed="false">
      <c r="A237" s="33"/>
      <c r="B237" s="33"/>
      <c r="C237" s="33"/>
      <c r="D237" s="33"/>
      <c r="E237" s="33"/>
      <c r="F237" s="33"/>
      <c r="G237" s="33"/>
      <c r="H237" s="33"/>
      <c r="I237" s="33"/>
      <c r="J237" s="33"/>
      <c r="K237" s="33"/>
      <c r="L237" s="34"/>
      <c r="M237" s="34"/>
      <c r="N237" s="34"/>
      <c r="O237" s="34"/>
      <c r="P237" s="33"/>
      <c r="Q237" s="35"/>
      <c r="R237" s="33"/>
      <c r="S237" s="33"/>
      <c r="T237" s="33"/>
      <c r="U237" s="33"/>
      <c r="V237" s="33"/>
      <c r="W237" s="33"/>
    </row>
    <row r="238" customFormat="false" ht="15" hidden="false" customHeight="false" outlineLevel="0" collapsed="false">
      <c r="A238" s="33"/>
      <c r="B238" s="33"/>
      <c r="C238" s="33"/>
      <c r="D238" s="33"/>
      <c r="E238" s="33"/>
      <c r="F238" s="33"/>
      <c r="G238" s="33"/>
      <c r="H238" s="33"/>
      <c r="I238" s="33"/>
      <c r="J238" s="33"/>
      <c r="K238" s="33"/>
      <c r="L238" s="34"/>
      <c r="M238" s="34"/>
      <c r="N238" s="34"/>
      <c r="O238" s="34"/>
      <c r="P238" s="33"/>
      <c r="Q238" s="35"/>
      <c r="R238" s="33"/>
      <c r="S238" s="33"/>
      <c r="T238" s="33"/>
      <c r="U238" s="33"/>
      <c r="V238" s="33"/>
      <c r="W238" s="33"/>
    </row>
    <row r="239" customFormat="false" ht="15" hidden="false" customHeight="false" outlineLevel="0" collapsed="false">
      <c r="A239" s="33"/>
      <c r="B239" s="33"/>
      <c r="C239" s="33"/>
      <c r="D239" s="33"/>
      <c r="E239" s="33"/>
      <c r="F239" s="33"/>
      <c r="G239" s="33"/>
      <c r="H239" s="33"/>
      <c r="I239" s="33"/>
      <c r="J239" s="33"/>
      <c r="K239" s="33"/>
      <c r="L239" s="34"/>
      <c r="M239" s="34"/>
      <c r="N239" s="34"/>
      <c r="O239" s="34"/>
      <c r="P239" s="33"/>
      <c r="Q239" s="35"/>
      <c r="R239" s="33"/>
      <c r="S239" s="33"/>
      <c r="T239" s="33"/>
      <c r="U239" s="33"/>
      <c r="V239" s="33"/>
      <c r="W239" s="33"/>
    </row>
    <row r="240" customFormat="false" ht="15" hidden="false" customHeight="false" outlineLevel="0" collapsed="false">
      <c r="A240" s="33"/>
      <c r="B240" s="33"/>
      <c r="C240" s="33"/>
      <c r="D240" s="33"/>
      <c r="E240" s="33"/>
      <c r="F240" s="33"/>
      <c r="G240" s="33"/>
      <c r="H240" s="33"/>
      <c r="I240" s="33"/>
      <c r="J240" s="33"/>
      <c r="K240" s="33"/>
      <c r="L240" s="34"/>
      <c r="M240" s="34"/>
      <c r="N240" s="34"/>
      <c r="O240" s="34"/>
      <c r="P240" s="33"/>
      <c r="Q240" s="35"/>
      <c r="R240" s="33"/>
      <c r="S240" s="33"/>
      <c r="T240" s="33"/>
      <c r="U240" s="33"/>
      <c r="V240" s="33"/>
      <c r="W240" s="33"/>
    </row>
    <row r="241" customFormat="false" ht="15" hidden="false" customHeight="false" outlineLevel="0" collapsed="false">
      <c r="A241" s="33"/>
      <c r="B241" s="33"/>
      <c r="C241" s="33"/>
      <c r="D241" s="33"/>
      <c r="E241" s="33"/>
      <c r="F241" s="33"/>
      <c r="G241" s="33"/>
      <c r="H241" s="33"/>
      <c r="I241" s="33"/>
      <c r="J241" s="33"/>
      <c r="K241" s="33"/>
      <c r="L241" s="34"/>
      <c r="M241" s="34"/>
      <c r="N241" s="34"/>
      <c r="O241" s="34"/>
      <c r="P241" s="33"/>
      <c r="Q241" s="35"/>
      <c r="R241" s="33"/>
      <c r="S241" s="33"/>
      <c r="T241" s="33"/>
      <c r="U241" s="33"/>
      <c r="V241" s="33"/>
      <c r="W241" s="33"/>
    </row>
    <row r="242" customFormat="false" ht="15" hidden="false" customHeight="false" outlineLevel="0" collapsed="false">
      <c r="A242" s="33"/>
      <c r="B242" s="33"/>
      <c r="C242" s="33"/>
      <c r="D242" s="33"/>
      <c r="E242" s="33"/>
      <c r="F242" s="33"/>
      <c r="G242" s="33"/>
      <c r="H242" s="33"/>
      <c r="I242" s="33"/>
      <c r="J242" s="33"/>
      <c r="K242" s="33"/>
      <c r="L242" s="34"/>
      <c r="M242" s="34"/>
      <c r="N242" s="34"/>
      <c r="O242" s="34"/>
      <c r="P242" s="33"/>
      <c r="Q242" s="35"/>
      <c r="R242" s="33"/>
      <c r="S242" s="33"/>
      <c r="T242" s="33"/>
      <c r="U242" s="33"/>
      <c r="V242" s="33"/>
      <c r="W242" s="33"/>
    </row>
    <row r="243" customFormat="false" ht="15" hidden="false" customHeight="false" outlineLevel="0" collapsed="false">
      <c r="A243" s="33"/>
      <c r="B243" s="33"/>
      <c r="C243" s="33"/>
      <c r="D243" s="33"/>
      <c r="E243" s="33"/>
      <c r="F243" s="33"/>
      <c r="G243" s="33"/>
      <c r="H243" s="33"/>
      <c r="I243" s="33"/>
      <c r="J243" s="33"/>
      <c r="K243" s="33"/>
      <c r="L243" s="34"/>
      <c r="M243" s="34"/>
      <c r="N243" s="34"/>
      <c r="O243" s="34"/>
      <c r="P243" s="33"/>
      <c r="Q243" s="35"/>
      <c r="R243" s="33"/>
      <c r="S243" s="33"/>
      <c r="T243" s="33"/>
      <c r="U243" s="33"/>
      <c r="V243" s="33"/>
      <c r="W243" s="33"/>
    </row>
    <row r="244" customFormat="false" ht="15" hidden="false" customHeight="false" outlineLevel="0" collapsed="false">
      <c r="A244" s="33"/>
      <c r="B244" s="33"/>
      <c r="C244" s="33"/>
      <c r="D244" s="33"/>
      <c r="E244" s="33"/>
      <c r="F244" s="33"/>
      <c r="G244" s="33"/>
      <c r="H244" s="33"/>
      <c r="I244" s="33"/>
      <c r="J244" s="33"/>
      <c r="K244" s="33"/>
      <c r="L244" s="34"/>
      <c r="M244" s="34"/>
      <c r="N244" s="34"/>
      <c r="O244" s="34"/>
      <c r="P244" s="33"/>
      <c r="Q244" s="35"/>
      <c r="R244" s="33"/>
      <c r="S244" s="33"/>
      <c r="T244" s="33"/>
      <c r="U244" s="33"/>
      <c r="V244" s="33"/>
      <c r="W244" s="33"/>
    </row>
    <row r="245" customFormat="false" ht="15" hidden="false" customHeight="false" outlineLevel="0" collapsed="false">
      <c r="A245" s="33"/>
      <c r="B245" s="33"/>
      <c r="C245" s="33"/>
      <c r="D245" s="33"/>
      <c r="E245" s="33"/>
      <c r="F245" s="33"/>
      <c r="G245" s="33"/>
      <c r="H245" s="33"/>
      <c r="I245" s="33"/>
      <c r="J245" s="33"/>
      <c r="K245" s="33"/>
      <c r="L245" s="34"/>
      <c r="M245" s="34"/>
      <c r="N245" s="34"/>
      <c r="O245" s="34"/>
      <c r="P245" s="33"/>
      <c r="Q245" s="35"/>
      <c r="R245" s="33"/>
      <c r="S245" s="33"/>
      <c r="T245" s="33"/>
      <c r="U245" s="33"/>
      <c r="V245" s="33"/>
      <c r="W245" s="33"/>
    </row>
    <row r="246" customFormat="false" ht="15" hidden="false" customHeight="false" outlineLevel="0" collapsed="false">
      <c r="A246" s="33"/>
      <c r="B246" s="33"/>
      <c r="C246" s="33"/>
      <c r="D246" s="33"/>
      <c r="E246" s="33"/>
      <c r="F246" s="33"/>
      <c r="G246" s="33"/>
      <c r="H246" s="33"/>
      <c r="I246" s="33"/>
      <c r="J246" s="33"/>
      <c r="K246" s="33"/>
      <c r="L246" s="34"/>
      <c r="M246" s="34"/>
      <c r="N246" s="34"/>
      <c r="O246" s="34"/>
      <c r="P246" s="33"/>
      <c r="Q246" s="35"/>
      <c r="R246" s="33"/>
      <c r="S246" s="33"/>
      <c r="T246" s="33"/>
      <c r="U246" s="33"/>
      <c r="V246" s="33"/>
      <c r="W246" s="33"/>
    </row>
    <row r="247" customFormat="false" ht="15" hidden="false" customHeight="false" outlineLevel="0" collapsed="false">
      <c r="A247" s="33"/>
      <c r="B247" s="33"/>
      <c r="C247" s="33"/>
      <c r="D247" s="33"/>
      <c r="E247" s="33"/>
      <c r="F247" s="33"/>
      <c r="G247" s="33"/>
      <c r="H247" s="33"/>
      <c r="I247" s="33"/>
      <c r="J247" s="33"/>
      <c r="K247" s="33"/>
      <c r="L247" s="34"/>
      <c r="M247" s="34"/>
      <c r="N247" s="34"/>
      <c r="O247" s="34"/>
      <c r="P247" s="33"/>
      <c r="Q247" s="35"/>
      <c r="R247" s="33"/>
      <c r="S247" s="33"/>
      <c r="T247" s="33"/>
      <c r="U247" s="33"/>
      <c r="V247" s="33"/>
      <c r="W247" s="33"/>
    </row>
    <row r="248" customFormat="false" ht="15" hidden="false" customHeight="false" outlineLevel="0" collapsed="false">
      <c r="A248" s="33"/>
      <c r="B248" s="33"/>
      <c r="C248" s="33"/>
      <c r="D248" s="33"/>
      <c r="E248" s="33"/>
      <c r="F248" s="33"/>
      <c r="G248" s="33"/>
      <c r="H248" s="33"/>
      <c r="I248" s="33"/>
      <c r="J248" s="33"/>
      <c r="K248" s="33"/>
      <c r="L248" s="34"/>
      <c r="M248" s="34"/>
      <c r="N248" s="34"/>
      <c r="O248" s="34"/>
      <c r="P248" s="33"/>
      <c r="Q248" s="35"/>
      <c r="R248" s="33"/>
      <c r="S248" s="33"/>
      <c r="T248" s="33"/>
      <c r="U248" s="33"/>
      <c r="V248" s="33"/>
      <c r="W248" s="33"/>
    </row>
    <row r="249" customFormat="false" ht="15" hidden="false" customHeight="false" outlineLevel="0" collapsed="false">
      <c r="A249" s="33"/>
      <c r="B249" s="33"/>
      <c r="C249" s="33"/>
      <c r="D249" s="33"/>
      <c r="E249" s="33"/>
      <c r="F249" s="33"/>
      <c r="G249" s="33"/>
      <c r="H249" s="33"/>
      <c r="I249" s="33"/>
      <c r="J249" s="33"/>
      <c r="K249" s="33"/>
      <c r="L249" s="34"/>
      <c r="M249" s="34"/>
      <c r="N249" s="34"/>
      <c r="O249" s="34"/>
      <c r="P249" s="33"/>
      <c r="Q249" s="35"/>
      <c r="R249" s="33"/>
      <c r="S249" s="33"/>
      <c r="T249" s="33"/>
      <c r="U249" s="33"/>
      <c r="V249" s="33"/>
      <c r="W249" s="33"/>
    </row>
    <row r="250" customFormat="false" ht="15" hidden="false" customHeight="false" outlineLevel="0" collapsed="false">
      <c r="A250" s="33"/>
      <c r="B250" s="33"/>
      <c r="C250" s="33"/>
      <c r="D250" s="33"/>
      <c r="E250" s="33"/>
      <c r="F250" s="33"/>
      <c r="G250" s="33"/>
      <c r="H250" s="33"/>
      <c r="I250" s="33"/>
      <c r="J250" s="33"/>
      <c r="K250" s="33"/>
      <c r="L250" s="34"/>
      <c r="M250" s="34"/>
      <c r="N250" s="34"/>
      <c r="O250" s="34"/>
      <c r="P250" s="33"/>
      <c r="Q250" s="35"/>
      <c r="R250" s="33"/>
      <c r="S250" s="33"/>
      <c r="T250" s="33"/>
      <c r="U250" s="33"/>
      <c r="V250" s="33"/>
      <c r="W250" s="33"/>
    </row>
    <row r="251" customFormat="false" ht="15" hidden="false" customHeight="false" outlineLevel="0" collapsed="false">
      <c r="A251" s="33"/>
      <c r="B251" s="33"/>
      <c r="C251" s="33"/>
      <c r="D251" s="33"/>
      <c r="E251" s="33"/>
      <c r="F251" s="33"/>
      <c r="G251" s="33"/>
      <c r="H251" s="33"/>
      <c r="I251" s="33"/>
      <c r="J251" s="33"/>
      <c r="K251" s="33"/>
      <c r="L251" s="34"/>
      <c r="M251" s="34"/>
      <c r="N251" s="34"/>
      <c r="O251" s="34"/>
      <c r="P251" s="33"/>
      <c r="Q251" s="35"/>
      <c r="R251" s="33"/>
      <c r="S251" s="33"/>
      <c r="T251" s="33"/>
      <c r="U251" s="33"/>
      <c r="V251" s="33"/>
      <c r="W251" s="33"/>
    </row>
    <row r="252" customFormat="false" ht="15" hidden="false" customHeight="false" outlineLevel="0" collapsed="false">
      <c r="A252" s="33"/>
      <c r="B252" s="33"/>
      <c r="C252" s="33"/>
      <c r="D252" s="33"/>
      <c r="E252" s="33"/>
      <c r="F252" s="33"/>
      <c r="G252" s="33"/>
      <c r="H252" s="33"/>
      <c r="I252" s="33"/>
      <c r="J252" s="33"/>
      <c r="K252" s="33"/>
      <c r="L252" s="34"/>
      <c r="M252" s="34"/>
      <c r="N252" s="34"/>
      <c r="O252" s="34"/>
      <c r="P252" s="33"/>
      <c r="Q252" s="35"/>
      <c r="R252" s="33"/>
      <c r="S252" s="33"/>
      <c r="T252" s="33"/>
      <c r="U252" s="33"/>
      <c r="V252" s="33"/>
      <c r="W252" s="33"/>
    </row>
    <row r="253" customFormat="false" ht="15" hidden="false" customHeight="false" outlineLevel="0" collapsed="false">
      <c r="A253" s="33"/>
      <c r="B253" s="33"/>
      <c r="C253" s="33"/>
      <c r="D253" s="33"/>
      <c r="E253" s="33"/>
      <c r="F253" s="33"/>
      <c r="G253" s="33"/>
      <c r="H253" s="33"/>
      <c r="I253" s="33"/>
      <c r="J253" s="33"/>
      <c r="K253" s="33"/>
      <c r="L253" s="34"/>
      <c r="M253" s="34"/>
      <c r="N253" s="34"/>
      <c r="O253" s="34"/>
      <c r="P253" s="33"/>
      <c r="Q253" s="35"/>
      <c r="R253" s="33"/>
      <c r="S253" s="33"/>
      <c r="T253" s="33"/>
      <c r="U253" s="33"/>
      <c r="V253" s="33"/>
      <c r="W253" s="33"/>
    </row>
    <row r="254" customFormat="false" ht="15" hidden="false" customHeight="false" outlineLevel="0" collapsed="false">
      <c r="A254" s="33"/>
      <c r="B254" s="33"/>
      <c r="C254" s="33"/>
      <c r="D254" s="33"/>
      <c r="E254" s="33"/>
      <c r="F254" s="33"/>
      <c r="G254" s="33"/>
      <c r="H254" s="33"/>
      <c r="I254" s="33"/>
      <c r="J254" s="33"/>
      <c r="K254" s="33"/>
      <c r="L254" s="34"/>
      <c r="M254" s="34"/>
      <c r="N254" s="34"/>
      <c r="O254" s="34"/>
      <c r="P254" s="33"/>
      <c r="Q254" s="35"/>
      <c r="R254" s="33"/>
      <c r="S254" s="33"/>
      <c r="T254" s="33"/>
      <c r="U254" s="33"/>
      <c r="V254" s="33"/>
      <c r="W254" s="33"/>
    </row>
    <row r="255" customFormat="false" ht="15" hidden="false" customHeight="false" outlineLevel="0" collapsed="false">
      <c r="A255" s="33"/>
      <c r="B255" s="33"/>
      <c r="C255" s="33"/>
      <c r="D255" s="33"/>
      <c r="E255" s="33"/>
      <c r="F255" s="33"/>
      <c r="G255" s="33"/>
      <c r="H255" s="33"/>
      <c r="I255" s="33"/>
      <c r="J255" s="33"/>
      <c r="K255" s="33"/>
      <c r="L255" s="34"/>
      <c r="M255" s="34"/>
      <c r="N255" s="34"/>
      <c r="O255" s="34"/>
      <c r="P255" s="33"/>
      <c r="Q255" s="35"/>
      <c r="R255" s="33"/>
      <c r="S255" s="33"/>
      <c r="T255" s="33"/>
      <c r="U255" s="33"/>
      <c r="V255" s="33"/>
      <c r="W255" s="33"/>
    </row>
    <row r="256" customFormat="false" ht="15" hidden="false" customHeight="false" outlineLevel="0" collapsed="false">
      <c r="A256" s="33"/>
      <c r="B256" s="33"/>
      <c r="C256" s="33"/>
      <c r="D256" s="33"/>
      <c r="E256" s="33"/>
      <c r="F256" s="33"/>
      <c r="G256" s="33"/>
      <c r="H256" s="33"/>
      <c r="I256" s="33"/>
      <c r="J256" s="33"/>
      <c r="K256" s="33"/>
      <c r="L256" s="34"/>
      <c r="M256" s="34"/>
      <c r="N256" s="34"/>
      <c r="O256" s="34"/>
      <c r="P256" s="33"/>
      <c r="Q256" s="35"/>
      <c r="R256" s="33"/>
      <c r="S256" s="33"/>
      <c r="T256" s="33"/>
      <c r="U256" s="33"/>
      <c r="V256" s="33"/>
      <c r="W256" s="33"/>
    </row>
    <row r="257" customFormat="false" ht="15" hidden="false" customHeight="false" outlineLevel="0" collapsed="false">
      <c r="A257" s="33"/>
      <c r="B257" s="33"/>
      <c r="C257" s="33"/>
      <c r="D257" s="33"/>
      <c r="E257" s="33"/>
      <c r="F257" s="33"/>
      <c r="G257" s="33"/>
      <c r="H257" s="33"/>
      <c r="I257" s="33"/>
      <c r="J257" s="33"/>
      <c r="K257" s="33"/>
      <c r="L257" s="34"/>
      <c r="M257" s="34"/>
      <c r="N257" s="34"/>
      <c r="O257" s="34"/>
      <c r="P257" s="33"/>
      <c r="Q257" s="35"/>
      <c r="R257" s="33"/>
      <c r="S257" s="33"/>
      <c r="T257" s="33"/>
      <c r="U257" s="33"/>
      <c r="V257" s="33"/>
      <c r="W257" s="33"/>
    </row>
    <row r="258" customFormat="false" ht="15" hidden="false" customHeight="false" outlineLevel="0" collapsed="false">
      <c r="A258" s="33"/>
      <c r="B258" s="33"/>
      <c r="C258" s="33"/>
      <c r="D258" s="33"/>
      <c r="E258" s="33"/>
      <c r="F258" s="33"/>
      <c r="G258" s="33"/>
      <c r="H258" s="33"/>
      <c r="I258" s="33"/>
      <c r="J258" s="33"/>
      <c r="K258" s="33"/>
      <c r="L258" s="34"/>
      <c r="M258" s="34"/>
      <c r="N258" s="34"/>
      <c r="O258" s="34"/>
      <c r="P258" s="33"/>
      <c r="Q258" s="35"/>
      <c r="R258" s="33"/>
      <c r="S258" s="33"/>
      <c r="T258" s="33"/>
      <c r="U258" s="33"/>
      <c r="V258" s="33"/>
      <c r="W258" s="33"/>
    </row>
    <row r="259" customFormat="false" ht="15" hidden="false" customHeight="false" outlineLevel="0" collapsed="false">
      <c r="A259" s="33"/>
      <c r="B259" s="33"/>
      <c r="C259" s="33"/>
      <c r="D259" s="33"/>
      <c r="E259" s="33"/>
      <c r="F259" s="33"/>
      <c r="G259" s="33"/>
      <c r="H259" s="33"/>
      <c r="I259" s="33"/>
      <c r="J259" s="33"/>
      <c r="K259" s="33"/>
      <c r="L259" s="34"/>
      <c r="M259" s="34"/>
      <c r="N259" s="34"/>
      <c r="O259" s="34"/>
      <c r="P259" s="33"/>
      <c r="Q259" s="35"/>
      <c r="R259" s="33"/>
      <c r="S259" s="33"/>
      <c r="T259" s="33"/>
      <c r="U259" s="33"/>
      <c r="V259" s="33"/>
      <c r="W259" s="33"/>
    </row>
    <row r="260" customFormat="false" ht="15" hidden="false" customHeight="false" outlineLevel="0" collapsed="false">
      <c r="A260" s="33"/>
      <c r="B260" s="33"/>
      <c r="C260" s="33"/>
      <c r="D260" s="33"/>
      <c r="E260" s="33"/>
      <c r="F260" s="33"/>
      <c r="G260" s="33"/>
      <c r="H260" s="33"/>
      <c r="I260" s="33"/>
      <c r="J260" s="33"/>
      <c r="K260" s="33"/>
      <c r="L260" s="34"/>
      <c r="M260" s="34"/>
      <c r="N260" s="34"/>
      <c r="O260" s="34"/>
      <c r="P260" s="33"/>
      <c r="Q260" s="35"/>
      <c r="R260" s="33"/>
      <c r="S260" s="33"/>
      <c r="T260" s="33"/>
      <c r="U260" s="33"/>
      <c r="V260" s="33"/>
      <c r="W260" s="33"/>
    </row>
    <row r="261" customFormat="false" ht="15" hidden="false" customHeight="false" outlineLevel="0" collapsed="false">
      <c r="A261" s="33"/>
      <c r="B261" s="33"/>
      <c r="C261" s="33"/>
      <c r="D261" s="33"/>
      <c r="E261" s="33"/>
      <c r="F261" s="33"/>
      <c r="G261" s="33"/>
      <c r="H261" s="33"/>
      <c r="I261" s="33"/>
      <c r="J261" s="33"/>
      <c r="K261" s="33"/>
      <c r="L261" s="34"/>
      <c r="M261" s="34"/>
      <c r="N261" s="34"/>
      <c r="O261" s="34"/>
      <c r="P261" s="33"/>
      <c r="Q261" s="35"/>
      <c r="R261" s="33"/>
      <c r="S261" s="33"/>
      <c r="T261" s="33"/>
      <c r="U261" s="33"/>
      <c r="V261" s="33"/>
      <c r="W261" s="33"/>
    </row>
    <row r="262" customFormat="false" ht="15" hidden="false" customHeight="false" outlineLevel="0" collapsed="false">
      <c r="A262" s="33"/>
      <c r="B262" s="33"/>
      <c r="C262" s="33"/>
      <c r="D262" s="33"/>
      <c r="E262" s="33"/>
      <c r="F262" s="33"/>
      <c r="G262" s="33"/>
      <c r="H262" s="33"/>
      <c r="I262" s="33"/>
      <c r="J262" s="33"/>
      <c r="K262" s="33"/>
      <c r="L262" s="34"/>
      <c r="M262" s="34"/>
      <c r="N262" s="34"/>
      <c r="O262" s="34"/>
      <c r="P262" s="33"/>
      <c r="Q262" s="35"/>
      <c r="R262" s="33"/>
      <c r="S262" s="33"/>
      <c r="T262" s="33"/>
      <c r="U262" s="33"/>
      <c r="V262" s="33"/>
      <c r="W262" s="33"/>
    </row>
    <row r="263" customFormat="false" ht="15" hidden="false" customHeight="false" outlineLevel="0" collapsed="false">
      <c r="A263" s="33"/>
      <c r="B263" s="33"/>
      <c r="C263" s="33"/>
      <c r="D263" s="33"/>
      <c r="E263" s="33"/>
      <c r="F263" s="33"/>
      <c r="G263" s="33"/>
      <c r="H263" s="33"/>
      <c r="I263" s="33"/>
      <c r="J263" s="33"/>
      <c r="K263" s="33"/>
      <c r="L263" s="34"/>
      <c r="M263" s="34"/>
      <c r="N263" s="34"/>
      <c r="O263" s="34"/>
      <c r="P263" s="33"/>
      <c r="Q263" s="35"/>
      <c r="R263" s="33"/>
      <c r="S263" s="33"/>
      <c r="T263" s="33"/>
      <c r="U263" s="33"/>
      <c r="V263" s="33"/>
      <c r="W263" s="33"/>
    </row>
    <row r="264" customFormat="false" ht="15" hidden="false" customHeight="false" outlineLevel="0" collapsed="false">
      <c r="A264" s="33"/>
      <c r="B264" s="33"/>
      <c r="C264" s="33"/>
      <c r="D264" s="33"/>
      <c r="E264" s="33"/>
      <c r="F264" s="33"/>
      <c r="G264" s="33"/>
      <c r="H264" s="33"/>
      <c r="I264" s="33"/>
      <c r="J264" s="33"/>
      <c r="K264" s="33"/>
      <c r="L264" s="34"/>
      <c r="M264" s="34"/>
      <c r="N264" s="34"/>
      <c r="O264" s="34"/>
      <c r="P264" s="33"/>
      <c r="Q264" s="35"/>
      <c r="R264" s="33"/>
      <c r="S264" s="33"/>
      <c r="T264" s="33"/>
      <c r="U264" s="33"/>
      <c r="V264" s="33"/>
      <c r="W264" s="33"/>
    </row>
    <row r="265" customFormat="false" ht="15" hidden="false" customHeight="false" outlineLevel="0" collapsed="false">
      <c r="A265" s="33"/>
      <c r="B265" s="33"/>
      <c r="C265" s="33"/>
      <c r="D265" s="33"/>
      <c r="E265" s="33"/>
      <c r="F265" s="33"/>
      <c r="G265" s="33"/>
      <c r="H265" s="33"/>
      <c r="I265" s="33"/>
      <c r="J265" s="33"/>
      <c r="K265" s="33"/>
      <c r="L265" s="34"/>
      <c r="M265" s="34"/>
      <c r="N265" s="34"/>
      <c r="O265" s="34"/>
      <c r="P265" s="33"/>
      <c r="Q265" s="35"/>
      <c r="R265" s="33"/>
      <c r="S265" s="33"/>
      <c r="T265" s="33"/>
      <c r="U265" s="33"/>
      <c r="V265" s="33"/>
      <c r="W265" s="33"/>
    </row>
    <row r="266" customFormat="false" ht="15" hidden="false" customHeight="false" outlineLevel="0" collapsed="false">
      <c r="A266" s="33"/>
      <c r="B266" s="33"/>
      <c r="C266" s="33"/>
      <c r="D266" s="33"/>
      <c r="E266" s="33"/>
      <c r="F266" s="33"/>
      <c r="G266" s="33"/>
      <c r="H266" s="33"/>
      <c r="I266" s="33"/>
      <c r="J266" s="33"/>
      <c r="K266" s="33"/>
      <c r="L266" s="34"/>
      <c r="M266" s="34"/>
      <c r="N266" s="34"/>
      <c r="O266" s="34"/>
      <c r="P266" s="33"/>
      <c r="Q266" s="35"/>
      <c r="R266" s="33"/>
      <c r="S266" s="33"/>
      <c r="T266" s="33"/>
      <c r="U266" s="33"/>
      <c r="V266" s="33"/>
      <c r="W266" s="33"/>
    </row>
    <row r="267" customFormat="false" ht="15" hidden="false" customHeight="false" outlineLevel="0" collapsed="false">
      <c r="A267" s="33"/>
      <c r="B267" s="33"/>
      <c r="C267" s="33"/>
      <c r="D267" s="33"/>
      <c r="E267" s="33"/>
      <c r="F267" s="33"/>
      <c r="G267" s="33"/>
      <c r="H267" s="33"/>
      <c r="I267" s="33"/>
      <c r="J267" s="33"/>
      <c r="K267" s="33"/>
      <c r="L267" s="34"/>
      <c r="M267" s="34"/>
      <c r="N267" s="34"/>
      <c r="O267" s="34"/>
      <c r="P267" s="33"/>
      <c r="Q267" s="35"/>
      <c r="R267" s="33"/>
      <c r="S267" s="33"/>
      <c r="T267" s="33"/>
      <c r="U267" s="33"/>
      <c r="V267" s="33"/>
      <c r="W267" s="33"/>
    </row>
    <row r="268" customFormat="false" ht="15" hidden="false" customHeight="false" outlineLevel="0" collapsed="false">
      <c r="A268" s="33"/>
      <c r="B268" s="33"/>
      <c r="C268" s="33"/>
      <c r="D268" s="33"/>
      <c r="E268" s="33"/>
      <c r="F268" s="33"/>
      <c r="G268" s="33"/>
      <c r="H268" s="33"/>
      <c r="I268" s="33"/>
      <c r="J268" s="33"/>
      <c r="K268" s="33"/>
      <c r="L268" s="34"/>
      <c r="M268" s="34"/>
      <c r="N268" s="34"/>
      <c r="O268" s="34"/>
      <c r="P268" s="33"/>
      <c r="Q268" s="35"/>
      <c r="R268" s="33"/>
      <c r="S268" s="33"/>
      <c r="T268" s="33"/>
      <c r="U268" s="33"/>
      <c r="V268" s="33"/>
      <c r="W268" s="33"/>
    </row>
    <row r="269" customFormat="false" ht="15" hidden="false" customHeight="false" outlineLevel="0" collapsed="false">
      <c r="A269" s="33"/>
      <c r="B269" s="33"/>
      <c r="C269" s="33"/>
      <c r="D269" s="33"/>
      <c r="E269" s="33"/>
      <c r="F269" s="33"/>
      <c r="G269" s="33"/>
      <c r="H269" s="33"/>
      <c r="I269" s="33"/>
      <c r="J269" s="33"/>
      <c r="K269" s="33"/>
      <c r="L269" s="34"/>
      <c r="M269" s="34"/>
      <c r="N269" s="34"/>
      <c r="O269" s="34"/>
      <c r="P269" s="33"/>
      <c r="Q269" s="35"/>
      <c r="R269" s="33"/>
      <c r="S269" s="33"/>
      <c r="T269" s="33"/>
      <c r="U269" s="33"/>
      <c r="V269" s="33"/>
      <c r="W269" s="33"/>
    </row>
    <row r="270" customFormat="false" ht="15" hidden="false" customHeight="false" outlineLevel="0" collapsed="false">
      <c r="A270" s="33"/>
      <c r="B270" s="33"/>
      <c r="C270" s="33"/>
      <c r="D270" s="33"/>
      <c r="E270" s="33"/>
      <c r="F270" s="33"/>
      <c r="G270" s="33"/>
      <c r="H270" s="33"/>
      <c r="I270" s="33"/>
      <c r="J270" s="33"/>
      <c r="K270" s="33"/>
      <c r="L270" s="34"/>
      <c r="M270" s="34"/>
      <c r="N270" s="34"/>
      <c r="O270" s="34"/>
      <c r="P270" s="33"/>
      <c r="Q270" s="35"/>
      <c r="R270" s="33"/>
      <c r="S270" s="33"/>
      <c r="T270" s="33"/>
      <c r="U270" s="33"/>
      <c r="V270" s="33"/>
      <c r="W270" s="33"/>
    </row>
    <row r="271" customFormat="false" ht="15" hidden="false" customHeight="false" outlineLevel="0" collapsed="false">
      <c r="A271" s="33"/>
      <c r="B271" s="33"/>
      <c r="C271" s="33"/>
      <c r="D271" s="33"/>
      <c r="E271" s="33"/>
      <c r="F271" s="33"/>
      <c r="G271" s="33"/>
      <c r="H271" s="33"/>
      <c r="I271" s="33"/>
      <c r="J271" s="33"/>
      <c r="K271" s="33"/>
      <c r="L271" s="34"/>
      <c r="M271" s="34"/>
      <c r="N271" s="34"/>
      <c r="O271" s="34"/>
      <c r="P271" s="33"/>
      <c r="Q271" s="35"/>
      <c r="R271" s="33"/>
      <c r="S271" s="33"/>
      <c r="T271" s="33"/>
      <c r="U271" s="33"/>
      <c r="V271" s="33"/>
      <c r="W271" s="33"/>
    </row>
    <row r="272" customFormat="false" ht="15" hidden="false" customHeight="false" outlineLevel="0" collapsed="false">
      <c r="A272" s="33"/>
      <c r="B272" s="33"/>
      <c r="C272" s="33"/>
      <c r="D272" s="33"/>
      <c r="E272" s="33"/>
      <c r="F272" s="33"/>
      <c r="G272" s="33"/>
      <c r="H272" s="33"/>
      <c r="I272" s="33"/>
      <c r="J272" s="33"/>
      <c r="K272" s="33"/>
      <c r="L272" s="34"/>
      <c r="M272" s="34"/>
      <c r="N272" s="34"/>
      <c r="O272" s="34"/>
      <c r="P272" s="33"/>
      <c r="Q272" s="35"/>
      <c r="R272" s="33"/>
      <c r="S272" s="33"/>
      <c r="T272" s="33"/>
      <c r="U272" s="33"/>
      <c r="V272" s="33"/>
      <c r="W272" s="33"/>
    </row>
    <row r="273" customFormat="false" ht="15" hidden="false" customHeight="false" outlineLevel="0" collapsed="false">
      <c r="A273" s="33"/>
      <c r="B273" s="33"/>
      <c r="C273" s="33"/>
      <c r="D273" s="33"/>
      <c r="E273" s="33"/>
      <c r="F273" s="33"/>
      <c r="G273" s="33"/>
      <c r="H273" s="33"/>
      <c r="I273" s="33"/>
      <c r="J273" s="33"/>
      <c r="K273" s="33"/>
      <c r="L273" s="34"/>
      <c r="M273" s="34"/>
      <c r="N273" s="34"/>
      <c r="O273" s="34"/>
      <c r="P273" s="33"/>
      <c r="Q273" s="35"/>
      <c r="R273" s="33"/>
      <c r="S273" s="33"/>
      <c r="T273" s="33"/>
      <c r="U273" s="33"/>
      <c r="V273" s="33"/>
      <c r="W273" s="33"/>
    </row>
    <row r="274" customFormat="false" ht="15" hidden="false" customHeight="false" outlineLevel="0" collapsed="false">
      <c r="A274" s="33"/>
      <c r="B274" s="33"/>
      <c r="C274" s="33"/>
      <c r="D274" s="33"/>
      <c r="E274" s="33"/>
      <c r="F274" s="33"/>
      <c r="G274" s="33"/>
      <c r="H274" s="33"/>
      <c r="I274" s="33"/>
      <c r="J274" s="33"/>
      <c r="K274" s="33"/>
      <c r="L274" s="34"/>
      <c r="M274" s="34"/>
      <c r="N274" s="34"/>
      <c r="O274" s="34"/>
      <c r="P274" s="33"/>
      <c r="Q274" s="35"/>
      <c r="R274" s="33"/>
      <c r="S274" s="33"/>
      <c r="T274" s="33"/>
      <c r="U274" s="33"/>
      <c r="V274" s="33"/>
      <c r="W274" s="33"/>
    </row>
    <row r="275" customFormat="false" ht="15" hidden="false" customHeight="false" outlineLevel="0" collapsed="false">
      <c r="A275" s="33"/>
      <c r="B275" s="33"/>
      <c r="C275" s="33"/>
      <c r="D275" s="33"/>
      <c r="E275" s="33"/>
      <c r="F275" s="33"/>
      <c r="G275" s="33"/>
      <c r="H275" s="33"/>
      <c r="I275" s="33"/>
      <c r="J275" s="33"/>
      <c r="K275" s="33"/>
      <c r="L275" s="34"/>
      <c r="M275" s="34"/>
      <c r="N275" s="34"/>
      <c r="O275" s="34"/>
      <c r="P275" s="33"/>
      <c r="Q275" s="35"/>
      <c r="R275" s="33"/>
      <c r="S275" s="33"/>
      <c r="T275" s="33"/>
      <c r="U275" s="33"/>
      <c r="V275" s="33"/>
      <c r="W275" s="33"/>
    </row>
    <row r="276" customFormat="false" ht="15" hidden="false" customHeight="false" outlineLevel="0" collapsed="false">
      <c r="A276" s="33"/>
      <c r="B276" s="33"/>
      <c r="C276" s="33"/>
      <c r="D276" s="33"/>
      <c r="E276" s="33"/>
      <c r="F276" s="33"/>
      <c r="G276" s="33"/>
      <c r="H276" s="33"/>
      <c r="I276" s="33"/>
      <c r="J276" s="33"/>
      <c r="K276" s="33"/>
      <c r="L276" s="34"/>
      <c r="M276" s="34"/>
      <c r="N276" s="34"/>
      <c r="O276" s="34"/>
      <c r="P276" s="33"/>
      <c r="Q276" s="35"/>
      <c r="R276" s="33"/>
      <c r="S276" s="33"/>
      <c r="T276" s="33"/>
      <c r="U276" s="33"/>
      <c r="V276" s="33"/>
      <c r="W276" s="33"/>
    </row>
    <row r="277" customFormat="false" ht="15" hidden="false" customHeight="false" outlineLevel="0" collapsed="false">
      <c r="A277" s="33"/>
      <c r="B277" s="33"/>
      <c r="C277" s="33"/>
      <c r="D277" s="33"/>
      <c r="E277" s="33"/>
      <c r="F277" s="33"/>
      <c r="G277" s="33"/>
      <c r="H277" s="33"/>
      <c r="I277" s="33"/>
      <c r="J277" s="33"/>
      <c r="K277" s="33"/>
      <c r="L277" s="34"/>
      <c r="M277" s="34"/>
      <c r="N277" s="34"/>
      <c r="O277" s="34"/>
      <c r="P277" s="33"/>
      <c r="Q277" s="35"/>
      <c r="R277" s="33"/>
      <c r="S277" s="33"/>
      <c r="T277" s="33"/>
      <c r="U277" s="33"/>
      <c r="V277" s="33"/>
      <c r="W277" s="33"/>
    </row>
    <row r="278" customFormat="false" ht="15" hidden="false" customHeight="false" outlineLevel="0" collapsed="false">
      <c r="A278" s="33"/>
      <c r="B278" s="33"/>
      <c r="C278" s="33"/>
      <c r="D278" s="33"/>
      <c r="E278" s="33"/>
      <c r="F278" s="33"/>
      <c r="G278" s="33"/>
      <c r="H278" s="33"/>
      <c r="I278" s="33"/>
      <c r="J278" s="33"/>
      <c r="K278" s="33"/>
      <c r="L278" s="34"/>
      <c r="M278" s="34"/>
      <c r="N278" s="34"/>
      <c r="O278" s="34"/>
      <c r="P278" s="33"/>
      <c r="Q278" s="35"/>
      <c r="R278" s="33"/>
      <c r="S278" s="33"/>
      <c r="T278" s="33"/>
      <c r="U278" s="33"/>
      <c r="V278" s="33"/>
      <c r="W278" s="33"/>
    </row>
    <row r="279" customFormat="false" ht="15" hidden="false" customHeight="false" outlineLevel="0" collapsed="false">
      <c r="A279" s="33"/>
      <c r="B279" s="33"/>
      <c r="C279" s="33"/>
      <c r="D279" s="33"/>
      <c r="E279" s="33"/>
      <c r="F279" s="33"/>
      <c r="G279" s="33"/>
      <c r="H279" s="33"/>
      <c r="I279" s="33"/>
      <c r="J279" s="33"/>
      <c r="K279" s="33"/>
      <c r="L279" s="34"/>
      <c r="M279" s="34"/>
      <c r="N279" s="34"/>
      <c r="O279" s="34"/>
      <c r="P279" s="33"/>
      <c r="Q279" s="35"/>
      <c r="R279" s="33"/>
      <c r="S279" s="33"/>
      <c r="T279" s="33"/>
      <c r="U279" s="33"/>
      <c r="V279" s="33"/>
      <c r="W279" s="33"/>
    </row>
    <row r="280" customFormat="false" ht="15" hidden="false" customHeight="false" outlineLevel="0" collapsed="false">
      <c r="A280" s="33"/>
      <c r="B280" s="33"/>
      <c r="C280" s="33"/>
      <c r="D280" s="33"/>
      <c r="E280" s="33"/>
      <c r="F280" s="33"/>
      <c r="G280" s="33"/>
      <c r="H280" s="33"/>
      <c r="I280" s="33"/>
      <c r="J280" s="33"/>
      <c r="K280" s="33"/>
      <c r="L280" s="34"/>
      <c r="M280" s="34"/>
      <c r="N280" s="34"/>
      <c r="O280" s="34"/>
      <c r="P280" s="33"/>
      <c r="Q280" s="35"/>
      <c r="R280" s="33"/>
      <c r="S280" s="33"/>
      <c r="T280" s="33"/>
      <c r="U280" s="33"/>
      <c r="V280" s="33"/>
      <c r="W280" s="33"/>
    </row>
    <row r="281" customFormat="false" ht="15" hidden="false" customHeight="false" outlineLevel="0" collapsed="false">
      <c r="A281" s="33"/>
      <c r="B281" s="33"/>
      <c r="C281" s="33"/>
      <c r="D281" s="33"/>
      <c r="E281" s="33"/>
      <c r="F281" s="33"/>
      <c r="G281" s="33"/>
      <c r="H281" s="33"/>
      <c r="I281" s="33"/>
      <c r="J281" s="33"/>
      <c r="K281" s="33"/>
      <c r="L281" s="34"/>
      <c r="M281" s="34"/>
      <c r="N281" s="34"/>
      <c r="O281" s="34"/>
      <c r="P281" s="33"/>
      <c r="Q281" s="35"/>
      <c r="R281" s="33"/>
      <c r="S281" s="33"/>
      <c r="T281" s="33"/>
      <c r="U281" s="33"/>
      <c r="V281" s="33"/>
      <c r="W281" s="33"/>
    </row>
    <row r="282" customFormat="false" ht="15" hidden="false" customHeight="false" outlineLevel="0" collapsed="false">
      <c r="A282" s="33"/>
      <c r="B282" s="33"/>
      <c r="C282" s="33"/>
      <c r="D282" s="33"/>
      <c r="E282" s="33"/>
      <c r="F282" s="33"/>
      <c r="G282" s="33"/>
      <c r="H282" s="33"/>
      <c r="I282" s="33"/>
      <c r="J282" s="33"/>
      <c r="K282" s="33"/>
      <c r="L282" s="34"/>
      <c r="M282" s="34"/>
      <c r="N282" s="34"/>
      <c r="O282" s="34"/>
      <c r="P282" s="33"/>
      <c r="Q282" s="35"/>
      <c r="R282" s="33"/>
      <c r="S282" s="33"/>
      <c r="T282" s="33"/>
      <c r="U282" s="33"/>
      <c r="V282" s="33"/>
      <c r="W282" s="33"/>
    </row>
    <row r="283" customFormat="false" ht="15" hidden="false" customHeight="false" outlineLevel="0" collapsed="false">
      <c r="A283" s="33"/>
      <c r="B283" s="33"/>
      <c r="C283" s="33"/>
      <c r="D283" s="33"/>
      <c r="E283" s="33"/>
      <c r="F283" s="33"/>
      <c r="G283" s="33"/>
      <c r="H283" s="33"/>
      <c r="I283" s="33"/>
      <c r="J283" s="33"/>
      <c r="K283" s="33"/>
      <c r="L283" s="34"/>
      <c r="M283" s="34"/>
      <c r="N283" s="34"/>
      <c r="O283" s="34"/>
      <c r="P283" s="33"/>
      <c r="Q283" s="35"/>
      <c r="R283" s="33"/>
      <c r="S283" s="33"/>
      <c r="T283" s="33"/>
      <c r="U283" s="33"/>
      <c r="V283" s="33"/>
      <c r="W283" s="33"/>
    </row>
    <row r="284" customFormat="false" ht="15" hidden="false" customHeight="false" outlineLevel="0" collapsed="false">
      <c r="A284" s="33"/>
      <c r="B284" s="33"/>
      <c r="C284" s="33"/>
      <c r="D284" s="33"/>
      <c r="E284" s="33"/>
      <c r="F284" s="33"/>
      <c r="G284" s="33"/>
      <c r="H284" s="33"/>
      <c r="I284" s="33"/>
      <c r="J284" s="33"/>
      <c r="K284" s="33"/>
      <c r="L284" s="34"/>
      <c r="M284" s="34"/>
      <c r="N284" s="34"/>
      <c r="O284" s="34"/>
      <c r="P284" s="33"/>
      <c r="Q284" s="35"/>
      <c r="R284" s="33"/>
      <c r="S284" s="33"/>
      <c r="T284" s="33"/>
      <c r="U284" s="33"/>
      <c r="V284" s="33"/>
      <c r="W284" s="33"/>
    </row>
    <row r="285" customFormat="false" ht="15" hidden="false" customHeight="false" outlineLevel="0" collapsed="false">
      <c r="A285" s="33"/>
      <c r="B285" s="33"/>
      <c r="C285" s="33"/>
      <c r="D285" s="33"/>
      <c r="E285" s="33"/>
      <c r="F285" s="33"/>
      <c r="G285" s="33"/>
      <c r="H285" s="33"/>
      <c r="I285" s="33"/>
      <c r="J285" s="33"/>
      <c r="K285" s="33"/>
      <c r="L285" s="34"/>
      <c r="M285" s="34"/>
      <c r="N285" s="34"/>
      <c r="O285" s="34"/>
      <c r="P285" s="33"/>
      <c r="Q285" s="35"/>
      <c r="R285" s="33"/>
      <c r="S285" s="33"/>
      <c r="T285" s="33"/>
      <c r="U285" s="33"/>
      <c r="V285" s="33"/>
      <c r="W285" s="33"/>
    </row>
    <row r="286" customFormat="false" ht="15" hidden="false" customHeight="false" outlineLevel="0" collapsed="false">
      <c r="A286" s="33"/>
      <c r="B286" s="33"/>
      <c r="C286" s="33"/>
      <c r="D286" s="33"/>
      <c r="E286" s="33"/>
      <c r="F286" s="33"/>
      <c r="G286" s="33"/>
      <c r="H286" s="33"/>
      <c r="I286" s="33"/>
      <c r="J286" s="33"/>
      <c r="K286" s="33"/>
      <c r="L286" s="34"/>
      <c r="M286" s="34"/>
      <c r="N286" s="34"/>
      <c r="O286" s="34"/>
      <c r="P286" s="33"/>
      <c r="Q286" s="35"/>
      <c r="R286" s="33"/>
      <c r="S286" s="33"/>
      <c r="T286" s="33"/>
      <c r="U286" s="33"/>
      <c r="V286" s="33"/>
      <c r="W286" s="33"/>
    </row>
    <row r="287" customFormat="false" ht="15" hidden="false" customHeight="false" outlineLevel="0" collapsed="false">
      <c r="A287" s="33"/>
      <c r="B287" s="33"/>
      <c r="C287" s="33"/>
      <c r="D287" s="33"/>
      <c r="E287" s="33"/>
      <c r="F287" s="33"/>
      <c r="G287" s="33"/>
      <c r="H287" s="33"/>
      <c r="I287" s="33"/>
      <c r="J287" s="33"/>
      <c r="K287" s="33"/>
      <c r="L287" s="34"/>
      <c r="M287" s="34"/>
      <c r="N287" s="34"/>
      <c r="O287" s="34"/>
      <c r="P287" s="33"/>
      <c r="Q287" s="35"/>
      <c r="R287" s="33"/>
      <c r="S287" s="33"/>
      <c r="T287" s="33"/>
      <c r="U287" s="33"/>
      <c r="V287" s="33"/>
      <c r="W287" s="33"/>
    </row>
    <row r="288" customFormat="false" ht="15" hidden="false" customHeight="false" outlineLevel="0" collapsed="false">
      <c r="A288" s="33"/>
      <c r="B288" s="33"/>
      <c r="C288" s="33"/>
      <c r="D288" s="33"/>
      <c r="E288" s="33"/>
      <c r="F288" s="33"/>
      <c r="G288" s="33"/>
      <c r="H288" s="33"/>
      <c r="I288" s="33"/>
      <c r="J288" s="33"/>
      <c r="K288" s="33"/>
      <c r="L288" s="34"/>
      <c r="M288" s="34"/>
      <c r="N288" s="34"/>
      <c r="O288" s="34"/>
      <c r="P288" s="33"/>
      <c r="Q288" s="35"/>
      <c r="R288" s="33"/>
      <c r="S288" s="33"/>
      <c r="T288" s="33"/>
      <c r="U288" s="33"/>
      <c r="V288" s="33"/>
      <c r="W288" s="33"/>
    </row>
    <row r="289" customFormat="false" ht="15" hidden="false" customHeight="false" outlineLevel="0" collapsed="false">
      <c r="A289" s="33"/>
      <c r="B289" s="33"/>
      <c r="C289" s="33"/>
      <c r="D289" s="33"/>
      <c r="E289" s="33"/>
      <c r="F289" s="33"/>
      <c r="G289" s="33"/>
      <c r="H289" s="33"/>
      <c r="I289" s="33"/>
      <c r="J289" s="33"/>
      <c r="K289" s="33"/>
      <c r="L289" s="34"/>
      <c r="M289" s="34"/>
      <c r="N289" s="34"/>
      <c r="O289" s="34"/>
      <c r="P289" s="33"/>
      <c r="Q289" s="35"/>
      <c r="R289" s="33"/>
      <c r="S289" s="33"/>
      <c r="T289" s="33"/>
      <c r="U289" s="33"/>
      <c r="V289" s="33"/>
      <c r="W289" s="33"/>
    </row>
    <row r="290" customFormat="false" ht="15" hidden="false" customHeight="false" outlineLevel="0" collapsed="false">
      <c r="A290" s="33"/>
      <c r="B290" s="33"/>
      <c r="C290" s="33"/>
      <c r="D290" s="33"/>
      <c r="E290" s="33"/>
      <c r="F290" s="33"/>
      <c r="G290" s="33"/>
      <c r="H290" s="33"/>
      <c r="I290" s="33"/>
      <c r="J290" s="33"/>
      <c r="K290" s="33"/>
      <c r="L290" s="34"/>
      <c r="M290" s="34"/>
      <c r="N290" s="34"/>
      <c r="O290" s="34"/>
      <c r="P290" s="33"/>
      <c r="Q290" s="35"/>
      <c r="R290" s="33"/>
      <c r="S290" s="33"/>
      <c r="T290" s="33"/>
      <c r="U290" s="33"/>
      <c r="V290" s="33"/>
      <c r="W290" s="33"/>
    </row>
    <row r="291" customFormat="false" ht="15" hidden="false" customHeight="false" outlineLevel="0" collapsed="false">
      <c r="A291" s="33"/>
      <c r="B291" s="33"/>
      <c r="C291" s="33"/>
      <c r="D291" s="33"/>
      <c r="E291" s="33"/>
      <c r="F291" s="33"/>
      <c r="G291" s="33"/>
      <c r="H291" s="33"/>
      <c r="I291" s="33"/>
      <c r="J291" s="33"/>
      <c r="K291" s="33"/>
      <c r="L291" s="34"/>
      <c r="M291" s="34"/>
      <c r="N291" s="34"/>
      <c r="O291" s="34"/>
      <c r="P291" s="33"/>
      <c r="Q291" s="35"/>
      <c r="R291" s="33"/>
      <c r="S291" s="33"/>
      <c r="T291" s="33"/>
      <c r="U291" s="33"/>
      <c r="V291" s="33"/>
      <c r="W291" s="33"/>
    </row>
    <row r="292" customFormat="false" ht="15" hidden="false" customHeight="false" outlineLevel="0" collapsed="false">
      <c r="A292" s="33"/>
      <c r="B292" s="33"/>
      <c r="C292" s="33"/>
      <c r="D292" s="33"/>
      <c r="E292" s="33"/>
      <c r="F292" s="33"/>
      <c r="G292" s="33"/>
      <c r="H292" s="33"/>
      <c r="I292" s="33"/>
      <c r="J292" s="33"/>
      <c r="K292" s="33"/>
      <c r="L292" s="34"/>
      <c r="M292" s="34"/>
      <c r="N292" s="34"/>
      <c r="O292" s="34"/>
      <c r="P292" s="33"/>
      <c r="Q292" s="35"/>
      <c r="R292" s="33"/>
      <c r="S292" s="33"/>
      <c r="T292" s="33"/>
      <c r="U292" s="33"/>
      <c r="V292" s="33"/>
      <c r="W292" s="33"/>
    </row>
    <row r="293" customFormat="false" ht="15" hidden="false" customHeight="false" outlineLevel="0" collapsed="false">
      <c r="A293" s="33"/>
      <c r="B293" s="33"/>
      <c r="C293" s="33"/>
      <c r="D293" s="33"/>
      <c r="E293" s="33"/>
      <c r="F293" s="33"/>
      <c r="G293" s="33"/>
      <c r="H293" s="33"/>
      <c r="I293" s="33"/>
      <c r="J293" s="33"/>
      <c r="K293" s="33"/>
      <c r="L293" s="34"/>
      <c r="M293" s="34"/>
      <c r="N293" s="34"/>
      <c r="O293" s="34"/>
      <c r="P293" s="33"/>
      <c r="Q293" s="35"/>
      <c r="R293" s="33"/>
      <c r="S293" s="33"/>
      <c r="T293" s="33"/>
      <c r="U293" s="33"/>
      <c r="V293" s="33"/>
      <c r="W293" s="33"/>
    </row>
    <row r="294" customFormat="false" ht="15" hidden="false" customHeight="false" outlineLevel="0" collapsed="false">
      <c r="A294" s="33"/>
      <c r="B294" s="33"/>
      <c r="C294" s="33"/>
      <c r="D294" s="33"/>
      <c r="E294" s="33"/>
      <c r="F294" s="33"/>
      <c r="G294" s="33"/>
      <c r="H294" s="33"/>
      <c r="I294" s="33"/>
      <c r="J294" s="33"/>
      <c r="K294" s="33"/>
      <c r="L294" s="34"/>
      <c r="M294" s="34"/>
      <c r="N294" s="34"/>
      <c r="O294" s="34"/>
      <c r="P294" s="33"/>
      <c r="Q294" s="35"/>
      <c r="R294" s="33"/>
      <c r="S294" s="33"/>
      <c r="T294" s="33"/>
      <c r="U294" s="33"/>
      <c r="V294" s="33"/>
      <c r="W294" s="33"/>
    </row>
    <row r="295" customFormat="false" ht="15" hidden="false" customHeight="false" outlineLevel="0" collapsed="false">
      <c r="A295" s="33"/>
      <c r="B295" s="33"/>
      <c r="C295" s="33"/>
      <c r="D295" s="33"/>
      <c r="E295" s="33"/>
      <c r="F295" s="33"/>
      <c r="G295" s="33"/>
      <c r="H295" s="33"/>
      <c r="I295" s="33"/>
      <c r="J295" s="33"/>
      <c r="K295" s="33"/>
      <c r="L295" s="34"/>
      <c r="M295" s="34"/>
      <c r="N295" s="34"/>
      <c r="O295" s="34"/>
      <c r="P295" s="33"/>
      <c r="Q295" s="35"/>
      <c r="R295" s="33"/>
      <c r="S295" s="33"/>
      <c r="T295" s="33"/>
      <c r="U295" s="33"/>
      <c r="V295" s="33"/>
      <c r="W295" s="33"/>
    </row>
    <row r="296" customFormat="false" ht="15" hidden="false" customHeight="false" outlineLevel="0" collapsed="false">
      <c r="A296" s="33"/>
      <c r="B296" s="33"/>
      <c r="C296" s="33"/>
      <c r="D296" s="33"/>
      <c r="E296" s="33"/>
      <c r="F296" s="33"/>
      <c r="G296" s="33"/>
      <c r="H296" s="33"/>
      <c r="I296" s="33"/>
      <c r="J296" s="33"/>
      <c r="K296" s="33"/>
      <c r="L296" s="34"/>
      <c r="M296" s="34"/>
      <c r="N296" s="34"/>
      <c r="O296" s="34"/>
      <c r="P296" s="33"/>
      <c r="Q296" s="35"/>
      <c r="R296" s="33"/>
      <c r="S296" s="33"/>
      <c r="T296" s="33"/>
      <c r="U296" s="33"/>
      <c r="V296" s="33"/>
      <c r="W296" s="33"/>
    </row>
    <row r="297" customFormat="false" ht="15" hidden="false" customHeight="false" outlineLevel="0" collapsed="false">
      <c r="A297" s="33"/>
      <c r="B297" s="33"/>
      <c r="C297" s="33"/>
      <c r="D297" s="33"/>
      <c r="E297" s="33"/>
      <c r="F297" s="33"/>
      <c r="G297" s="33"/>
      <c r="H297" s="33"/>
      <c r="I297" s="33"/>
      <c r="J297" s="33"/>
      <c r="K297" s="33"/>
      <c r="L297" s="34"/>
      <c r="M297" s="34"/>
      <c r="N297" s="34"/>
      <c r="O297" s="34"/>
      <c r="P297" s="33"/>
      <c r="Q297" s="35"/>
      <c r="R297" s="33"/>
      <c r="S297" s="33"/>
      <c r="T297" s="33"/>
      <c r="U297" s="33"/>
      <c r="V297" s="33"/>
      <c r="W297" s="33"/>
    </row>
    <row r="298" customFormat="false" ht="15" hidden="false" customHeight="false" outlineLevel="0" collapsed="false">
      <c r="A298" s="33"/>
      <c r="B298" s="33"/>
      <c r="C298" s="33"/>
      <c r="D298" s="33"/>
      <c r="E298" s="33"/>
      <c r="F298" s="33"/>
      <c r="G298" s="33"/>
      <c r="H298" s="33"/>
      <c r="I298" s="33"/>
      <c r="J298" s="33"/>
      <c r="K298" s="33"/>
      <c r="L298" s="34"/>
      <c r="M298" s="34"/>
      <c r="N298" s="34"/>
      <c r="O298" s="34"/>
      <c r="P298" s="33"/>
      <c r="Q298" s="35"/>
      <c r="R298" s="33"/>
      <c r="S298" s="33"/>
      <c r="T298" s="33"/>
      <c r="U298" s="33"/>
      <c r="V298" s="33"/>
      <c r="W298" s="33"/>
    </row>
    <row r="299" customFormat="false" ht="15" hidden="false" customHeight="false" outlineLevel="0" collapsed="false">
      <c r="A299" s="33"/>
      <c r="B299" s="33"/>
      <c r="C299" s="33"/>
      <c r="D299" s="33"/>
      <c r="E299" s="33"/>
      <c r="F299" s="33"/>
      <c r="G299" s="33"/>
      <c r="H299" s="33"/>
      <c r="I299" s="33"/>
      <c r="J299" s="33"/>
      <c r="K299" s="33"/>
      <c r="L299" s="34"/>
      <c r="M299" s="34"/>
      <c r="N299" s="34"/>
      <c r="O299" s="34"/>
      <c r="P299" s="33"/>
      <c r="Q299" s="35"/>
      <c r="R299" s="33"/>
      <c r="S299" s="33"/>
      <c r="T299" s="33"/>
      <c r="U299" s="33"/>
      <c r="V299" s="33"/>
      <c r="W299" s="33"/>
    </row>
    <row r="300" customFormat="false" ht="15" hidden="false" customHeight="false" outlineLevel="0" collapsed="false">
      <c r="A300" s="33"/>
      <c r="B300" s="33"/>
      <c r="C300" s="33"/>
      <c r="D300" s="33"/>
      <c r="E300" s="33"/>
      <c r="F300" s="33"/>
      <c r="G300" s="33"/>
      <c r="H300" s="33"/>
      <c r="I300" s="33"/>
      <c r="J300" s="33"/>
      <c r="K300" s="33"/>
      <c r="L300" s="34"/>
      <c r="M300" s="34"/>
      <c r="N300" s="34"/>
      <c r="O300" s="34"/>
      <c r="P300" s="33"/>
      <c r="Q300" s="35"/>
      <c r="R300" s="33"/>
      <c r="S300" s="33"/>
      <c r="T300" s="33"/>
      <c r="U300" s="33"/>
      <c r="V300" s="33"/>
      <c r="W300" s="33"/>
    </row>
  </sheetData>
  <autoFilter ref="A4:W14"/>
  <mergeCells count="6">
    <mergeCell ref="A3:C3"/>
    <mergeCell ref="D3:H3"/>
    <mergeCell ref="I3:O3"/>
    <mergeCell ref="P3:R3"/>
    <mergeCell ref="S3:U3"/>
    <mergeCell ref="V3:W3"/>
  </mergeCells>
  <conditionalFormatting sqref="P5:P300">
    <cfRule type="expression" priority="2" aboveAverage="0" equalAverage="0" bottom="0" percent="0" rank="0" text="" dxfId="5">
      <formula>$P5="AVL"</formula>
    </cfRule>
    <cfRule type="expression" priority="3" aboveAverage="0" equalAverage="0" bottom="0" percent="0" rank="0" text="" dxfId="6">
      <formula>$P5="Qualified"</formula>
    </cfRule>
    <cfRule type="expression" priority="4" aboveAverage="0" equalAverage="0" bottom="0" percent="0" rank="0" text="" dxfId="7">
      <formula>$P5="Prequalified"</formula>
    </cfRule>
    <cfRule type="expression" priority="5" aboveAverage="0" equalAverage="0" bottom="0" percent="0" rank="0" text="" dxfId="8">
      <formula>$P5="On Hold"</formula>
    </cfRule>
    <cfRule type="expression" priority="6" aboveAverage="0" equalAverage="0" bottom="0" percent="0" rank="0" text="" dxfId="9">
      <formula>$P5="Disqualified"</formula>
    </cfRule>
  </conditionalFormatting>
  <conditionalFormatting sqref="W5:W300">
    <cfRule type="expression" priority="7" aboveAverage="0" equalAverage="0" bottom="0" percent="0" rank="0" text="" dxfId="9">
      <formula>$W5="High"</formula>
    </cfRule>
    <cfRule type="expression" priority="8" aboveAverage="0" equalAverage="0" bottom="0" percent="0" rank="0" text="" dxfId="10">
      <formula>$W5="FEOC Review"</formula>
    </cfRule>
    <cfRule type="expression" priority="9" aboveAverage="0" equalAverage="0" bottom="0" percent="0" rank="0" text="" dxfId="8">
      <formula>$W5="Medium"</formula>
    </cfRule>
    <cfRule type="expression" priority="10" aboveAverage="0" equalAverage="0" bottom="0" percent="0" rank="0" text="" dxfId="5">
      <formula>$W5="Low"</formula>
    </cfRule>
  </conditionalFormatting>
  <dataValidations count="5">
    <dataValidation allowBlank="true" error="Pick a value from the list (edit the Lists tab to change options)." errorStyle="stop" errorTitle="Invalid entry" operator="between" showDropDown="false" showErrorMessage="true" showInputMessage="false" sqref="P5:P300" type="list">
      <formula1>lst_status</formula1>
      <formula2>0</formula2>
    </dataValidation>
    <dataValidation allowBlank="true" error="Pick a value from the list (edit the Lists tab to change options)." errorStyle="stop" errorTitle="Invalid entry" operator="between" showDropDown="false" showErrorMessage="true" showInputMessage="false" sqref="R5:R300" type="list">
      <formula1>lst_rfx</formula1>
      <formula2>0</formula2>
    </dataValidation>
    <dataValidation allowBlank="true" error="Pick a value from the list (edit the Lists tab to change options)." errorStyle="stop" errorTitle="Invalid entry" operator="between" showDropDown="false" showErrorMessage="true" showInputMessage="false" sqref="T5:T300" type="list">
      <formula1>lst_fin</formula1>
      <formula2>0</formula2>
    </dataValidation>
    <dataValidation allowBlank="true" error="Pick a value from the list (edit the Lists tab to change options)." errorStyle="stop" errorTitle="Invalid entry" operator="between" showDropDown="false" showErrorMessage="true" showInputMessage="false" sqref="W5:W300" type="list">
      <formula1>lst_scr</formula1>
      <formula2>0</formula2>
    </dataValidation>
    <dataValidation allowBlank="true" error="Enter a date (yyyy-mm-dd)." errorStyle="stop" operator="greaterThan" showDropDown="false" showErrorMessage="true" showInputMessage="false" sqref="Q5:Q300" type="date">
      <formula1>DATE(2020,1,1)</formula1>
      <formula2>0</formula2>
    </dataValidation>
  </dataValidations>
  <hyperlinks>
    <hyperlink ref="I5" r:id="rId2" display="https://www.hitachienergy.com/us/en"/>
    <hyperlink ref="I6" r:id="rId3" display="https://www.eaton.com/us/en-us.html"/>
    <hyperlink ref="I7" r:id="rId4" display="https://www.prolec.energy"/>
    <hyperlink ref="I8" r:id="rId5" display="https://www.weg.net/institutional/US/en/"/>
    <hyperlink ref="I9" r:id="rId6" display="https://www.vatransformer.com"/>
    <hyperlink ref="K9" r:id="rId7" display="https://www.vatransformer.com"/>
    <hyperlink ref="I10" r:id="rId8" display="https://www.ermco-eci.com"/>
    <hyperlink ref="K10" r:id="rId9" display="https://www.ermco-eci.com/"/>
    <hyperlink ref="I11" r:id="rId10" display="https://www.howard.com"/>
    <hyperlink ref="I12" r:id="rId11" display="https://www.maddox.com"/>
    <hyperlink ref="K12" r:id="rId12" display="https://www.maddox.com/contact"/>
    <hyperlink ref="I13" r:id="rId13" display="https://www.jstpower.com"/>
    <hyperlink ref="K13" r:id="rId14" display="https://jstpower.com/contact/"/>
    <hyperlink ref="I14" r:id="rId15" display="https://www.sunbeltsolomon.com"/>
    <hyperlink ref="K14" r:id="rId16" display="https://www.sunbeltsolomon.c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7"/>
  <legacyDrawing r:id="rId18"/>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false"/>
  </sheetPr>
  <dimension ref="A1:W30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40"/>
    <col collapsed="false" customWidth="true" hidden="false" outlineLevel="0" max="4" min="4" style="0" width="15"/>
    <col collapsed="false" customWidth="true" hidden="false" outlineLevel="0" max="5" min="5" style="0" width="11"/>
    <col collapsed="false" customWidth="true" hidden="false" outlineLevel="0" max="6" min="6" style="0" width="13"/>
    <col collapsed="false" customWidth="true" hidden="false" outlineLevel="0" max="7" min="7" style="0" width="18"/>
    <col collapsed="false" customWidth="true" hidden="false" outlineLevel="0" max="9" min="8" style="0" width="28"/>
    <col collapsed="false" customWidth="true" hidden="false" outlineLevel="0" max="10" min="10" style="0" width="18"/>
    <col collapsed="false" customWidth="true" hidden="false" outlineLevel="0" max="11" min="11" style="0" width="28"/>
    <col collapsed="false" customWidth="true" hidden="false" outlineLevel="0" max="12" min="12" style="0" width="20"/>
    <col collapsed="false" customWidth="true" hidden="false" outlineLevel="0" max="13" min="13" style="0" width="18"/>
    <col collapsed="false" customWidth="true" hidden="false" outlineLevel="0" max="14" min="14" style="0" width="24"/>
    <col collapsed="false" customWidth="true" hidden="false" outlineLevel="0" max="16" min="15" style="0" width="15"/>
    <col collapsed="false" customWidth="true" hidden="false" outlineLevel="0" max="17" min="17" style="0" width="12"/>
    <col collapsed="false" customWidth="true" hidden="false" outlineLevel="0" max="18" min="18" style="0" width="14"/>
    <col collapsed="false" customWidth="true" hidden="false" outlineLevel="0" max="19" min="19" style="0" width="24"/>
    <col collapsed="false" customWidth="true" hidden="false" outlineLevel="0" max="20" min="20" style="0" width="13"/>
    <col collapsed="false" customWidth="true" hidden="false" outlineLevel="0" max="22" min="21" style="0" width="45"/>
    <col collapsed="false" customWidth="true" hidden="false" outlineLevel="0" max="23" min="23" style="0" width="13"/>
  </cols>
  <sheetData>
    <row r="1" customFormat="false" ht="17.35" hidden="false" customHeight="false" outlineLevel="0" collapsed="false">
      <c r="A1" s="16" t="s">
        <v>772</v>
      </c>
    </row>
    <row r="2" customFormat="false" ht="15" hidden="false" customHeight="false" outlineLevel="0" collapsed="false">
      <c r="A2" s="2" t="s">
        <v>87</v>
      </c>
    </row>
    <row r="3" customFormat="false" ht="15" hidden="false" customHeight="false" outlineLevel="0" collapsed="false">
      <c r="A3" s="22" t="s">
        <v>58</v>
      </c>
      <c r="B3" s="22"/>
      <c r="C3" s="22"/>
      <c r="D3" s="23" t="s">
        <v>60</v>
      </c>
      <c r="E3" s="23"/>
      <c r="F3" s="23"/>
      <c r="G3" s="23"/>
      <c r="H3" s="23"/>
      <c r="I3" s="24" t="s">
        <v>61</v>
      </c>
      <c r="J3" s="24"/>
      <c r="K3" s="24"/>
      <c r="L3" s="24"/>
      <c r="M3" s="24"/>
      <c r="N3" s="24"/>
      <c r="O3" s="24"/>
      <c r="P3" s="25" t="s">
        <v>62</v>
      </c>
      <c r="Q3" s="25"/>
      <c r="R3" s="25"/>
      <c r="S3" s="26" t="s">
        <v>32</v>
      </c>
      <c r="T3" s="26"/>
      <c r="U3" s="26"/>
      <c r="V3" s="27" t="s">
        <v>34</v>
      </c>
      <c r="W3" s="27"/>
    </row>
    <row r="4" customFormat="false" ht="31.5" hidden="false" customHeight="true" outlineLevel="0" collapsed="false">
      <c r="A4" s="28" t="s">
        <v>88</v>
      </c>
      <c r="B4" s="28" t="s">
        <v>89</v>
      </c>
      <c r="C4" s="28" t="s">
        <v>569</v>
      </c>
      <c r="D4" s="28" t="s">
        <v>91</v>
      </c>
      <c r="E4" s="28" t="s">
        <v>92</v>
      </c>
      <c r="F4" s="28" t="s">
        <v>93</v>
      </c>
      <c r="G4" s="28" t="s">
        <v>94</v>
      </c>
      <c r="H4" s="28" t="s">
        <v>95</v>
      </c>
      <c r="I4" s="28" t="s">
        <v>96</v>
      </c>
      <c r="J4" s="28" t="s">
        <v>97</v>
      </c>
      <c r="K4" s="28" t="s">
        <v>98</v>
      </c>
      <c r="L4" s="28" t="s">
        <v>99</v>
      </c>
      <c r="M4" s="28" t="s">
        <v>100</v>
      </c>
      <c r="N4" s="28" t="s">
        <v>101</v>
      </c>
      <c r="O4" s="28" t="s">
        <v>102</v>
      </c>
      <c r="P4" s="28" t="s">
        <v>103</v>
      </c>
      <c r="Q4" s="28" t="s">
        <v>104</v>
      </c>
      <c r="R4" s="28" t="s">
        <v>105</v>
      </c>
      <c r="S4" s="28" t="s">
        <v>106</v>
      </c>
      <c r="T4" s="28" t="s">
        <v>41</v>
      </c>
      <c r="U4" s="28" t="s">
        <v>107</v>
      </c>
      <c r="V4" s="28" t="s">
        <v>670</v>
      </c>
      <c r="W4" s="28" t="s">
        <v>109</v>
      </c>
    </row>
    <row r="5" customFormat="false" ht="43.25" hidden="false" customHeight="false" outlineLevel="0" collapsed="false">
      <c r="A5" s="29" t="s">
        <v>773</v>
      </c>
      <c r="B5" s="29" t="s">
        <v>672</v>
      </c>
      <c r="C5" s="29" t="s">
        <v>774</v>
      </c>
      <c r="D5" s="29" t="s">
        <v>674</v>
      </c>
      <c r="E5" s="29"/>
      <c r="F5" s="29" t="s">
        <v>675</v>
      </c>
      <c r="G5" s="29" t="s">
        <v>676</v>
      </c>
      <c r="H5" s="29"/>
      <c r="I5" s="30" t="s">
        <v>677</v>
      </c>
      <c r="J5" s="29"/>
      <c r="K5" s="29"/>
      <c r="L5" s="31"/>
      <c r="M5" s="31"/>
      <c r="N5" s="31"/>
      <c r="O5" s="31"/>
      <c r="P5" s="29" t="s">
        <v>19</v>
      </c>
      <c r="Q5" s="32" t="n">
        <v>46300</v>
      </c>
      <c r="R5" s="29" t="s">
        <v>117</v>
      </c>
      <c r="S5" s="29" t="s">
        <v>678</v>
      </c>
      <c r="T5" s="29" t="s">
        <v>119</v>
      </c>
      <c r="U5" s="29" t="s">
        <v>775</v>
      </c>
      <c r="V5" s="29" t="s">
        <v>776</v>
      </c>
      <c r="W5" s="29" t="s">
        <v>119</v>
      </c>
    </row>
    <row r="6" customFormat="false" ht="32.8" hidden="false" customHeight="false" outlineLevel="0" collapsed="false">
      <c r="A6" s="29" t="s">
        <v>777</v>
      </c>
      <c r="B6" s="29" t="s">
        <v>778</v>
      </c>
      <c r="C6" s="29" t="s">
        <v>779</v>
      </c>
      <c r="D6" s="29" t="s">
        <v>780</v>
      </c>
      <c r="E6" s="29"/>
      <c r="F6" s="29" t="s">
        <v>781</v>
      </c>
      <c r="G6" s="29"/>
      <c r="H6" s="29"/>
      <c r="I6" s="30" t="s">
        <v>782</v>
      </c>
      <c r="J6" s="29"/>
      <c r="K6" s="30" t="s">
        <v>783</v>
      </c>
      <c r="L6" s="31"/>
      <c r="M6" s="31"/>
      <c r="N6" s="31"/>
      <c r="O6" s="31"/>
      <c r="P6" s="29" t="s">
        <v>19</v>
      </c>
      <c r="Q6" s="32" t="n">
        <v>46300</v>
      </c>
      <c r="R6" s="29" t="s">
        <v>117</v>
      </c>
      <c r="S6" s="29" t="s">
        <v>784</v>
      </c>
      <c r="T6" s="29" t="s">
        <v>119</v>
      </c>
      <c r="U6" s="29" t="s">
        <v>785</v>
      </c>
      <c r="V6" s="29" t="s">
        <v>786</v>
      </c>
      <c r="W6" s="29" t="s">
        <v>119</v>
      </c>
    </row>
    <row r="7" customFormat="false" ht="32.8" hidden="false" customHeight="false" outlineLevel="0" collapsed="false">
      <c r="A7" s="29" t="s">
        <v>787</v>
      </c>
      <c r="B7" s="29" t="s">
        <v>788</v>
      </c>
      <c r="C7" s="29" t="s">
        <v>789</v>
      </c>
      <c r="D7" s="29" t="s">
        <v>790</v>
      </c>
      <c r="E7" s="29" t="s">
        <v>791</v>
      </c>
      <c r="F7" s="29" t="s">
        <v>127</v>
      </c>
      <c r="G7" s="29"/>
      <c r="H7" s="29"/>
      <c r="I7" s="30" t="s">
        <v>792</v>
      </c>
      <c r="J7" s="29"/>
      <c r="K7" s="29"/>
      <c r="L7" s="31"/>
      <c r="M7" s="31"/>
      <c r="N7" s="31"/>
      <c r="O7" s="31"/>
      <c r="P7" s="29" t="s">
        <v>19</v>
      </c>
      <c r="Q7" s="32" t="n">
        <v>46300</v>
      </c>
      <c r="R7" s="29" t="s">
        <v>117</v>
      </c>
      <c r="S7" s="29" t="s">
        <v>793</v>
      </c>
      <c r="T7" s="29" t="s">
        <v>119</v>
      </c>
      <c r="U7" s="29" t="s">
        <v>794</v>
      </c>
      <c r="V7" s="29" t="s">
        <v>795</v>
      </c>
      <c r="W7" s="29" t="s">
        <v>119</v>
      </c>
    </row>
    <row r="8" customFormat="false" ht="32.8" hidden="false" customHeight="false" outlineLevel="0" collapsed="false">
      <c r="A8" s="29" t="s">
        <v>796</v>
      </c>
      <c r="B8" s="29" t="s">
        <v>797</v>
      </c>
      <c r="C8" s="29" t="s">
        <v>798</v>
      </c>
      <c r="D8" s="29" t="s">
        <v>799</v>
      </c>
      <c r="E8" s="29"/>
      <c r="F8" s="29" t="s">
        <v>800</v>
      </c>
      <c r="G8" s="29" t="s">
        <v>801</v>
      </c>
      <c r="H8" s="29"/>
      <c r="I8" s="30" t="s">
        <v>802</v>
      </c>
      <c r="J8" s="29"/>
      <c r="K8" s="30" t="s">
        <v>803</v>
      </c>
      <c r="L8" s="31"/>
      <c r="M8" s="31"/>
      <c r="N8" s="31"/>
      <c r="O8" s="31"/>
      <c r="P8" s="29" t="s">
        <v>19</v>
      </c>
      <c r="Q8" s="32" t="n">
        <v>46300</v>
      </c>
      <c r="R8" s="29" t="s">
        <v>117</v>
      </c>
      <c r="S8" s="29" t="s">
        <v>804</v>
      </c>
      <c r="T8" s="29" t="s">
        <v>119</v>
      </c>
      <c r="U8" s="29" t="s">
        <v>805</v>
      </c>
      <c r="V8" s="29" t="s">
        <v>806</v>
      </c>
      <c r="W8" s="29" t="s">
        <v>119</v>
      </c>
    </row>
    <row r="9" customFormat="false" ht="32.8" hidden="false" customHeight="false" outlineLevel="0" collapsed="false">
      <c r="A9" s="29" t="s">
        <v>807</v>
      </c>
      <c r="B9" s="29" t="s">
        <v>808</v>
      </c>
      <c r="C9" s="29" t="s">
        <v>809</v>
      </c>
      <c r="D9" s="29" t="s">
        <v>603</v>
      </c>
      <c r="E9" s="29"/>
      <c r="F9" s="29" t="s">
        <v>604</v>
      </c>
      <c r="G9" s="29" t="s">
        <v>810</v>
      </c>
      <c r="H9" s="29"/>
      <c r="I9" s="30" t="s">
        <v>811</v>
      </c>
      <c r="J9" s="29"/>
      <c r="K9" s="29"/>
      <c r="L9" s="31"/>
      <c r="M9" s="31"/>
      <c r="N9" s="31"/>
      <c r="O9" s="31"/>
      <c r="P9" s="29" t="s">
        <v>19</v>
      </c>
      <c r="Q9" s="32" t="n">
        <v>46300</v>
      </c>
      <c r="R9" s="29" t="s">
        <v>117</v>
      </c>
      <c r="S9" s="29" t="s">
        <v>812</v>
      </c>
      <c r="T9" s="29" t="s">
        <v>119</v>
      </c>
      <c r="U9" s="29" t="s">
        <v>813</v>
      </c>
      <c r="V9" s="29" t="s">
        <v>814</v>
      </c>
      <c r="W9" s="29" t="s">
        <v>119</v>
      </c>
    </row>
    <row r="10" customFormat="false" ht="22.35" hidden="false" customHeight="false" outlineLevel="0" collapsed="false">
      <c r="A10" s="29" t="s">
        <v>815</v>
      </c>
      <c r="B10" s="29" t="s">
        <v>816</v>
      </c>
      <c r="C10" s="29" t="s">
        <v>817</v>
      </c>
      <c r="D10" s="29"/>
      <c r="E10" s="29"/>
      <c r="F10" s="29" t="s">
        <v>604</v>
      </c>
      <c r="G10" s="29"/>
      <c r="H10" s="29"/>
      <c r="I10" s="29"/>
      <c r="J10" s="29"/>
      <c r="K10" s="29"/>
      <c r="L10" s="31"/>
      <c r="M10" s="31"/>
      <c r="N10" s="31"/>
      <c r="O10" s="31"/>
      <c r="P10" s="29" t="s">
        <v>19</v>
      </c>
      <c r="Q10" s="32" t="n">
        <v>46300</v>
      </c>
      <c r="R10" s="29" t="s">
        <v>117</v>
      </c>
      <c r="S10" s="29" t="s">
        <v>818</v>
      </c>
      <c r="T10" s="29" t="s">
        <v>119</v>
      </c>
      <c r="U10" s="29" t="s">
        <v>819</v>
      </c>
      <c r="V10" s="29" t="s">
        <v>820</v>
      </c>
      <c r="W10" s="29" t="s">
        <v>119</v>
      </c>
    </row>
    <row r="11" customFormat="false" ht="15" hidden="false" customHeight="false" outlineLevel="0" collapsed="false">
      <c r="A11" s="29"/>
      <c r="B11" s="29"/>
      <c r="C11" s="29"/>
      <c r="D11" s="29"/>
      <c r="E11" s="29"/>
      <c r="F11" s="29"/>
      <c r="G11" s="29"/>
      <c r="H11" s="29"/>
      <c r="I11" s="29"/>
      <c r="J11" s="29"/>
      <c r="K11" s="29"/>
      <c r="L11" s="31"/>
      <c r="M11" s="31"/>
      <c r="N11" s="31"/>
      <c r="O11" s="31"/>
      <c r="P11" s="29"/>
      <c r="Q11" s="32"/>
      <c r="R11" s="29"/>
      <c r="S11" s="29"/>
      <c r="T11" s="29"/>
      <c r="U11" s="29"/>
      <c r="V11" s="29"/>
      <c r="W11" s="29"/>
    </row>
    <row r="12" customFormat="false" ht="15" hidden="false" customHeight="false" outlineLevel="0" collapsed="false">
      <c r="A12" s="29"/>
      <c r="B12" s="29"/>
      <c r="C12" s="29"/>
      <c r="D12" s="29"/>
      <c r="E12" s="29"/>
      <c r="F12" s="29"/>
      <c r="G12" s="29"/>
      <c r="H12" s="29"/>
      <c r="I12" s="29"/>
      <c r="J12" s="29"/>
      <c r="K12" s="29"/>
      <c r="L12" s="31"/>
      <c r="M12" s="31"/>
      <c r="N12" s="31"/>
      <c r="O12" s="31"/>
      <c r="P12" s="29"/>
      <c r="Q12" s="32"/>
      <c r="R12" s="29"/>
      <c r="S12" s="29"/>
      <c r="T12" s="29"/>
      <c r="U12" s="29"/>
      <c r="V12" s="29"/>
      <c r="W12" s="29"/>
    </row>
    <row r="13" customFormat="false" ht="15" hidden="false" customHeight="false" outlineLevel="0" collapsed="false">
      <c r="A13" s="29"/>
      <c r="B13" s="29"/>
      <c r="C13" s="29"/>
      <c r="D13" s="29"/>
      <c r="E13" s="29"/>
      <c r="F13" s="29"/>
      <c r="G13" s="29"/>
      <c r="H13" s="29"/>
      <c r="I13" s="29"/>
      <c r="J13" s="29"/>
      <c r="K13" s="29"/>
      <c r="L13" s="31"/>
      <c r="M13" s="31"/>
      <c r="N13" s="31"/>
      <c r="O13" s="31"/>
      <c r="P13" s="29"/>
      <c r="Q13" s="32"/>
      <c r="R13" s="29"/>
      <c r="S13" s="29"/>
      <c r="T13" s="29"/>
      <c r="U13" s="29"/>
      <c r="V13" s="29"/>
      <c r="W13" s="29"/>
    </row>
    <row r="14" customFormat="false" ht="15" hidden="false" customHeight="false" outlineLevel="0" collapsed="false">
      <c r="A14" s="29"/>
      <c r="B14" s="29"/>
      <c r="C14" s="29"/>
      <c r="D14" s="29"/>
      <c r="E14" s="29"/>
      <c r="F14" s="29"/>
      <c r="G14" s="29"/>
      <c r="H14" s="29"/>
      <c r="I14" s="29"/>
      <c r="J14" s="29"/>
      <c r="K14" s="29"/>
      <c r="L14" s="31"/>
      <c r="M14" s="31"/>
      <c r="N14" s="31"/>
      <c r="O14" s="31"/>
      <c r="P14" s="29"/>
      <c r="Q14" s="32"/>
      <c r="R14" s="29"/>
      <c r="S14" s="29"/>
      <c r="T14" s="29"/>
      <c r="U14" s="29"/>
      <c r="V14" s="29"/>
      <c r="W14" s="29"/>
    </row>
    <row r="15" customFormat="false" ht="15" hidden="false" customHeight="false" outlineLevel="0" collapsed="false">
      <c r="A15" s="29"/>
      <c r="B15" s="29"/>
      <c r="C15" s="29"/>
      <c r="D15" s="29"/>
      <c r="E15" s="29"/>
      <c r="F15" s="29"/>
      <c r="G15" s="29"/>
      <c r="H15" s="29"/>
      <c r="I15" s="29"/>
      <c r="J15" s="29"/>
      <c r="K15" s="29"/>
      <c r="L15" s="31"/>
      <c r="M15" s="31"/>
      <c r="N15" s="31"/>
      <c r="O15" s="31"/>
      <c r="P15" s="29"/>
      <c r="Q15" s="32"/>
      <c r="R15" s="29"/>
      <c r="S15" s="29"/>
      <c r="T15" s="29"/>
      <c r="U15" s="29"/>
      <c r="V15" s="29"/>
      <c r="W15" s="29"/>
    </row>
    <row r="16" customFormat="false" ht="15" hidden="false" customHeight="false" outlineLevel="0" collapsed="false">
      <c r="A16" s="29"/>
      <c r="B16" s="29"/>
      <c r="C16" s="29"/>
      <c r="D16" s="29"/>
      <c r="E16" s="29"/>
      <c r="F16" s="29"/>
      <c r="G16" s="29"/>
      <c r="H16" s="29"/>
      <c r="I16" s="29"/>
      <c r="J16" s="29"/>
      <c r="K16" s="29"/>
      <c r="L16" s="31"/>
      <c r="M16" s="31"/>
      <c r="N16" s="31"/>
      <c r="O16" s="31"/>
      <c r="P16" s="29"/>
      <c r="Q16" s="32"/>
      <c r="R16" s="29"/>
      <c r="S16" s="29"/>
      <c r="T16" s="29"/>
      <c r="U16" s="29"/>
      <c r="V16" s="29"/>
      <c r="W16" s="29"/>
    </row>
    <row r="17" customFormat="false" ht="15" hidden="false" customHeight="false" outlineLevel="0" collapsed="false">
      <c r="A17" s="29"/>
      <c r="B17" s="29"/>
      <c r="C17" s="29"/>
      <c r="D17" s="29"/>
      <c r="E17" s="29"/>
      <c r="F17" s="29"/>
      <c r="G17" s="29"/>
      <c r="H17" s="29"/>
      <c r="I17" s="29"/>
      <c r="J17" s="29"/>
      <c r="K17" s="29"/>
      <c r="L17" s="31"/>
      <c r="M17" s="31"/>
      <c r="N17" s="31"/>
      <c r="O17" s="31"/>
      <c r="P17" s="29"/>
      <c r="Q17" s="32"/>
      <c r="R17" s="29"/>
      <c r="S17" s="29"/>
      <c r="T17" s="29"/>
      <c r="U17" s="29"/>
      <c r="V17" s="29"/>
      <c r="W17" s="29"/>
    </row>
    <row r="18" customFormat="false" ht="15" hidden="false" customHeight="false" outlineLevel="0" collapsed="false">
      <c r="A18" s="29"/>
      <c r="B18" s="29"/>
      <c r="C18" s="29"/>
      <c r="D18" s="29"/>
      <c r="E18" s="29"/>
      <c r="F18" s="29"/>
      <c r="G18" s="29"/>
      <c r="H18" s="29"/>
      <c r="I18" s="29"/>
      <c r="J18" s="29"/>
      <c r="K18" s="29"/>
      <c r="L18" s="31"/>
      <c r="M18" s="31"/>
      <c r="N18" s="31"/>
      <c r="O18" s="31"/>
      <c r="P18" s="29"/>
      <c r="Q18" s="32"/>
      <c r="R18" s="29"/>
      <c r="S18" s="29"/>
      <c r="T18" s="29"/>
      <c r="U18" s="29"/>
      <c r="V18" s="29"/>
      <c r="W18" s="29"/>
    </row>
    <row r="19" customFormat="false" ht="15" hidden="false" customHeight="false" outlineLevel="0" collapsed="false">
      <c r="A19" s="29"/>
      <c r="B19" s="29"/>
      <c r="C19" s="29"/>
      <c r="D19" s="29"/>
      <c r="E19" s="29"/>
      <c r="F19" s="29"/>
      <c r="G19" s="29"/>
      <c r="H19" s="29"/>
      <c r="I19" s="29"/>
      <c r="J19" s="29"/>
      <c r="K19" s="29"/>
      <c r="L19" s="31"/>
      <c r="M19" s="31"/>
      <c r="N19" s="31"/>
      <c r="O19" s="31"/>
      <c r="P19" s="29"/>
      <c r="Q19" s="32"/>
      <c r="R19" s="29"/>
      <c r="S19" s="29"/>
      <c r="T19" s="29"/>
      <c r="U19" s="29"/>
      <c r="V19" s="29"/>
      <c r="W19" s="29"/>
    </row>
    <row r="20" customFormat="false" ht="15" hidden="false" customHeight="false" outlineLevel="0" collapsed="false">
      <c r="A20" s="29"/>
      <c r="B20" s="29"/>
      <c r="C20" s="29"/>
      <c r="D20" s="29"/>
      <c r="E20" s="29"/>
      <c r="F20" s="29"/>
      <c r="G20" s="29"/>
      <c r="H20" s="29"/>
      <c r="I20" s="29"/>
      <c r="J20" s="29"/>
      <c r="K20" s="29"/>
      <c r="L20" s="31"/>
      <c r="M20" s="31"/>
      <c r="N20" s="31"/>
      <c r="O20" s="31"/>
      <c r="P20" s="29"/>
      <c r="Q20" s="32"/>
      <c r="R20" s="29"/>
      <c r="S20" s="29"/>
      <c r="T20" s="29"/>
      <c r="U20" s="29"/>
      <c r="V20" s="29"/>
      <c r="W20" s="29"/>
    </row>
    <row r="21" customFormat="false" ht="15" hidden="false" customHeight="false" outlineLevel="0" collapsed="false">
      <c r="A21" s="29"/>
      <c r="B21" s="29"/>
      <c r="C21" s="29"/>
      <c r="D21" s="29"/>
      <c r="E21" s="29"/>
      <c r="F21" s="29"/>
      <c r="G21" s="29"/>
      <c r="H21" s="29"/>
      <c r="I21" s="29"/>
      <c r="J21" s="29"/>
      <c r="K21" s="29"/>
      <c r="L21" s="31"/>
      <c r="M21" s="31"/>
      <c r="N21" s="31"/>
      <c r="O21" s="31"/>
      <c r="P21" s="29"/>
      <c r="Q21" s="32"/>
      <c r="R21" s="29"/>
      <c r="S21" s="29"/>
      <c r="T21" s="29"/>
      <c r="U21" s="29"/>
      <c r="V21" s="29"/>
      <c r="W21" s="29"/>
    </row>
    <row r="22" customFormat="false" ht="15" hidden="false" customHeight="false" outlineLevel="0" collapsed="false">
      <c r="A22" s="29"/>
      <c r="B22" s="29"/>
      <c r="C22" s="29"/>
      <c r="D22" s="29"/>
      <c r="E22" s="29"/>
      <c r="F22" s="29"/>
      <c r="G22" s="29"/>
      <c r="H22" s="29"/>
      <c r="I22" s="29"/>
      <c r="J22" s="29"/>
      <c r="K22" s="29"/>
      <c r="L22" s="31"/>
      <c r="M22" s="31"/>
      <c r="N22" s="31"/>
      <c r="O22" s="31"/>
      <c r="P22" s="29"/>
      <c r="Q22" s="32"/>
      <c r="R22" s="29"/>
      <c r="S22" s="29"/>
      <c r="T22" s="29"/>
      <c r="U22" s="29"/>
      <c r="V22" s="29"/>
      <c r="W22" s="29"/>
    </row>
    <row r="23" customFormat="false" ht="15" hidden="false" customHeight="false" outlineLevel="0" collapsed="false">
      <c r="A23" s="29"/>
      <c r="B23" s="29"/>
      <c r="C23" s="29"/>
      <c r="D23" s="29"/>
      <c r="E23" s="29"/>
      <c r="F23" s="29"/>
      <c r="G23" s="29"/>
      <c r="H23" s="29"/>
      <c r="I23" s="29"/>
      <c r="J23" s="29"/>
      <c r="K23" s="29"/>
      <c r="L23" s="31"/>
      <c r="M23" s="31"/>
      <c r="N23" s="31"/>
      <c r="O23" s="31"/>
      <c r="P23" s="29"/>
      <c r="Q23" s="32"/>
      <c r="R23" s="29"/>
      <c r="S23" s="29"/>
      <c r="T23" s="29"/>
      <c r="U23" s="29"/>
      <c r="V23" s="29"/>
      <c r="W23" s="29"/>
    </row>
    <row r="24" customFormat="false" ht="15" hidden="false" customHeight="false" outlineLevel="0" collapsed="false">
      <c r="A24" s="29"/>
      <c r="B24" s="29"/>
      <c r="C24" s="29"/>
      <c r="D24" s="29"/>
      <c r="E24" s="29"/>
      <c r="F24" s="29"/>
      <c r="G24" s="29"/>
      <c r="H24" s="29"/>
      <c r="I24" s="29"/>
      <c r="J24" s="29"/>
      <c r="K24" s="29"/>
      <c r="L24" s="31"/>
      <c r="M24" s="31"/>
      <c r="N24" s="31"/>
      <c r="O24" s="31"/>
      <c r="P24" s="29"/>
      <c r="Q24" s="32"/>
      <c r="R24" s="29"/>
      <c r="S24" s="29"/>
      <c r="T24" s="29"/>
      <c r="U24" s="29"/>
      <c r="V24" s="29"/>
      <c r="W24" s="29"/>
    </row>
    <row r="25" customFormat="false" ht="15" hidden="false" customHeight="false" outlineLevel="0" collapsed="false">
      <c r="A25" s="29"/>
      <c r="B25" s="29"/>
      <c r="C25" s="29"/>
      <c r="D25" s="29"/>
      <c r="E25" s="29"/>
      <c r="F25" s="29"/>
      <c r="G25" s="29"/>
      <c r="H25" s="29"/>
      <c r="I25" s="29"/>
      <c r="J25" s="29"/>
      <c r="K25" s="29"/>
      <c r="L25" s="31"/>
      <c r="M25" s="31"/>
      <c r="N25" s="31"/>
      <c r="O25" s="31"/>
      <c r="P25" s="29"/>
      <c r="Q25" s="32"/>
      <c r="R25" s="29"/>
      <c r="S25" s="29"/>
      <c r="T25" s="29"/>
      <c r="U25" s="29"/>
      <c r="V25" s="29"/>
      <c r="W25" s="29"/>
    </row>
    <row r="26" customFormat="false" ht="15" hidden="false" customHeight="false" outlineLevel="0" collapsed="false">
      <c r="A26" s="33"/>
      <c r="B26" s="33"/>
      <c r="C26" s="33"/>
      <c r="D26" s="33"/>
      <c r="E26" s="33"/>
      <c r="F26" s="33"/>
      <c r="G26" s="33"/>
      <c r="H26" s="33"/>
      <c r="I26" s="33"/>
      <c r="J26" s="33"/>
      <c r="K26" s="33"/>
      <c r="L26" s="34"/>
      <c r="M26" s="34"/>
      <c r="N26" s="34"/>
      <c r="O26" s="34"/>
      <c r="P26" s="33"/>
      <c r="Q26" s="35"/>
      <c r="R26" s="33"/>
      <c r="S26" s="33"/>
      <c r="T26" s="33"/>
      <c r="U26" s="33"/>
      <c r="V26" s="33"/>
      <c r="W26" s="33"/>
    </row>
    <row r="27" customFormat="false" ht="15" hidden="false" customHeight="false" outlineLevel="0" collapsed="false">
      <c r="A27" s="33"/>
      <c r="B27" s="33"/>
      <c r="C27" s="33"/>
      <c r="D27" s="33"/>
      <c r="E27" s="33"/>
      <c r="F27" s="33"/>
      <c r="G27" s="33"/>
      <c r="H27" s="33"/>
      <c r="I27" s="33"/>
      <c r="J27" s="33"/>
      <c r="K27" s="33"/>
      <c r="L27" s="34"/>
      <c r="M27" s="34"/>
      <c r="N27" s="34"/>
      <c r="O27" s="34"/>
      <c r="P27" s="33"/>
      <c r="Q27" s="35"/>
      <c r="R27" s="33"/>
      <c r="S27" s="33"/>
      <c r="T27" s="33"/>
      <c r="U27" s="33"/>
      <c r="V27" s="33"/>
      <c r="W27" s="33"/>
    </row>
    <row r="28" customFormat="false" ht="15" hidden="false" customHeight="false" outlineLevel="0" collapsed="false">
      <c r="A28" s="33"/>
      <c r="B28" s="33"/>
      <c r="C28" s="33"/>
      <c r="D28" s="33"/>
      <c r="E28" s="33"/>
      <c r="F28" s="33"/>
      <c r="G28" s="33"/>
      <c r="H28" s="33"/>
      <c r="I28" s="33"/>
      <c r="J28" s="33"/>
      <c r="K28" s="33"/>
      <c r="L28" s="34"/>
      <c r="M28" s="34"/>
      <c r="N28" s="34"/>
      <c r="O28" s="34"/>
      <c r="P28" s="33"/>
      <c r="Q28" s="35"/>
      <c r="R28" s="33"/>
      <c r="S28" s="33"/>
      <c r="T28" s="33"/>
      <c r="U28" s="33"/>
      <c r="V28" s="33"/>
      <c r="W28" s="33"/>
    </row>
    <row r="29" customFormat="false" ht="15" hidden="false" customHeight="false" outlineLevel="0" collapsed="false">
      <c r="A29" s="33"/>
      <c r="B29" s="33"/>
      <c r="C29" s="33"/>
      <c r="D29" s="33"/>
      <c r="E29" s="33"/>
      <c r="F29" s="33"/>
      <c r="G29" s="33"/>
      <c r="H29" s="33"/>
      <c r="I29" s="33"/>
      <c r="J29" s="33"/>
      <c r="K29" s="33"/>
      <c r="L29" s="34"/>
      <c r="M29" s="34"/>
      <c r="N29" s="34"/>
      <c r="O29" s="34"/>
      <c r="P29" s="33"/>
      <c r="Q29" s="35"/>
      <c r="R29" s="33"/>
      <c r="S29" s="33"/>
      <c r="T29" s="33"/>
      <c r="U29" s="33"/>
      <c r="V29" s="33"/>
      <c r="W29" s="33"/>
    </row>
    <row r="30" customFormat="false" ht="15" hidden="false" customHeight="false" outlineLevel="0" collapsed="false">
      <c r="A30" s="33"/>
      <c r="B30" s="33"/>
      <c r="C30" s="33"/>
      <c r="D30" s="33"/>
      <c r="E30" s="33"/>
      <c r="F30" s="33"/>
      <c r="G30" s="33"/>
      <c r="H30" s="33"/>
      <c r="I30" s="33"/>
      <c r="J30" s="33"/>
      <c r="K30" s="33"/>
      <c r="L30" s="34"/>
      <c r="M30" s="34"/>
      <c r="N30" s="34"/>
      <c r="O30" s="34"/>
      <c r="P30" s="33"/>
      <c r="Q30" s="35"/>
      <c r="R30" s="33"/>
      <c r="S30" s="33"/>
      <c r="T30" s="33"/>
      <c r="U30" s="33"/>
      <c r="V30" s="33"/>
      <c r="W30" s="33"/>
    </row>
    <row r="31" customFormat="false" ht="15" hidden="false" customHeight="false" outlineLevel="0" collapsed="false">
      <c r="A31" s="33"/>
      <c r="B31" s="33"/>
      <c r="C31" s="33"/>
      <c r="D31" s="33"/>
      <c r="E31" s="33"/>
      <c r="F31" s="33"/>
      <c r="G31" s="33"/>
      <c r="H31" s="33"/>
      <c r="I31" s="33"/>
      <c r="J31" s="33"/>
      <c r="K31" s="33"/>
      <c r="L31" s="34"/>
      <c r="M31" s="34"/>
      <c r="N31" s="34"/>
      <c r="O31" s="34"/>
      <c r="P31" s="33"/>
      <c r="Q31" s="35"/>
      <c r="R31" s="33"/>
      <c r="S31" s="33"/>
      <c r="T31" s="33"/>
      <c r="U31" s="33"/>
      <c r="V31" s="33"/>
      <c r="W31" s="33"/>
    </row>
    <row r="32" customFormat="false" ht="15" hidden="false" customHeight="false" outlineLevel="0" collapsed="false">
      <c r="A32" s="33"/>
      <c r="B32" s="33"/>
      <c r="C32" s="33"/>
      <c r="D32" s="33"/>
      <c r="E32" s="33"/>
      <c r="F32" s="33"/>
      <c r="G32" s="33"/>
      <c r="H32" s="33"/>
      <c r="I32" s="33"/>
      <c r="J32" s="33"/>
      <c r="K32" s="33"/>
      <c r="L32" s="34"/>
      <c r="M32" s="34"/>
      <c r="N32" s="34"/>
      <c r="O32" s="34"/>
      <c r="P32" s="33"/>
      <c r="Q32" s="35"/>
      <c r="R32" s="33"/>
      <c r="S32" s="33"/>
      <c r="T32" s="33"/>
      <c r="U32" s="33"/>
      <c r="V32" s="33"/>
      <c r="W32" s="33"/>
    </row>
    <row r="33" customFormat="false" ht="15" hidden="false" customHeight="false" outlineLevel="0" collapsed="false">
      <c r="A33" s="33"/>
      <c r="B33" s="33"/>
      <c r="C33" s="33"/>
      <c r="D33" s="33"/>
      <c r="E33" s="33"/>
      <c r="F33" s="33"/>
      <c r="G33" s="33"/>
      <c r="H33" s="33"/>
      <c r="I33" s="33"/>
      <c r="J33" s="33"/>
      <c r="K33" s="33"/>
      <c r="L33" s="34"/>
      <c r="M33" s="34"/>
      <c r="N33" s="34"/>
      <c r="O33" s="34"/>
      <c r="P33" s="33"/>
      <c r="Q33" s="35"/>
      <c r="R33" s="33"/>
      <c r="S33" s="33"/>
      <c r="T33" s="33"/>
      <c r="U33" s="33"/>
      <c r="V33" s="33"/>
      <c r="W33" s="33"/>
    </row>
    <row r="34" customFormat="false" ht="15" hidden="false" customHeight="false" outlineLevel="0" collapsed="false">
      <c r="A34" s="33"/>
      <c r="B34" s="33"/>
      <c r="C34" s="33"/>
      <c r="D34" s="33"/>
      <c r="E34" s="33"/>
      <c r="F34" s="33"/>
      <c r="G34" s="33"/>
      <c r="H34" s="33"/>
      <c r="I34" s="33"/>
      <c r="J34" s="33"/>
      <c r="K34" s="33"/>
      <c r="L34" s="34"/>
      <c r="M34" s="34"/>
      <c r="N34" s="34"/>
      <c r="O34" s="34"/>
      <c r="P34" s="33"/>
      <c r="Q34" s="35"/>
      <c r="R34" s="33"/>
      <c r="S34" s="33"/>
      <c r="T34" s="33"/>
      <c r="U34" s="33"/>
      <c r="V34" s="33"/>
      <c r="W34" s="33"/>
    </row>
    <row r="35" customFormat="false" ht="15" hidden="false" customHeight="false" outlineLevel="0" collapsed="false">
      <c r="A35" s="33"/>
      <c r="B35" s="33"/>
      <c r="C35" s="33"/>
      <c r="D35" s="33"/>
      <c r="E35" s="33"/>
      <c r="F35" s="33"/>
      <c r="G35" s="33"/>
      <c r="H35" s="33"/>
      <c r="I35" s="33"/>
      <c r="J35" s="33"/>
      <c r="K35" s="33"/>
      <c r="L35" s="34"/>
      <c r="M35" s="34"/>
      <c r="N35" s="34"/>
      <c r="O35" s="34"/>
      <c r="P35" s="33"/>
      <c r="Q35" s="35"/>
      <c r="R35" s="33"/>
      <c r="S35" s="33"/>
      <c r="T35" s="33"/>
      <c r="U35" s="33"/>
      <c r="V35" s="33"/>
      <c r="W35" s="33"/>
    </row>
    <row r="36" customFormat="false" ht="15" hidden="false" customHeight="false" outlineLevel="0" collapsed="false">
      <c r="A36" s="33"/>
      <c r="B36" s="33"/>
      <c r="C36" s="33"/>
      <c r="D36" s="33"/>
      <c r="E36" s="33"/>
      <c r="F36" s="33"/>
      <c r="G36" s="33"/>
      <c r="H36" s="33"/>
      <c r="I36" s="33"/>
      <c r="J36" s="33"/>
      <c r="K36" s="33"/>
      <c r="L36" s="34"/>
      <c r="M36" s="34"/>
      <c r="N36" s="34"/>
      <c r="O36" s="34"/>
      <c r="P36" s="33"/>
      <c r="Q36" s="35"/>
      <c r="R36" s="33"/>
      <c r="S36" s="33"/>
      <c r="T36" s="33"/>
      <c r="U36" s="33"/>
      <c r="V36" s="33"/>
      <c r="W36" s="33"/>
    </row>
    <row r="37" customFormat="false" ht="15" hidden="false" customHeight="false" outlineLevel="0" collapsed="false">
      <c r="A37" s="33"/>
      <c r="B37" s="33"/>
      <c r="C37" s="33"/>
      <c r="D37" s="33"/>
      <c r="E37" s="33"/>
      <c r="F37" s="33"/>
      <c r="G37" s="33"/>
      <c r="H37" s="33"/>
      <c r="I37" s="33"/>
      <c r="J37" s="33"/>
      <c r="K37" s="33"/>
      <c r="L37" s="34"/>
      <c r="M37" s="34"/>
      <c r="N37" s="34"/>
      <c r="O37" s="34"/>
      <c r="P37" s="33"/>
      <c r="Q37" s="35"/>
      <c r="R37" s="33"/>
      <c r="S37" s="33"/>
      <c r="T37" s="33"/>
      <c r="U37" s="33"/>
      <c r="V37" s="33"/>
      <c r="W37" s="33"/>
    </row>
    <row r="38" customFormat="false" ht="15" hidden="false" customHeight="false" outlineLevel="0" collapsed="false">
      <c r="A38" s="33"/>
      <c r="B38" s="33"/>
      <c r="C38" s="33"/>
      <c r="D38" s="33"/>
      <c r="E38" s="33"/>
      <c r="F38" s="33"/>
      <c r="G38" s="33"/>
      <c r="H38" s="33"/>
      <c r="I38" s="33"/>
      <c r="J38" s="33"/>
      <c r="K38" s="33"/>
      <c r="L38" s="34"/>
      <c r="M38" s="34"/>
      <c r="N38" s="34"/>
      <c r="O38" s="34"/>
      <c r="P38" s="33"/>
      <c r="Q38" s="35"/>
      <c r="R38" s="33"/>
      <c r="S38" s="33"/>
      <c r="T38" s="33"/>
      <c r="U38" s="33"/>
      <c r="V38" s="33"/>
      <c r="W38" s="33"/>
    </row>
    <row r="39" customFormat="false" ht="15" hidden="false" customHeight="false" outlineLevel="0" collapsed="false">
      <c r="A39" s="33"/>
      <c r="B39" s="33"/>
      <c r="C39" s="33"/>
      <c r="D39" s="33"/>
      <c r="E39" s="33"/>
      <c r="F39" s="33"/>
      <c r="G39" s="33"/>
      <c r="H39" s="33"/>
      <c r="I39" s="33"/>
      <c r="J39" s="33"/>
      <c r="K39" s="33"/>
      <c r="L39" s="34"/>
      <c r="M39" s="34"/>
      <c r="N39" s="34"/>
      <c r="O39" s="34"/>
      <c r="P39" s="33"/>
      <c r="Q39" s="35"/>
      <c r="R39" s="33"/>
      <c r="S39" s="33"/>
      <c r="T39" s="33"/>
      <c r="U39" s="33"/>
      <c r="V39" s="33"/>
      <c r="W39" s="33"/>
    </row>
    <row r="40" customFormat="false" ht="15" hidden="false" customHeight="false" outlineLevel="0" collapsed="false">
      <c r="A40" s="33"/>
      <c r="B40" s="33"/>
      <c r="C40" s="33"/>
      <c r="D40" s="33"/>
      <c r="E40" s="33"/>
      <c r="F40" s="33"/>
      <c r="G40" s="33"/>
      <c r="H40" s="33"/>
      <c r="I40" s="33"/>
      <c r="J40" s="33"/>
      <c r="K40" s="33"/>
      <c r="L40" s="34"/>
      <c r="M40" s="34"/>
      <c r="N40" s="34"/>
      <c r="O40" s="34"/>
      <c r="P40" s="33"/>
      <c r="Q40" s="35"/>
      <c r="R40" s="33"/>
      <c r="S40" s="33"/>
      <c r="T40" s="33"/>
      <c r="U40" s="33"/>
      <c r="V40" s="33"/>
      <c r="W40" s="33"/>
    </row>
    <row r="41" customFormat="false" ht="15" hidden="false" customHeight="false" outlineLevel="0" collapsed="false">
      <c r="A41" s="33"/>
      <c r="B41" s="33"/>
      <c r="C41" s="33"/>
      <c r="D41" s="33"/>
      <c r="E41" s="33"/>
      <c r="F41" s="33"/>
      <c r="G41" s="33"/>
      <c r="H41" s="33"/>
      <c r="I41" s="33"/>
      <c r="J41" s="33"/>
      <c r="K41" s="33"/>
      <c r="L41" s="34"/>
      <c r="M41" s="34"/>
      <c r="N41" s="34"/>
      <c r="O41" s="34"/>
      <c r="P41" s="33"/>
      <c r="Q41" s="35"/>
      <c r="R41" s="33"/>
      <c r="S41" s="33"/>
      <c r="T41" s="33"/>
      <c r="U41" s="33"/>
      <c r="V41" s="33"/>
      <c r="W41" s="33"/>
    </row>
    <row r="42" customFormat="false" ht="15" hidden="false" customHeight="false" outlineLevel="0" collapsed="false">
      <c r="A42" s="33"/>
      <c r="B42" s="33"/>
      <c r="C42" s="33"/>
      <c r="D42" s="33"/>
      <c r="E42" s="33"/>
      <c r="F42" s="33"/>
      <c r="G42" s="33"/>
      <c r="H42" s="33"/>
      <c r="I42" s="33"/>
      <c r="J42" s="33"/>
      <c r="K42" s="33"/>
      <c r="L42" s="34"/>
      <c r="M42" s="34"/>
      <c r="N42" s="34"/>
      <c r="O42" s="34"/>
      <c r="P42" s="33"/>
      <c r="Q42" s="35"/>
      <c r="R42" s="33"/>
      <c r="S42" s="33"/>
      <c r="T42" s="33"/>
      <c r="U42" s="33"/>
      <c r="V42" s="33"/>
      <c r="W42" s="33"/>
    </row>
    <row r="43" customFormat="false" ht="15" hidden="false" customHeight="false" outlineLevel="0" collapsed="false">
      <c r="A43" s="33"/>
      <c r="B43" s="33"/>
      <c r="C43" s="33"/>
      <c r="D43" s="33"/>
      <c r="E43" s="33"/>
      <c r="F43" s="33"/>
      <c r="G43" s="33"/>
      <c r="H43" s="33"/>
      <c r="I43" s="33"/>
      <c r="J43" s="33"/>
      <c r="K43" s="33"/>
      <c r="L43" s="34"/>
      <c r="M43" s="34"/>
      <c r="N43" s="34"/>
      <c r="O43" s="34"/>
      <c r="P43" s="33"/>
      <c r="Q43" s="35"/>
      <c r="R43" s="33"/>
      <c r="S43" s="33"/>
      <c r="T43" s="33"/>
      <c r="U43" s="33"/>
      <c r="V43" s="33"/>
      <c r="W43" s="33"/>
    </row>
    <row r="44" customFormat="false" ht="15" hidden="false" customHeight="false" outlineLevel="0" collapsed="false">
      <c r="A44" s="33"/>
      <c r="B44" s="33"/>
      <c r="C44" s="33"/>
      <c r="D44" s="33"/>
      <c r="E44" s="33"/>
      <c r="F44" s="33"/>
      <c r="G44" s="33"/>
      <c r="H44" s="33"/>
      <c r="I44" s="33"/>
      <c r="J44" s="33"/>
      <c r="K44" s="33"/>
      <c r="L44" s="34"/>
      <c r="M44" s="34"/>
      <c r="N44" s="34"/>
      <c r="O44" s="34"/>
      <c r="P44" s="33"/>
      <c r="Q44" s="35"/>
      <c r="R44" s="33"/>
      <c r="S44" s="33"/>
      <c r="T44" s="33"/>
      <c r="U44" s="33"/>
      <c r="V44" s="33"/>
      <c r="W44" s="33"/>
    </row>
    <row r="45" customFormat="false" ht="15" hidden="false" customHeight="false" outlineLevel="0" collapsed="false">
      <c r="A45" s="33"/>
      <c r="B45" s="33"/>
      <c r="C45" s="33"/>
      <c r="D45" s="33"/>
      <c r="E45" s="33"/>
      <c r="F45" s="33"/>
      <c r="G45" s="33"/>
      <c r="H45" s="33"/>
      <c r="I45" s="33"/>
      <c r="J45" s="33"/>
      <c r="K45" s="33"/>
      <c r="L45" s="34"/>
      <c r="M45" s="34"/>
      <c r="N45" s="34"/>
      <c r="O45" s="34"/>
      <c r="P45" s="33"/>
      <c r="Q45" s="35"/>
      <c r="R45" s="33"/>
      <c r="S45" s="33"/>
      <c r="T45" s="33"/>
      <c r="U45" s="33"/>
      <c r="V45" s="33"/>
      <c r="W45" s="33"/>
    </row>
    <row r="46" customFormat="false" ht="15" hidden="false" customHeight="false" outlineLevel="0" collapsed="false">
      <c r="A46" s="33"/>
      <c r="B46" s="33"/>
      <c r="C46" s="33"/>
      <c r="D46" s="33"/>
      <c r="E46" s="33"/>
      <c r="F46" s="33"/>
      <c r="G46" s="33"/>
      <c r="H46" s="33"/>
      <c r="I46" s="33"/>
      <c r="J46" s="33"/>
      <c r="K46" s="33"/>
      <c r="L46" s="34"/>
      <c r="M46" s="34"/>
      <c r="N46" s="34"/>
      <c r="O46" s="34"/>
      <c r="P46" s="33"/>
      <c r="Q46" s="35"/>
      <c r="R46" s="33"/>
      <c r="S46" s="33"/>
      <c r="T46" s="33"/>
      <c r="U46" s="33"/>
      <c r="V46" s="33"/>
      <c r="W46" s="33"/>
    </row>
    <row r="47" customFormat="false" ht="15" hidden="false" customHeight="false" outlineLevel="0" collapsed="false">
      <c r="A47" s="33"/>
      <c r="B47" s="33"/>
      <c r="C47" s="33"/>
      <c r="D47" s="33"/>
      <c r="E47" s="33"/>
      <c r="F47" s="33"/>
      <c r="G47" s="33"/>
      <c r="H47" s="33"/>
      <c r="I47" s="33"/>
      <c r="J47" s="33"/>
      <c r="K47" s="33"/>
      <c r="L47" s="34"/>
      <c r="M47" s="34"/>
      <c r="N47" s="34"/>
      <c r="O47" s="34"/>
      <c r="P47" s="33"/>
      <c r="Q47" s="35"/>
      <c r="R47" s="33"/>
      <c r="S47" s="33"/>
      <c r="T47" s="33"/>
      <c r="U47" s="33"/>
      <c r="V47" s="33"/>
      <c r="W47" s="33"/>
    </row>
    <row r="48" customFormat="false" ht="15" hidden="false" customHeight="false" outlineLevel="0" collapsed="false">
      <c r="A48" s="33"/>
      <c r="B48" s="33"/>
      <c r="C48" s="33"/>
      <c r="D48" s="33"/>
      <c r="E48" s="33"/>
      <c r="F48" s="33"/>
      <c r="G48" s="33"/>
      <c r="H48" s="33"/>
      <c r="I48" s="33"/>
      <c r="J48" s="33"/>
      <c r="K48" s="33"/>
      <c r="L48" s="34"/>
      <c r="M48" s="34"/>
      <c r="N48" s="34"/>
      <c r="O48" s="34"/>
      <c r="P48" s="33"/>
      <c r="Q48" s="35"/>
      <c r="R48" s="33"/>
      <c r="S48" s="33"/>
      <c r="T48" s="33"/>
      <c r="U48" s="33"/>
      <c r="V48" s="33"/>
      <c r="W48" s="33"/>
    </row>
    <row r="49" customFormat="false" ht="15" hidden="false" customHeight="false" outlineLevel="0" collapsed="false">
      <c r="A49" s="33"/>
      <c r="B49" s="33"/>
      <c r="C49" s="33"/>
      <c r="D49" s="33"/>
      <c r="E49" s="33"/>
      <c r="F49" s="33"/>
      <c r="G49" s="33"/>
      <c r="H49" s="33"/>
      <c r="I49" s="33"/>
      <c r="J49" s="33"/>
      <c r="K49" s="33"/>
      <c r="L49" s="34"/>
      <c r="M49" s="34"/>
      <c r="N49" s="34"/>
      <c r="O49" s="34"/>
      <c r="P49" s="33"/>
      <c r="Q49" s="35"/>
      <c r="R49" s="33"/>
      <c r="S49" s="33"/>
      <c r="T49" s="33"/>
      <c r="U49" s="33"/>
      <c r="V49" s="33"/>
      <c r="W49" s="33"/>
    </row>
    <row r="50" customFormat="false" ht="15" hidden="false" customHeight="false" outlineLevel="0" collapsed="false">
      <c r="A50" s="33"/>
      <c r="B50" s="33"/>
      <c r="C50" s="33"/>
      <c r="D50" s="33"/>
      <c r="E50" s="33"/>
      <c r="F50" s="33"/>
      <c r="G50" s="33"/>
      <c r="H50" s="33"/>
      <c r="I50" s="33"/>
      <c r="J50" s="33"/>
      <c r="K50" s="33"/>
      <c r="L50" s="34"/>
      <c r="M50" s="34"/>
      <c r="N50" s="34"/>
      <c r="O50" s="34"/>
      <c r="P50" s="33"/>
      <c r="Q50" s="35"/>
      <c r="R50" s="33"/>
      <c r="S50" s="33"/>
      <c r="T50" s="33"/>
      <c r="U50" s="33"/>
      <c r="V50" s="33"/>
      <c r="W50" s="33"/>
    </row>
    <row r="51" customFormat="false" ht="15" hidden="false" customHeight="false" outlineLevel="0" collapsed="false">
      <c r="A51" s="33"/>
      <c r="B51" s="33"/>
      <c r="C51" s="33"/>
      <c r="D51" s="33"/>
      <c r="E51" s="33"/>
      <c r="F51" s="33"/>
      <c r="G51" s="33"/>
      <c r="H51" s="33"/>
      <c r="I51" s="33"/>
      <c r="J51" s="33"/>
      <c r="K51" s="33"/>
      <c r="L51" s="34"/>
      <c r="M51" s="34"/>
      <c r="N51" s="34"/>
      <c r="O51" s="34"/>
      <c r="P51" s="33"/>
      <c r="Q51" s="35"/>
      <c r="R51" s="33"/>
      <c r="S51" s="33"/>
      <c r="T51" s="33"/>
      <c r="U51" s="33"/>
      <c r="V51" s="33"/>
      <c r="W51" s="33"/>
    </row>
    <row r="52" customFormat="false" ht="15" hidden="false" customHeight="false" outlineLevel="0" collapsed="false">
      <c r="A52" s="33"/>
      <c r="B52" s="33"/>
      <c r="C52" s="33"/>
      <c r="D52" s="33"/>
      <c r="E52" s="33"/>
      <c r="F52" s="33"/>
      <c r="G52" s="33"/>
      <c r="H52" s="33"/>
      <c r="I52" s="33"/>
      <c r="J52" s="33"/>
      <c r="K52" s="33"/>
      <c r="L52" s="34"/>
      <c r="M52" s="34"/>
      <c r="N52" s="34"/>
      <c r="O52" s="34"/>
      <c r="P52" s="33"/>
      <c r="Q52" s="35"/>
      <c r="R52" s="33"/>
      <c r="S52" s="33"/>
      <c r="T52" s="33"/>
      <c r="U52" s="33"/>
      <c r="V52" s="33"/>
      <c r="W52" s="33"/>
    </row>
    <row r="53" customFormat="false" ht="15" hidden="false" customHeight="false" outlineLevel="0" collapsed="false">
      <c r="A53" s="33"/>
      <c r="B53" s="33"/>
      <c r="C53" s="33"/>
      <c r="D53" s="33"/>
      <c r="E53" s="33"/>
      <c r="F53" s="33"/>
      <c r="G53" s="33"/>
      <c r="H53" s="33"/>
      <c r="I53" s="33"/>
      <c r="J53" s="33"/>
      <c r="K53" s="33"/>
      <c r="L53" s="34"/>
      <c r="M53" s="34"/>
      <c r="N53" s="34"/>
      <c r="O53" s="34"/>
      <c r="P53" s="33"/>
      <c r="Q53" s="35"/>
      <c r="R53" s="33"/>
      <c r="S53" s="33"/>
      <c r="T53" s="33"/>
      <c r="U53" s="33"/>
      <c r="V53" s="33"/>
      <c r="W53" s="33"/>
    </row>
    <row r="54" customFormat="false" ht="15" hidden="false" customHeight="false" outlineLevel="0" collapsed="false">
      <c r="A54" s="33"/>
      <c r="B54" s="33"/>
      <c r="C54" s="33"/>
      <c r="D54" s="33"/>
      <c r="E54" s="33"/>
      <c r="F54" s="33"/>
      <c r="G54" s="33"/>
      <c r="H54" s="33"/>
      <c r="I54" s="33"/>
      <c r="J54" s="33"/>
      <c r="K54" s="33"/>
      <c r="L54" s="34"/>
      <c r="M54" s="34"/>
      <c r="N54" s="34"/>
      <c r="O54" s="34"/>
      <c r="P54" s="33"/>
      <c r="Q54" s="35"/>
      <c r="R54" s="33"/>
      <c r="S54" s="33"/>
      <c r="T54" s="33"/>
      <c r="U54" s="33"/>
      <c r="V54" s="33"/>
      <c r="W54" s="33"/>
    </row>
    <row r="55" customFormat="false" ht="15" hidden="false" customHeight="false" outlineLevel="0" collapsed="false">
      <c r="A55" s="33"/>
      <c r="B55" s="33"/>
      <c r="C55" s="33"/>
      <c r="D55" s="33"/>
      <c r="E55" s="33"/>
      <c r="F55" s="33"/>
      <c r="G55" s="33"/>
      <c r="H55" s="33"/>
      <c r="I55" s="33"/>
      <c r="J55" s="33"/>
      <c r="K55" s="33"/>
      <c r="L55" s="34"/>
      <c r="M55" s="34"/>
      <c r="N55" s="34"/>
      <c r="O55" s="34"/>
      <c r="P55" s="33"/>
      <c r="Q55" s="35"/>
      <c r="R55" s="33"/>
      <c r="S55" s="33"/>
      <c r="T55" s="33"/>
      <c r="U55" s="33"/>
      <c r="V55" s="33"/>
      <c r="W55" s="33"/>
    </row>
    <row r="56" customFormat="false" ht="15" hidden="false" customHeight="false" outlineLevel="0" collapsed="false">
      <c r="A56" s="33"/>
      <c r="B56" s="33"/>
      <c r="C56" s="33"/>
      <c r="D56" s="33"/>
      <c r="E56" s="33"/>
      <c r="F56" s="33"/>
      <c r="G56" s="33"/>
      <c r="H56" s="33"/>
      <c r="I56" s="33"/>
      <c r="J56" s="33"/>
      <c r="K56" s="33"/>
      <c r="L56" s="34"/>
      <c r="M56" s="34"/>
      <c r="N56" s="34"/>
      <c r="O56" s="34"/>
      <c r="P56" s="33"/>
      <c r="Q56" s="35"/>
      <c r="R56" s="33"/>
      <c r="S56" s="33"/>
      <c r="T56" s="33"/>
      <c r="U56" s="33"/>
      <c r="V56" s="33"/>
      <c r="W56" s="33"/>
    </row>
    <row r="57" customFormat="false" ht="15" hidden="false" customHeight="false" outlineLevel="0" collapsed="false">
      <c r="A57" s="33"/>
      <c r="B57" s="33"/>
      <c r="C57" s="33"/>
      <c r="D57" s="33"/>
      <c r="E57" s="33"/>
      <c r="F57" s="33"/>
      <c r="G57" s="33"/>
      <c r="H57" s="33"/>
      <c r="I57" s="33"/>
      <c r="J57" s="33"/>
      <c r="K57" s="33"/>
      <c r="L57" s="34"/>
      <c r="M57" s="34"/>
      <c r="N57" s="34"/>
      <c r="O57" s="34"/>
      <c r="P57" s="33"/>
      <c r="Q57" s="35"/>
      <c r="R57" s="33"/>
      <c r="S57" s="33"/>
      <c r="T57" s="33"/>
      <c r="U57" s="33"/>
      <c r="V57" s="33"/>
      <c r="W57" s="33"/>
    </row>
    <row r="58" customFormat="false" ht="15" hidden="false" customHeight="false" outlineLevel="0" collapsed="false">
      <c r="A58" s="33"/>
      <c r="B58" s="33"/>
      <c r="C58" s="33"/>
      <c r="D58" s="33"/>
      <c r="E58" s="33"/>
      <c r="F58" s="33"/>
      <c r="G58" s="33"/>
      <c r="H58" s="33"/>
      <c r="I58" s="33"/>
      <c r="J58" s="33"/>
      <c r="K58" s="33"/>
      <c r="L58" s="34"/>
      <c r="M58" s="34"/>
      <c r="N58" s="34"/>
      <c r="O58" s="34"/>
      <c r="P58" s="33"/>
      <c r="Q58" s="35"/>
      <c r="R58" s="33"/>
      <c r="S58" s="33"/>
      <c r="T58" s="33"/>
      <c r="U58" s="33"/>
      <c r="V58" s="33"/>
      <c r="W58" s="33"/>
    </row>
    <row r="59" customFormat="false" ht="15" hidden="false" customHeight="false" outlineLevel="0" collapsed="false">
      <c r="A59" s="33"/>
      <c r="B59" s="33"/>
      <c r="C59" s="33"/>
      <c r="D59" s="33"/>
      <c r="E59" s="33"/>
      <c r="F59" s="33"/>
      <c r="G59" s="33"/>
      <c r="H59" s="33"/>
      <c r="I59" s="33"/>
      <c r="J59" s="33"/>
      <c r="K59" s="33"/>
      <c r="L59" s="34"/>
      <c r="M59" s="34"/>
      <c r="N59" s="34"/>
      <c r="O59" s="34"/>
      <c r="P59" s="33"/>
      <c r="Q59" s="35"/>
      <c r="R59" s="33"/>
      <c r="S59" s="33"/>
      <c r="T59" s="33"/>
      <c r="U59" s="33"/>
      <c r="V59" s="33"/>
      <c r="W59" s="33"/>
    </row>
    <row r="60" customFormat="false" ht="15" hidden="false" customHeight="false" outlineLevel="0" collapsed="false">
      <c r="A60" s="33"/>
      <c r="B60" s="33"/>
      <c r="C60" s="33"/>
      <c r="D60" s="33"/>
      <c r="E60" s="33"/>
      <c r="F60" s="33"/>
      <c r="G60" s="33"/>
      <c r="H60" s="33"/>
      <c r="I60" s="33"/>
      <c r="J60" s="33"/>
      <c r="K60" s="33"/>
      <c r="L60" s="34"/>
      <c r="M60" s="34"/>
      <c r="N60" s="34"/>
      <c r="O60" s="34"/>
      <c r="P60" s="33"/>
      <c r="Q60" s="35"/>
      <c r="R60" s="33"/>
      <c r="S60" s="33"/>
      <c r="T60" s="33"/>
      <c r="U60" s="33"/>
      <c r="V60" s="33"/>
      <c r="W60" s="33"/>
    </row>
    <row r="61" customFormat="false" ht="15" hidden="false" customHeight="false" outlineLevel="0" collapsed="false">
      <c r="A61" s="33"/>
      <c r="B61" s="33"/>
      <c r="C61" s="33"/>
      <c r="D61" s="33"/>
      <c r="E61" s="33"/>
      <c r="F61" s="33"/>
      <c r="G61" s="33"/>
      <c r="H61" s="33"/>
      <c r="I61" s="33"/>
      <c r="J61" s="33"/>
      <c r="K61" s="33"/>
      <c r="L61" s="34"/>
      <c r="M61" s="34"/>
      <c r="N61" s="34"/>
      <c r="O61" s="34"/>
      <c r="P61" s="33"/>
      <c r="Q61" s="35"/>
      <c r="R61" s="33"/>
      <c r="S61" s="33"/>
      <c r="T61" s="33"/>
      <c r="U61" s="33"/>
      <c r="V61" s="33"/>
      <c r="W61" s="33"/>
    </row>
    <row r="62" customFormat="false" ht="15" hidden="false" customHeight="false" outlineLevel="0" collapsed="false">
      <c r="A62" s="33"/>
      <c r="B62" s="33"/>
      <c r="C62" s="33"/>
      <c r="D62" s="33"/>
      <c r="E62" s="33"/>
      <c r="F62" s="33"/>
      <c r="G62" s="33"/>
      <c r="H62" s="33"/>
      <c r="I62" s="33"/>
      <c r="J62" s="33"/>
      <c r="K62" s="33"/>
      <c r="L62" s="34"/>
      <c r="M62" s="34"/>
      <c r="N62" s="34"/>
      <c r="O62" s="34"/>
      <c r="P62" s="33"/>
      <c r="Q62" s="35"/>
      <c r="R62" s="33"/>
      <c r="S62" s="33"/>
      <c r="T62" s="33"/>
      <c r="U62" s="33"/>
      <c r="V62" s="33"/>
      <c r="W62" s="33"/>
    </row>
    <row r="63" customFormat="false" ht="15" hidden="false" customHeight="false" outlineLevel="0" collapsed="false">
      <c r="A63" s="33"/>
      <c r="B63" s="33"/>
      <c r="C63" s="33"/>
      <c r="D63" s="33"/>
      <c r="E63" s="33"/>
      <c r="F63" s="33"/>
      <c r="G63" s="33"/>
      <c r="H63" s="33"/>
      <c r="I63" s="33"/>
      <c r="J63" s="33"/>
      <c r="K63" s="33"/>
      <c r="L63" s="34"/>
      <c r="M63" s="34"/>
      <c r="N63" s="34"/>
      <c r="O63" s="34"/>
      <c r="P63" s="33"/>
      <c r="Q63" s="35"/>
      <c r="R63" s="33"/>
      <c r="S63" s="33"/>
      <c r="T63" s="33"/>
      <c r="U63" s="33"/>
      <c r="V63" s="33"/>
      <c r="W63" s="33"/>
    </row>
    <row r="64" customFormat="false" ht="15" hidden="false" customHeight="false" outlineLevel="0" collapsed="false">
      <c r="A64" s="33"/>
      <c r="B64" s="33"/>
      <c r="C64" s="33"/>
      <c r="D64" s="33"/>
      <c r="E64" s="33"/>
      <c r="F64" s="33"/>
      <c r="G64" s="33"/>
      <c r="H64" s="33"/>
      <c r="I64" s="33"/>
      <c r="J64" s="33"/>
      <c r="K64" s="33"/>
      <c r="L64" s="34"/>
      <c r="M64" s="34"/>
      <c r="N64" s="34"/>
      <c r="O64" s="34"/>
      <c r="P64" s="33"/>
      <c r="Q64" s="35"/>
      <c r="R64" s="33"/>
      <c r="S64" s="33"/>
      <c r="T64" s="33"/>
      <c r="U64" s="33"/>
      <c r="V64" s="33"/>
      <c r="W64" s="33"/>
    </row>
    <row r="65" customFormat="false" ht="15" hidden="false" customHeight="false" outlineLevel="0" collapsed="false">
      <c r="A65" s="33"/>
      <c r="B65" s="33"/>
      <c r="C65" s="33"/>
      <c r="D65" s="33"/>
      <c r="E65" s="33"/>
      <c r="F65" s="33"/>
      <c r="G65" s="33"/>
      <c r="H65" s="33"/>
      <c r="I65" s="33"/>
      <c r="J65" s="33"/>
      <c r="K65" s="33"/>
      <c r="L65" s="34"/>
      <c r="M65" s="34"/>
      <c r="N65" s="34"/>
      <c r="O65" s="34"/>
      <c r="P65" s="33"/>
      <c r="Q65" s="35"/>
      <c r="R65" s="33"/>
      <c r="S65" s="33"/>
      <c r="T65" s="33"/>
      <c r="U65" s="33"/>
      <c r="V65" s="33"/>
      <c r="W65" s="33"/>
    </row>
    <row r="66" customFormat="false" ht="15" hidden="false" customHeight="false" outlineLevel="0" collapsed="false">
      <c r="A66" s="33"/>
      <c r="B66" s="33"/>
      <c r="C66" s="33"/>
      <c r="D66" s="33"/>
      <c r="E66" s="33"/>
      <c r="F66" s="33"/>
      <c r="G66" s="33"/>
      <c r="H66" s="33"/>
      <c r="I66" s="33"/>
      <c r="J66" s="33"/>
      <c r="K66" s="33"/>
      <c r="L66" s="34"/>
      <c r="M66" s="34"/>
      <c r="N66" s="34"/>
      <c r="O66" s="34"/>
      <c r="P66" s="33"/>
      <c r="Q66" s="35"/>
      <c r="R66" s="33"/>
      <c r="S66" s="33"/>
      <c r="T66" s="33"/>
      <c r="U66" s="33"/>
      <c r="V66" s="33"/>
      <c r="W66" s="33"/>
    </row>
    <row r="67" customFormat="false" ht="15" hidden="false" customHeight="false" outlineLevel="0" collapsed="false">
      <c r="A67" s="33"/>
      <c r="B67" s="33"/>
      <c r="C67" s="33"/>
      <c r="D67" s="33"/>
      <c r="E67" s="33"/>
      <c r="F67" s="33"/>
      <c r="G67" s="33"/>
      <c r="H67" s="33"/>
      <c r="I67" s="33"/>
      <c r="J67" s="33"/>
      <c r="K67" s="33"/>
      <c r="L67" s="34"/>
      <c r="M67" s="34"/>
      <c r="N67" s="34"/>
      <c r="O67" s="34"/>
      <c r="P67" s="33"/>
      <c r="Q67" s="35"/>
      <c r="R67" s="33"/>
      <c r="S67" s="33"/>
      <c r="T67" s="33"/>
      <c r="U67" s="33"/>
      <c r="V67" s="33"/>
      <c r="W67" s="33"/>
    </row>
    <row r="68" customFormat="false" ht="15" hidden="false" customHeight="false" outlineLevel="0" collapsed="false">
      <c r="A68" s="33"/>
      <c r="B68" s="33"/>
      <c r="C68" s="33"/>
      <c r="D68" s="33"/>
      <c r="E68" s="33"/>
      <c r="F68" s="33"/>
      <c r="G68" s="33"/>
      <c r="H68" s="33"/>
      <c r="I68" s="33"/>
      <c r="J68" s="33"/>
      <c r="K68" s="33"/>
      <c r="L68" s="34"/>
      <c r="M68" s="34"/>
      <c r="N68" s="34"/>
      <c r="O68" s="34"/>
      <c r="P68" s="33"/>
      <c r="Q68" s="35"/>
      <c r="R68" s="33"/>
      <c r="S68" s="33"/>
      <c r="T68" s="33"/>
      <c r="U68" s="33"/>
      <c r="V68" s="33"/>
      <c r="W68" s="33"/>
    </row>
    <row r="69" customFormat="false" ht="15" hidden="false" customHeight="false" outlineLevel="0" collapsed="false">
      <c r="A69" s="33"/>
      <c r="B69" s="33"/>
      <c r="C69" s="33"/>
      <c r="D69" s="33"/>
      <c r="E69" s="33"/>
      <c r="F69" s="33"/>
      <c r="G69" s="33"/>
      <c r="H69" s="33"/>
      <c r="I69" s="33"/>
      <c r="J69" s="33"/>
      <c r="K69" s="33"/>
      <c r="L69" s="34"/>
      <c r="M69" s="34"/>
      <c r="N69" s="34"/>
      <c r="O69" s="34"/>
      <c r="P69" s="33"/>
      <c r="Q69" s="35"/>
      <c r="R69" s="33"/>
      <c r="S69" s="33"/>
      <c r="T69" s="33"/>
      <c r="U69" s="33"/>
      <c r="V69" s="33"/>
      <c r="W69" s="33"/>
    </row>
    <row r="70" customFormat="false" ht="15" hidden="false" customHeight="false" outlineLevel="0" collapsed="false">
      <c r="A70" s="33"/>
      <c r="B70" s="33"/>
      <c r="C70" s="33"/>
      <c r="D70" s="33"/>
      <c r="E70" s="33"/>
      <c r="F70" s="33"/>
      <c r="G70" s="33"/>
      <c r="H70" s="33"/>
      <c r="I70" s="33"/>
      <c r="J70" s="33"/>
      <c r="K70" s="33"/>
      <c r="L70" s="34"/>
      <c r="M70" s="34"/>
      <c r="N70" s="34"/>
      <c r="O70" s="34"/>
      <c r="P70" s="33"/>
      <c r="Q70" s="35"/>
      <c r="R70" s="33"/>
      <c r="S70" s="33"/>
      <c r="T70" s="33"/>
      <c r="U70" s="33"/>
      <c r="V70" s="33"/>
      <c r="W70" s="33"/>
    </row>
    <row r="71" customFormat="false" ht="15" hidden="false" customHeight="false" outlineLevel="0" collapsed="false">
      <c r="A71" s="33"/>
      <c r="B71" s="33"/>
      <c r="C71" s="33"/>
      <c r="D71" s="33"/>
      <c r="E71" s="33"/>
      <c r="F71" s="33"/>
      <c r="G71" s="33"/>
      <c r="H71" s="33"/>
      <c r="I71" s="33"/>
      <c r="J71" s="33"/>
      <c r="K71" s="33"/>
      <c r="L71" s="34"/>
      <c r="M71" s="34"/>
      <c r="N71" s="34"/>
      <c r="O71" s="34"/>
      <c r="P71" s="33"/>
      <c r="Q71" s="35"/>
      <c r="R71" s="33"/>
      <c r="S71" s="33"/>
      <c r="T71" s="33"/>
      <c r="U71" s="33"/>
      <c r="V71" s="33"/>
      <c r="W71" s="33"/>
    </row>
    <row r="72" customFormat="false" ht="15" hidden="false" customHeight="false" outlineLevel="0" collapsed="false">
      <c r="A72" s="33"/>
      <c r="B72" s="33"/>
      <c r="C72" s="33"/>
      <c r="D72" s="33"/>
      <c r="E72" s="33"/>
      <c r="F72" s="33"/>
      <c r="G72" s="33"/>
      <c r="H72" s="33"/>
      <c r="I72" s="33"/>
      <c r="J72" s="33"/>
      <c r="K72" s="33"/>
      <c r="L72" s="34"/>
      <c r="M72" s="34"/>
      <c r="N72" s="34"/>
      <c r="O72" s="34"/>
      <c r="P72" s="33"/>
      <c r="Q72" s="35"/>
      <c r="R72" s="33"/>
      <c r="S72" s="33"/>
      <c r="T72" s="33"/>
      <c r="U72" s="33"/>
      <c r="V72" s="33"/>
      <c r="W72" s="33"/>
    </row>
    <row r="73" customFormat="false" ht="15" hidden="false" customHeight="false" outlineLevel="0" collapsed="false">
      <c r="A73" s="33"/>
      <c r="B73" s="33"/>
      <c r="C73" s="33"/>
      <c r="D73" s="33"/>
      <c r="E73" s="33"/>
      <c r="F73" s="33"/>
      <c r="G73" s="33"/>
      <c r="H73" s="33"/>
      <c r="I73" s="33"/>
      <c r="J73" s="33"/>
      <c r="K73" s="33"/>
      <c r="L73" s="34"/>
      <c r="M73" s="34"/>
      <c r="N73" s="34"/>
      <c r="O73" s="34"/>
      <c r="P73" s="33"/>
      <c r="Q73" s="35"/>
      <c r="R73" s="33"/>
      <c r="S73" s="33"/>
      <c r="T73" s="33"/>
      <c r="U73" s="33"/>
      <c r="V73" s="33"/>
      <c r="W73" s="33"/>
    </row>
    <row r="74" customFormat="false" ht="15" hidden="false" customHeight="false" outlineLevel="0" collapsed="false">
      <c r="A74" s="33"/>
      <c r="B74" s="33"/>
      <c r="C74" s="33"/>
      <c r="D74" s="33"/>
      <c r="E74" s="33"/>
      <c r="F74" s="33"/>
      <c r="G74" s="33"/>
      <c r="H74" s="33"/>
      <c r="I74" s="33"/>
      <c r="J74" s="33"/>
      <c r="K74" s="33"/>
      <c r="L74" s="34"/>
      <c r="M74" s="34"/>
      <c r="N74" s="34"/>
      <c r="O74" s="34"/>
      <c r="P74" s="33"/>
      <c r="Q74" s="35"/>
      <c r="R74" s="33"/>
      <c r="S74" s="33"/>
      <c r="T74" s="33"/>
      <c r="U74" s="33"/>
      <c r="V74" s="33"/>
      <c r="W74" s="33"/>
    </row>
    <row r="75" customFormat="false" ht="15" hidden="false" customHeight="false" outlineLevel="0" collapsed="false">
      <c r="A75" s="33"/>
      <c r="B75" s="33"/>
      <c r="C75" s="33"/>
      <c r="D75" s="33"/>
      <c r="E75" s="33"/>
      <c r="F75" s="33"/>
      <c r="G75" s="33"/>
      <c r="H75" s="33"/>
      <c r="I75" s="33"/>
      <c r="J75" s="33"/>
      <c r="K75" s="33"/>
      <c r="L75" s="34"/>
      <c r="M75" s="34"/>
      <c r="N75" s="34"/>
      <c r="O75" s="34"/>
      <c r="P75" s="33"/>
      <c r="Q75" s="35"/>
      <c r="R75" s="33"/>
      <c r="S75" s="33"/>
      <c r="T75" s="33"/>
      <c r="U75" s="33"/>
      <c r="V75" s="33"/>
      <c r="W75" s="33"/>
    </row>
    <row r="76" customFormat="false" ht="15" hidden="false" customHeight="false" outlineLevel="0" collapsed="false">
      <c r="A76" s="33"/>
      <c r="B76" s="33"/>
      <c r="C76" s="33"/>
      <c r="D76" s="33"/>
      <c r="E76" s="33"/>
      <c r="F76" s="33"/>
      <c r="G76" s="33"/>
      <c r="H76" s="33"/>
      <c r="I76" s="33"/>
      <c r="J76" s="33"/>
      <c r="K76" s="33"/>
      <c r="L76" s="34"/>
      <c r="M76" s="34"/>
      <c r="N76" s="34"/>
      <c r="O76" s="34"/>
      <c r="P76" s="33"/>
      <c r="Q76" s="35"/>
      <c r="R76" s="33"/>
      <c r="S76" s="33"/>
      <c r="T76" s="33"/>
      <c r="U76" s="33"/>
      <c r="V76" s="33"/>
      <c r="W76" s="33"/>
    </row>
    <row r="77" customFormat="false" ht="15" hidden="false" customHeight="false" outlineLevel="0" collapsed="false">
      <c r="A77" s="33"/>
      <c r="B77" s="33"/>
      <c r="C77" s="33"/>
      <c r="D77" s="33"/>
      <c r="E77" s="33"/>
      <c r="F77" s="33"/>
      <c r="G77" s="33"/>
      <c r="H77" s="33"/>
      <c r="I77" s="33"/>
      <c r="J77" s="33"/>
      <c r="K77" s="33"/>
      <c r="L77" s="34"/>
      <c r="M77" s="34"/>
      <c r="N77" s="34"/>
      <c r="O77" s="34"/>
      <c r="P77" s="33"/>
      <c r="Q77" s="35"/>
      <c r="R77" s="33"/>
      <c r="S77" s="33"/>
      <c r="T77" s="33"/>
      <c r="U77" s="33"/>
      <c r="V77" s="33"/>
      <c r="W77" s="33"/>
    </row>
    <row r="78" customFormat="false" ht="15" hidden="false" customHeight="false" outlineLevel="0" collapsed="false">
      <c r="A78" s="33"/>
      <c r="B78" s="33"/>
      <c r="C78" s="33"/>
      <c r="D78" s="33"/>
      <c r="E78" s="33"/>
      <c r="F78" s="33"/>
      <c r="G78" s="33"/>
      <c r="H78" s="33"/>
      <c r="I78" s="33"/>
      <c r="J78" s="33"/>
      <c r="K78" s="33"/>
      <c r="L78" s="34"/>
      <c r="M78" s="34"/>
      <c r="N78" s="34"/>
      <c r="O78" s="34"/>
      <c r="P78" s="33"/>
      <c r="Q78" s="35"/>
      <c r="R78" s="33"/>
      <c r="S78" s="33"/>
      <c r="T78" s="33"/>
      <c r="U78" s="33"/>
      <c r="V78" s="33"/>
      <c r="W78" s="33"/>
    </row>
    <row r="79" customFormat="false" ht="15" hidden="false" customHeight="false" outlineLevel="0" collapsed="false">
      <c r="A79" s="33"/>
      <c r="B79" s="33"/>
      <c r="C79" s="33"/>
      <c r="D79" s="33"/>
      <c r="E79" s="33"/>
      <c r="F79" s="33"/>
      <c r="G79" s="33"/>
      <c r="H79" s="33"/>
      <c r="I79" s="33"/>
      <c r="J79" s="33"/>
      <c r="K79" s="33"/>
      <c r="L79" s="34"/>
      <c r="M79" s="34"/>
      <c r="N79" s="34"/>
      <c r="O79" s="34"/>
      <c r="P79" s="33"/>
      <c r="Q79" s="35"/>
      <c r="R79" s="33"/>
      <c r="S79" s="33"/>
      <c r="T79" s="33"/>
      <c r="U79" s="33"/>
      <c r="V79" s="33"/>
      <c r="W79" s="33"/>
    </row>
    <row r="80" customFormat="false" ht="15" hidden="false" customHeight="false" outlineLevel="0" collapsed="false">
      <c r="A80" s="33"/>
      <c r="B80" s="33"/>
      <c r="C80" s="33"/>
      <c r="D80" s="33"/>
      <c r="E80" s="33"/>
      <c r="F80" s="33"/>
      <c r="G80" s="33"/>
      <c r="H80" s="33"/>
      <c r="I80" s="33"/>
      <c r="J80" s="33"/>
      <c r="K80" s="33"/>
      <c r="L80" s="34"/>
      <c r="M80" s="34"/>
      <c r="N80" s="34"/>
      <c r="O80" s="34"/>
      <c r="P80" s="33"/>
      <c r="Q80" s="35"/>
      <c r="R80" s="33"/>
      <c r="S80" s="33"/>
      <c r="T80" s="33"/>
      <c r="U80" s="33"/>
      <c r="V80" s="33"/>
      <c r="W80" s="33"/>
    </row>
    <row r="81" customFormat="false" ht="15" hidden="false" customHeight="false" outlineLevel="0" collapsed="false">
      <c r="A81" s="33"/>
      <c r="B81" s="33"/>
      <c r="C81" s="33"/>
      <c r="D81" s="33"/>
      <c r="E81" s="33"/>
      <c r="F81" s="33"/>
      <c r="G81" s="33"/>
      <c r="H81" s="33"/>
      <c r="I81" s="33"/>
      <c r="J81" s="33"/>
      <c r="K81" s="33"/>
      <c r="L81" s="34"/>
      <c r="M81" s="34"/>
      <c r="N81" s="34"/>
      <c r="O81" s="34"/>
      <c r="P81" s="33"/>
      <c r="Q81" s="35"/>
      <c r="R81" s="33"/>
      <c r="S81" s="33"/>
      <c r="T81" s="33"/>
      <c r="U81" s="33"/>
      <c r="V81" s="33"/>
      <c r="W81" s="33"/>
    </row>
    <row r="82" customFormat="false" ht="15" hidden="false" customHeight="false" outlineLevel="0" collapsed="false">
      <c r="A82" s="33"/>
      <c r="B82" s="33"/>
      <c r="C82" s="33"/>
      <c r="D82" s="33"/>
      <c r="E82" s="33"/>
      <c r="F82" s="33"/>
      <c r="G82" s="33"/>
      <c r="H82" s="33"/>
      <c r="I82" s="33"/>
      <c r="J82" s="33"/>
      <c r="K82" s="33"/>
      <c r="L82" s="34"/>
      <c r="M82" s="34"/>
      <c r="N82" s="34"/>
      <c r="O82" s="34"/>
      <c r="P82" s="33"/>
      <c r="Q82" s="35"/>
      <c r="R82" s="33"/>
      <c r="S82" s="33"/>
      <c r="T82" s="33"/>
      <c r="U82" s="33"/>
      <c r="V82" s="33"/>
      <c r="W82" s="33"/>
    </row>
    <row r="83" customFormat="false" ht="15" hidden="false" customHeight="false" outlineLevel="0" collapsed="false">
      <c r="A83" s="33"/>
      <c r="B83" s="33"/>
      <c r="C83" s="33"/>
      <c r="D83" s="33"/>
      <c r="E83" s="33"/>
      <c r="F83" s="33"/>
      <c r="G83" s="33"/>
      <c r="H83" s="33"/>
      <c r="I83" s="33"/>
      <c r="J83" s="33"/>
      <c r="K83" s="33"/>
      <c r="L83" s="34"/>
      <c r="M83" s="34"/>
      <c r="N83" s="34"/>
      <c r="O83" s="34"/>
      <c r="P83" s="33"/>
      <c r="Q83" s="35"/>
      <c r="R83" s="33"/>
      <c r="S83" s="33"/>
      <c r="T83" s="33"/>
      <c r="U83" s="33"/>
      <c r="V83" s="33"/>
      <c r="W83" s="33"/>
    </row>
    <row r="84" customFormat="false" ht="15" hidden="false" customHeight="false" outlineLevel="0" collapsed="false">
      <c r="A84" s="33"/>
      <c r="B84" s="33"/>
      <c r="C84" s="33"/>
      <c r="D84" s="33"/>
      <c r="E84" s="33"/>
      <c r="F84" s="33"/>
      <c r="G84" s="33"/>
      <c r="H84" s="33"/>
      <c r="I84" s="33"/>
      <c r="J84" s="33"/>
      <c r="K84" s="33"/>
      <c r="L84" s="34"/>
      <c r="M84" s="34"/>
      <c r="N84" s="34"/>
      <c r="O84" s="34"/>
      <c r="P84" s="33"/>
      <c r="Q84" s="35"/>
      <c r="R84" s="33"/>
      <c r="S84" s="33"/>
      <c r="T84" s="33"/>
      <c r="U84" s="33"/>
      <c r="V84" s="33"/>
      <c r="W84" s="33"/>
    </row>
    <row r="85" customFormat="false" ht="15" hidden="false" customHeight="false" outlineLevel="0" collapsed="false">
      <c r="A85" s="33"/>
      <c r="B85" s="33"/>
      <c r="C85" s="33"/>
      <c r="D85" s="33"/>
      <c r="E85" s="33"/>
      <c r="F85" s="33"/>
      <c r="G85" s="33"/>
      <c r="H85" s="33"/>
      <c r="I85" s="33"/>
      <c r="J85" s="33"/>
      <c r="K85" s="33"/>
      <c r="L85" s="34"/>
      <c r="M85" s="34"/>
      <c r="N85" s="34"/>
      <c r="O85" s="34"/>
      <c r="P85" s="33"/>
      <c r="Q85" s="35"/>
      <c r="R85" s="33"/>
      <c r="S85" s="33"/>
      <c r="T85" s="33"/>
      <c r="U85" s="33"/>
      <c r="V85" s="33"/>
      <c r="W85" s="33"/>
    </row>
    <row r="86" customFormat="false" ht="15" hidden="false" customHeight="false" outlineLevel="0" collapsed="false">
      <c r="A86" s="33"/>
      <c r="B86" s="33"/>
      <c r="C86" s="33"/>
      <c r="D86" s="33"/>
      <c r="E86" s="33"/>
      <c r="F86" s="33"/>
      <c r="G86" s="33"/>
      <c r="H86" s="33"/>
      <c r="I86" s="33"/>
      <c r="J86" s="33"/>
      <c r="K86" s="33"/>
      <c r="L86" s="34"/>
      <c r="M86" s="34"/>
      <c r="N86" s="34"/>
      <c r="O86" s="34"/>
      <c r="P86" s="33"/>
      <c r="Q86" s="35"/>
      <c r="R86" s="33"/>
      <c r="S86" s="33"/>
      <c r="T86" s="33"/>
      <c r="U86" s="33"/>
      <c r="V86" s="33"/>
      <c r="W86" s="33"/>
    </row>
    <row r="87" customFormat="false" ht="15" hidden="false" customHeight="false" outlineLevel="0" collapsed="false">
      <c r="A87" s="33"/>
      <c r="B87" s="33"/>
      <c r="C87" s="33"/>
      <c r="D87" s="33"/>
      <c r="E87" s="33"/>
      <c r="F87" s="33"/>
      <c r="G87" s="33"/>
      <c r="H87" s="33"/>
      <c r="I87" s="33"/>
      <c r="J87" s="33"/>
      <c r="K87" s="33"/>
      <c r="L87" s="34"/>
      <c r="M87" s="34"/>
      <c r="N87" s="34"/>
      <c r="O87" s="34"/>
      <c r="P87" s="33"/>
      <c r="Q87" s="35"/>
      <c r="R87" s="33"/>
      <c r="S87" s="33"/>
      <c r="T87" s="33"/>
      <c r="U87" s="33"/>
      <c r="V87" s="33"/>
      <c r="W87" s="33"/>
    </row>
    <row r="88" customFormat="false" ht="15" hidden="false" customHeight="false" outlineLevel="0" collapsed="false">
      <c r="A88" s="33"/>
      <c r="B88" s="33"/>
      <c r="C88" s="33"/>
      <c r="D88" s="33"/>
      <c r="E88" s="33"/>
      <c r="F88" s="33"/>
      <c r="G88" s="33"/>
      <c r="H88" s="33"/>
      <c r="I88" s="33"/>
      <c r="J88" s="33"/>
      <c r="K88" s="33"/>
      <c r="L88" s="34"/>
      <c r="M88" s="34"/>
      <c r="N88" s="34"/>
      <c r="O88" s="34"/>
      <c r="P88" s="33"/>
      <c r="Q88" s="35"/>
      <c r="R88" s="33"/>
      <c r="S88" s="33"/>
      <c r="T88" s="33"/>
      <c r="U88" s="33"/>
      <c r="V88" s="33"/>
      <c r="W88" s="33"/>
    </row>
    <row r="89" customFormat="false" ht="15" hidden="false" customHeight="false" outlineLevel="0" collapsed="false">
      <c r="A89" s="33"/>
      <c r="B89" s="33"/>
      <c r="C89" s="33"/>
      <c r="D89" s="33"/>
      <c r="E89" s="33"/>
      <c r="F89" s="33"/>
      <c r="G89" s="33"/>
      <c r="H89" s="33"/>
      <c r="I89" s="33"/>
      <c r="J89" s="33"/>
      <c r="K89" s="33"/>
      <c r="L89" s="34"/>
      <c r="M89" s="34"/>
      <c r="N89" s="34"/>
      <c r="O89" s="34"/>
      <c r="P89" s="33"/>
      <c r="Q89" s="35"/>
      <c r="R89" s="33"/>
      <c r="S89" s="33"/>
      <c r="T89" s="33"/>
      <c r="U89" s="33"/>
      <c r="V89" s="33"/>
      <c r="W89" s="33"/>
    </row>
    <row r="90" customFormat="false" ht="15" hidden="false" customHeight="false" outlineLevel="0" collapsed="false">
      <c r="A90" s="33"/>
      <c r="B90" s="33"/>
      <c r="C90" s="33"/>
      <c r="D90" s="33"/>
      <c r="E90" s="33"/>
      <c r="F90" s="33"/>
      <c r="G90" s="33"/>
      <c r="H90" s="33"/>
      <c r="I90" s="33"/>
      <c r="J90" s="33"/>
      <c r="K90" s="33"/>
      <c r="L90" s="34"/>
      <c r="M90" s="34"/>
      <c r="N90" s="34"/>
      <c r="O90" s="34"/>
      <c r="P90" s="33"/>
      <c r="Q90" s="35"/>
      <c r="R90" s="33"/>
      <c r="S90" s="33"/>
      <c r="T90" s="33"/>
      <c r="U90" s="33"/>
      <c r="V90" s="33"/>
      <c r="W90" s="33"/>
    </row>
    <row r="91" customFormat="false" ht="15" hidden="false" customHeight="false" outlineLevel="0" collapsed="false">
      <c r="A91" s="33"/>
      <c r="B91" s="33"/>
      <c r="C91" s="33"/>
      <c r="D91" s="33"/>
      <c r="E91" s="33"/>
      <c r="F91" s="33"/>
      <c r="G91" s="33"/>
      <c r="H91" s="33"/>
      <c r="I91" s="33"/>
      <c r="J91" s="33"/>
      <c r="K91" s="33"/>
      <c r="L91" s="34"/>
      <c r="M91" s="34"/>
      <c r="N91" s="34"/>
      <c r="O91" s="34"/>
      <c r="P91" s="33"/>
      <c r="Q91" s="35"/>
      <c r="R91" s="33"/>
      <c r="S91" s="33"/>
      <c r="T91" s="33"/>
      <c r="U91" s="33"/>
      <c r="V91" s="33"/>
      <c r="W91" s="33"/>
    </row>
    <row r="92" customFormat="false" ht="15" hidden="false" customHeight="false" outlineLevel="0" collapsed="false">
      <c r="A92" s="33"/>
      <c r="B92" s="33"/>
      <c r="C92" s="33"/>
      <c r="D92" s="33"/>
      <c r="E92" s="33"/>
      <c r="F92" s="33"/>
      <c r="G92" s="33"/>
      <c r="H92" s="33"/>
      <c r="I92" s="33"/>
      <c r="J92" s="33"/>
      <c r="K92" s="33"/>
      <c r="L92" s="34"/>
      <c r="M92" s="34"/>
      <c r="N92" s="34"/>
      <c r="O92" s="34"/>
      <c r="P92" s="33"/>
      <c r="Q92" s="35"/>
      <c r="R92" s="33"/>
      <c r="S92" s="33"/>
      <c r="T92" s="33"/>
      <c r="U92" s="33"/>
      <c r="V92" s="33"/>
      <c r="W92" s="33"/>
    </row>
    <row r="93" customFormat="false" ht="15" hidden="false" customHeight="false" outlineLevel="0" collapsed="false">
      <c r="A93" s="33"/>
      <c r="B93" s="33"/>
      <c r="C93" s="33"/>
      <c r="D93" s="33"/>
      <c r="E93" s="33"/>
      <c r="F93" s="33"/>
      <c r="G93" s="33"/>
      <c r="H93" s="33"/>
      <c r="I93" s="33"/>
      <c r="J93" s="33"/>
      <c r="K93" s="33"/>
      <c r="L93" s="34"/>
      <c r="M93" s="34"/>
      <c r="N93" s="34"/>
      <c r="O93" s="34"/>
      <c r="P93" s="33"/>
      <c r="Q93" s="35"/>
      <c r="R93" s="33"/>
      <c r="S93" s="33"/>
      <c r="T93" s="33"/>
      <c r="U93" s="33"/>
      <c r="V93" s="33"/>
      <c r="W93" s="33"/>
    </row>
    <row r="94" customFormat="false" ht="15" hidden="false" customHeight="false" outlineLevel="0" collapsed="false">
      <c r="A94" s="33"/>
      <c r="B94" s="33"/>
      <c r="C94" s="33"/>
      <c r="D94" s="33"/>
      <c r="E94" s="33"/>
      <c r="F94" s="33"/>
      <c r="G94" s="33"/>
      <c r="H94" s="33"/>
      <c r="I94" s="33"/>
      <c r="J94" s="33"/>
      <c r="K94" s="33"/>
      <c r="L94" s="34"/>
      <c r="M94" s="34"/>
      <c r="N94" s="34"/>
      <c r="O94" s="34"/>
      <c r="P94" s="33"/>
      <c r="Q94" s="35"/>
      <c r="R94" s="33"/>
      <c r="S94" s="33"/>
      <c r="T94" s="33"/>
      <c r="U94" s="33"/>
      <c r="V94" s="33"/>
      <c r="W94" s="33"/>
    </row>
    <row r="95" customFormat="false" ht="15" hidden="false" customHeight="false" outlineLevel="0" collapsed="false">
      <c r="A95" s="33"/>
      <c r="B95" s="33"/>
      <c r="C95" s="33"/>
      <c r="D95" s="33"/>
      <c r="E95" s="33"/>
      <c r="F95" s="33"/>
      <c r="G95" s="33"/>
      <c r="H95" s="33"/>
      <c r="I95" s="33"/>
      <c r="J95" s="33"/>
      <c r="K95" s="33"/>
      <c r="L95" s="34"/>
      <c r="M95" s="34"/>
      <c r="N95" s="34"/>
      <c r="O95" s="34"/>
      <c r="P95" s="33"/>
      <c r="Q95" s="35"/>
      <c r="R95" s="33"/>
      <c r="S95" s="33"/>
      <c r="T95" s="33"/>
      <c r="U95" s="33"/>
      <c r="V95" s="33"/>
      <c r="W95" s="33"/>
    </row>
    <row r="96" customFormat="false" ht="15" hidden="false" customHeight="false" outlineLevel="0" collapsed="false">
      <c r="A96" s="33"/>
      <c r="B96" s="33"/>
      <c r="C96" s="33"/>
      <c r="D96" s="33"/>
      <c r="E96" s="33"/>
      <c r="F96" s="33"/>
      <c r="G96" s="33"/>
      <c r="H96" s="33"/>
      <c r="I96" s="33"/>
      <c r="J96" s="33"/>
      <c r="K96" s="33"/>
      <c r="L96" s="34"/>
      <c r="M96" s="34"/>
      <c r="N96" s="34"/>
      <c r="O96" s="34"/>
      <c r="P96" s="33"/>
      <c r="Q96" s="35"/>
      <c r="R96" s="33"/>
      <c r="S96" s="33"/>
      <c r="T96" s="33"/>
      <c r="U96" s="33"/>
      <c r="V96" s="33"/>
      <c r="W96" s="33"/>
    </row>
    <row r="97" customFormat="false" ht="15" hidden="false" customHeight="false" outlineLevel="0" collapsed="false">
      <c r="A97" s="33"/>
      <c r="B97" s="33"/>
      <c r="C97" s="33"/>
      <c r="D97" s="33"/>
      <c r="E97" s="33"/>
      <c r="F97" s="33"/>
      <c r="G97" s="33"/>
      <c r="H97" s="33"/>
      <c r="I97" s="33"/>
      <c r="J97" s="33"/>
      <c r="K97" s="33"/>
      <c r="L97" s="34"/>
      <c r="M97" s="34"/>
      <c r="N97" s="34"/>
      <c r="O97" s="34"/>
      <c r="P97" s="33"/>
      <c r="Q97" s="35"/>
      <c r="R97" s="33"/>
      <c r="S97" s="33"/>
      <c r="T97" s="33"/>
      <c r="U97" s="33"/>
      <c r="V97" s="33"/>
      <c r="W97" s="33"/>
    </row>
    <row r="98" customFormat="false" ht="15" hidden="false" customHeight="false" outlineLevel="0" collapsed="false">
      <c r="A98" s="33"/>
      <c r="B98" s="33"/>
      <c r="C98" s="33"/>
      <c r="D98" s="33"/>
      <c r="E98" s="33"/>
      <c r="F98" s="33"/>
      <c r="G98" s="33"/>
      <c r="H98" s="33"/>
      <c r="I98" s="33"/>
      <c r="J98" s="33"/>
      <c r="K98" s="33"/>
      <c r="L98" s="34"/>
      <c r="M98" s="34"/>
      <c r="N98" s="34"/>
      <c r="O98" s="34"/>
      <c r="P98" s="33"/>
      <c r="Q98" s="35"/>
      <c r="R98" s="33"/>
      <c r="S98" s="33"/>
      <c r="T98" s="33"/>
      <c r="U98" s="33"/>
      <c r="V98" s="33"/>
      <c r="W98" s="33"/>
    </row>
    <row r="99" customFormat="false" ht="15" hidden="false" customHeight="false" outlineLevel="0" collapsed="false">
      <c r="A99" s="33"/>
      <c r="B99" s="33"/>
      <c r="C99" s="33"/>
      <c r="D99" s="33"/>
      <c r="E99" s="33"/>
      <c r="F99" s="33"/>
      <c r="G99" s="33"/>
      <c r="H99" s="33"/>
      <c r="I99" s="33"/>
      <c r="J99" s="33"/>
      <c r="K99" s="33"/>
      <c r="L99" s="34"/>
      <c r="M99" s="34"/>
      <c r="N99" s="34"/>
      <c r="O99" s="34"/>
      <c r="P99" s="33"/>
      <c r="Q99" s="35"/>
      <c r="R99" s="33"/>
      <c r="S99" s="33"/>
      <c r="T99" s="33"/>
      <c r="U99" s="33"/>
      <c r="V99" s="33"/>
      <c r="W99" s="33"/>
    </row>
    <row r="100" customFormat="false" ht="15" hidden="false" customHeight="false" outlineLevel="0" collapsed="false">
      <c r="A100" s="33"/>
      <c r="B100" s="33"/>
      <c r="C100" s="33"/>
      <c r="D100" s="33"/>
      <c r="E100" s="33"/>
      <c r="F100" s="33"/>
      <c r="G100" s="33"/>
      <c r="H100" s="33"/>
      <c r="I100" s="33"/>
      <c r="J100" s="33"/>
      <c r="K100" s="33"/>
      <c r="L100" s="34"/>
      <c r="M100" s="34"/>
      <c r="N100" s="34"/>
      <c r="O100" s="34"/>
      <c r="P100" s="33"/>
      <c r="Q100" s="35"/>
      <c r="R100" s="33"/>
      <c r="S100" s="33"/>
      <c r="T100" s="33"/>
      <c r="U100" s="33"/>
      <c r="V100" s="33"/>
      <c r="W100" s="33"/>
    </row>
    <row r="101" customFormat="false" ht="15" hidden="false" customHeight="false" outlineLevel="0" collapsed="false">
      <c r="A101" s="33"/>
      <c r="B101" s="33"/>
      <c r="C101" s="33"/>
      <c r="D101" s="33"/>
      <c r="E101" s="33"/>
      <c r="F101" s="33"/>
      <c r="G101" s="33"/>
      <c r="H101" s="33"/>
      <c r="I101" s="33"/>
      <c r="J101" s="33"/>
      <c r="K101" s="33"/>
      <c r="L101" s="34"/>
      <c r="M101" s="34"/>
      <c r="N101" s="34"/>
      <c r="O101" s="34"/>
      <c r="P101" s="33"/>
      <c r="Q101" s="35"/>
      <c r="R101" s="33"/>
      <c r="S101" s="33"/>
      <c r="T101" s="33"/>
      <c r="U101" s="33"/>
      <c r="V101" s="33"/>
      <c r="W101" s="33"/>
    </row>
    <row r="102" customFormat="false" ht="15" hidden="false" customHeight="false" outlineLevel="0" collapsed="false">
      <c r="A102" s="33"/>
      <c r="B102" s="33"/>
      <c r="C102" s="33"/>
      <c r="D102" s="33"/>
      <c r="E102" s="33"/>
      <c r="F102" s="33"/>
      <c r="G102" s="33"/>
      <c r="H102" s="33"/>
      <c r="I102" s="33"/>
      <c r="J102" s="33"/>
      <c r="K102" s="33"/>
      <c r="L102" s="34"/>
      <c r="M102" s="34"/>
      <c r="N102" s="34"/>
      <c r="O102" s="34"/>
      <c r="P102" s="33"/>
      <c r="Q102" s="35"/>
      <c r="R102" s="33"/>
      <c r="S102" s="33"/>
      <c r="T102" s="33"/>
      <c r="U102" s="33"/>
      <c r="V102" s="33"/>
      <c r="W102" s="33"/>
    </row>
    <row r="103" customFormat="false" ht="15" hidden="false" customHeight="false" outlineLevel="0" collapsed="false">
      <c r="A103" s="33"/>
      <c r="B103" s="33"/>
      <c r="C103" s="33"/>
      <c r="D103" s="33"/>
      <c r="E103" s="33"/>
      <c r="F103" s="33"/>
      <c r="G103" s="33"/>
      <c r="H103" s="33"/>
      <c r="I103" s="33"/>
      <c r="J103" s="33"/>
      <c r="K103" s="33"/>
      <c r="L103" s="34"/>
      <c r="M103" s="34"/>
      <c r="N103" s="34"/>
      <c r="O103" s="34"/>
      <c r="P103" s="33"/>
      <c r="Q103" s="35"/>
      <c r="R103" s="33"/>
      <c r="S103" s="33"/>
      <c r="T103" s="33"/>
      <c r="U103" s="33"/>
      <c r="V103" s="33"/>
      <c r="W103" s="33"/>
    </row>
    <row r="104" customFormat="false" ht="15" hidden="false" customHeight="false" outlineLevel="0" collapsed="false">
      <c r="A104" s="33"/>
      <c r="B104" s="33"/>
      <c r="C104" s="33"/>
      <c r="D104" s="33"/>
      <c r="E104" s="33"/>
      <c r="F104" s="33"/>
      <c r="G104" s="33"/>
      <c r="H104" s="33"/>
      <c r="I104" s="33"/>
      <c r="J104" s="33"/>
      <c r="K104" s="33"/>
      <c r="L104" s="34"/>
      <c r="M104" s="34"/>
      <c r="N104" s="34"/>
      <c r="O104" s="34"/>
      <c r="P104" s="33"/>
      <c r="Q104" s="35"/>
      <c r="R104" s="33"/>
      <c r="S104" s="33"/>
      <c r="T104" s="33"/>
      <c r="U104" s="33"/>
      <c r="V104" s="33"/>
      <c r="W104" s="33"/>
    </row>
    <row r="105" customFormat="false" ht="15" hidden="false" customHeight="false" outlineLevel="0" collapsed="false">
      <c r="A105" s="33"/>
      <c r="B105" s="33"/>
      <c r="C105" s="33"/>
      <c r="D105" s="33"/>
      <c r="E105" s="33"/>
      <c r="F105" s="33"/>
      <c r="G105" s="33"/>
      <c r="H105" s="33"/>
      <c r="I105" s="33"/>
      <c r="J105" s="33"/>
      <c r="K105" s="33"/>
      <c r="L105" s="34"/>
      <c r="M105" s="34"/>
      <c r="N105" s="34"/>
      <c r="O105" s="34"/>
      <c r="P105" s="33"/>
      <c r="Q105" s="35"/>
      <c r="R105" s="33"/>
      <c r="S105" s="33"/>
      <c r="T105" s="33"/>
      <c r="U105" s="33"/>
      <c r="V105" s="33"/>
      <c r="W105" s="33"/>
    </row>
    <row r="106" customFormat="false" ht="15" hidden="false" customHeight="false" outlineLevel="0" collapsed="false">
      <c r="A106" s="33"/>
      <c r="B106" s="33"/>
      <c r="C106" s="33"/>
      <c r="D106" s="33"/>
      <c r="E106" s="33"/>
      <c r="F106" s="33"/>
      <c r="G106" s="33"/>
      <c r="H106" s="33"/>
      <c r="I106" s="33"/>
      <c r="J106" s="33"/>
      <c r="K106" s="33"/>
      <c r="L106" s="34"/>
      <c r="M106" s="34"/>
      <c r="N106" s="34"/>
      <c r="O106" s="34"/>
      <c r="P106" s="33"/>
      <c r="Q106" s="35"/>
      <c r="R106" s="33"/>
      <c r="S106" s="33"/>
      <c r="T106" s="33"/>
      <c r="U106" s="33"/>
      <c r="V106" s="33"/>
      <c r="W106" s="33"/>
    </row>
    <row r="107" customFormat="false" ht="15" hidden="false" customHeight="false" outlineLevel="0" collapsed="false">
      <c r="A107" s="33"/>
      <c r="B107" s="33"/>
      <c r="C107" s="33"/>
      <c r="D107" s="33"/>
      <c r="E107" s="33"/>
      <c r="F107" s="33"/>
      <c r="G107" s="33"/>
      <c r="H107" s="33"/>
      <c r="I107" s="33"/>
      <c r="J107" s="33"/>
      <c r="K107" s="33"/>
      <c r="L107" s="34"/>
      <c r="M107" s="34"/>
      <c r="N107" s="34"/>
      <c r="O107" s="34"/>
      <c r="P107" s="33"/>
      <c r="Q107" s="35"/>
      <c r="R107" s="33"/>
      <c r="S107" s="33"/>
      <c r="T107" s="33"/>
      <c r="U107" s="33"/>
      <c r="V107" s="33"/>
      <c r="W107" s="33"/>
    </row>
    <row r="108" customFormat="false" ht="15" hidden="false" customHeight="false" outlineLevel="0" collapsed="false">
      <c r="A108" s="33"/>
      <c r="B108" s="33"/>
      <c r="C108" s="33"/>
      <c r="D108" s="33"/>
      <c r="E108" s="33"/>
      <c r="F108" s="33"/>
      <c r="G108" s="33"/>
      <c r="H108" s="33"/>
      <c r="I108" s="33"/>
      <c r="J108" s="33"/>
      <c r="K108" s="33"/>
      <c r="L108" s="34"/>
      <c r="M108" s="34"/>
      <c r="N108" s="34"/>
      <c r="O108" s="34"/>
      <c r="P108" s="33"/>
      <c r="Q108" s="35"/>
      <c r="R108" s="33"/>
      <c r="S108" s="33"/>
      <c r="T108" s="33"/>
      <c r="U108" s="33"/>
      <c r="V108" s="33"/>
      <c r="W108" s="33"/>
    </row>
    <row r="109" customFormat="false" ht="15" hidden="false" customHeight="false" outlineLevel="0" collapsed="false">
      <c r="A109" s="33"/>
      <c r="B109" s="33"/>
      <c r="C109" s="33"/>
      <c r="D109" s="33"/>
      <c r="E109" s="33"/>
      <c r="F109" s="33"/>
      <c r="G109" s="33"/>
      <c r="H109" s="33"/>
      <c r="I109" s="33"/>
      <c r="J109" s="33"/>
      <c r="K109" s="33"/>
      <c r="L109" s="34"/>
      <c r="M109" s="34"/>
      <c r="N109" s="34"/>
      <c r="O109" s="34"/>
      <c r="P109" s="33"/>
      <c r="Q109" s="35"/>
      <c r="R109" s="33"/>
      <c r="S109" s="33"/>
      <c r="T109" s="33"/>
      <c r="U109" s="33"/>
      <c r="V109" s="33"/>
      <c r="W109" s="33"/>
    </row>
    <row r="110" customFormat="false" ht="15" hidden="false" customHeight="false" outlineLevel="0" collapsed="false">
      <c r="A110" s="33"/>
      <c r="B110" s="33"/>
      <c r="C110" s="33"/>
      <c r="D110" s="33"/>
      <c r="E110" s="33"/>
      <c r="F110" s="33"/>
      <c r="G110" s="33"/>
      <c r="H110" s="33"/>
      <c r="I110" s="33"/>
      <c r="J110" s="33"/>
      <c r="K110" s="33"/>
      <c r="L110" s="34"/>
      <c r="M110" s="34"/>
      <c r="N110" s="34"/>
      <c r="O110" s="34"/>
      <c r="P110" s="33"/>
      <c r="Q110" s="35"/>
      <c r="R110" s="33"/>
      <c r="S110" s="33"/>
      <c r="T110" s="33"/>
      <c r="U110" s="33"/>
      <c r="V110" s="33"/>
      <c r="W110" s="33"/>
    </row>
    <row r="111" customFormat="false" ht="15" hidden="false" customHeight="false" outlineLevel="0" collapsed="false">
      <c r="A111" s="33"/>
      <c r="B111" s="33"/>
      <c r="C111" s="33"/>
      <c r="D111" s="33"/>
      <c r="E111" s="33"/>
      <c r="F111" s="33"/>
      <c r="G111" s="33"/>
      <c r="H111" s="33"/>
      <c r="I111" s="33"/>
      <c r="J111" s="33"/>
      <c r="K111" s="33"/>
      <c r="L111" s="34"/>
      <c r="M111" s="34"/>
      <c r="N111" s="34"/>
      <c r="O111" s="34"/>
      <c r="P111" s="33"/>
      <c r="Q111" s="35"/>
      <c r="R111" s="33"/>
      <c r="S111" s="33"/>
      <c r="T111" s="33"/>
      <c r="U111" s="33"/>
      <c r="V111" s="33"/>
      <c r="W111" s="33"/>
    </row>
    <row r="112" customFormat="false" ht="15" hidden="false" customHeight="false" outlineLevel="0" collapsed="false">
      <c r="A112" s="33"/>
      <c r="B112" s="33"/>
      <c r="C112" s="33"/>
      <c r="D112" s="33"/>
      <c r="E112" s="33"/>
      <c r="F112" s="33"/>
      <c r="G112" s="33"/>
      <c r="H112" s="33"/>
      <c r="I112" s="33"/>
      <c r="J112" s="33"/>
      <c r="K112" s="33"/>
      <c r="L112" s="34"/>
      <c r="M112" s="34"/>
      <c r="N112" s="34"/>
      <c r="O112" s="34"/>
      <c r="P112" s="33"/>
      <c r="Q112" s="35"/>
      <c r="R112" s="33"/>
      <c r="S112" s="33"/>
      <c r="T112" s="33"/>
      <c r="U112" s="33"/>
      <c r="V112" s="33"/>
      <c r="W112" s="33"/>
    </row>
    <row r="113" customFormat="false" ht="15" hidden="false" customHeight="false" outlineLevel="0" collapsed="false">
      <c r="A113" s="33"/>
      <c r="B113" s="33"/>
      <c r="C113" s="33"/>
      <c r="D113" s="33"/>
      <c r="E113" s="33"/>
      <c r="F113" s="33"/>
      <c r="G113" s="33"/>
      <c r="H113" s="33"/>
      <c r="I113" s="33"/>
      <c r="J113" s="33"/>
      <c r="K113" s="33"/>
      <c r="L113" s="34"/>
      <c r="M113" s="34"/>
      <c r="N113" s="34"/>
      <c r="O113" s="34"/>
      <c r="P113" s="33"/>
      <c r="Q113" s="35"/>
      <c r="R113" s="33"/>
      <c r="S113" s="33"/>
      <c r="T113" s="33"/>
      <c r="U113" s="33"/>
      <c r="V113" s="33"/>
      <c r="W113" s="33"/>
    </row>
    <row r="114" customFormat="false" ht="15" hidden="false" customHeight="false" outlineLevel="0" collapsed="false">
      <c r="A114" s="33"/>
      <c r="B114" s="33"/>
      <c r="C114" s="33"/>
      <c r="D114" s="33"/>
      <c r="E114" s="33"/>
      <c r="F114" s="33"/>
      <c r="G114" s="33"/>
      <c r="H114" s="33"/>
      <c r="I114" s="33"/>
      <c r="J114" s="33"/>
      <c r="K114" s="33"/>
      <c r="L114" s="34"/>
      <c r="M114" s="34"/>
      <c r="N114" s="34"/>
      <c r="O114" s="34"/>
      <c r="P114" s="33"/>
      <c r="Q114" s="35"/>
      <c r="R114" s="33"/>
      <c r="S114" s="33"/>
      <c r="T114" s="33"/>
      <c r="U114" s="33"/>
      <c r="V114" s="33"/>
      <c r="W114" s="33"/>
    </row>
    <row r="115" customFormat="false" ht="15" hidden="false" customHeight="false" outlineLevel="0" collapsed="false">
      <c r="A115" s="33"/>
      <c r="B115" s="33"/>
      <c r="C115" s="33"/>
      <c r="D115" s="33"/>
      <c r="E115" s="33"/>
      <c r="F115" s="33"/>
      <c r="G115" s="33"/>
      <c r="H115" s="33"/>
      <c r="I115" s="33"/>
      <c r="J115" s="33"/>
      <c r="K115" s="33"/>
      <c r="L115" s="34"/>
      <c r="M115" s="34"/>
      <c r="N115" s="34"/>
      <c r="O115" s="34"/>
      <c r="P115" s="33"/>
      <c r="Q115" s="35"/>
      <c r="R115" s="33"/>
      <c r="S115" s="33"/>
      <c r="T115" s="33"/>
      <c r="U115" s="33"/>
      <c r="V115" s="33"/>
      <c r="W115" s="33"/>
    </row>
    <row r="116" customFormat="false" ht="15" hidden="false" customHeight="false" outlineLevel="0" collapsed="false">
      <c r="A116" s="33"/>
      <c r="B116" s="33"/>
      <c r="C116" s="33"/>
      <c r="D116" s="33"/>
      <c r="E116" s="33"/>
      <c r="F116" s="33"/>
      <c r="G116" s="33"/>
      <c r="H116" s="33"/>
      <c r="I116" s="33"/>
      <c r="J116" s="33"/>
      <c r="K116" s="33"/>
      <c r="L116" s="34"/>
      <c r="M116" s="34"/>
      <c r="N116" s="34"/>
      <c r="O116" s="34"/>
      <c r="P116" s="33"/>
      <c r="Q116" s="35"/>
      <c r="R116" s="33"/>
      <c r="S116" s="33"/>
      <c r="T116" s="33"/>
      <c r="U116" s="33"/>
      <c r="V116" s="33"/>
      <c r="W116" s="33"/>
    </row>
    <row r="117" customFormat="false" ht="15" hidden="false" customHeight="false" outlineLevel="0" collapsed="false">
      <c r="A117" s="33"/>
      <c r="B117" s="33"/>
      <c r="C117" s="33"/>
      <c r="D117" s="33"/>
      <c r="E117" s="33"/>
      <c r="F117" s="33"/>
      <c r="G117" s="33"/>
      <c r="H117" s="33"/>
      <c r="I117" s="33"/>
      <c r="J117" s="33"/>
      <c r="K117" s="33"/>
      <c r="L117" s="34"/>
      <c r="M117" s="34"/>
      <c r="N117" s="34"/>
      <c r="O117" s="34"/>
      <c r="P117" s="33"/>
      <c r="Q117" s="35"/>
      <c r="R117" s="33"/>
      <c r="S117" s="33"/>
      <c r="T117" s="33"/>
      <c r="U117" s="33"/>
      <c r="V117" s="33"/>
      <c r="W117" s="33"/>
    </row>
    <row r="118" customFormat="false" ht="15" hidden="false" customHeight="false" outlineLevel="0" collapsed="false">
      <c r="A118" s="33"/>
      <c r="B118" s="33"/>
      <c r="C118" s="33"/>
      <c r="D118" s="33"/>
      <c r="E118" s="33"/>
      <c r="F118" s="33"/>
      <c r="G118" s="33"/>
      <c r="H118" s="33"/>
      <c r="I118" s="33"/>
      <c r="J118" s="33"/>
      <c r="K118" s="33"/>
      <c r="L118" s="34"/>
      <c r="M118" s="34"/>
      <c r="N118" s="34"/>
      <c r="O118" s="34"/>
      <c r="P118" s="33"/>
      <c r="Q118" s="35"/>
      <c r="R118" s="33"/>
      <c r="S118" s="33"/>
      <c r="T118" s="33"/>
      <c r="U118" s="33"/>
      <c r="V118" s="33"/>
      <c r="W118" s="33"/>
    </row>
    <row r="119" customFormat="false" ht="15" hidden="false" customHeight="false" outlineLevel="0" collapsed="false">
      <c r="A119" s="33"/>
      <c r="B119" s="33"/>
      <c r="C119" s="33"/>
      <c r="D119" s="33"/>
      <c r="E119" s="33"/>
      <c r="F119" s="33"/>
      <c r="G119" s="33"/>
      <c r="H119" s="33"/>
      <c r="I119" s="33"/>
      <c r="J119" s="33"/>
      <c r="K119" s="33"/>
      <c r="L119" s="34"/>
      <c r="M119" s="34"/>
      <c r="N119" s="34"/>
      <c r="O119" s="34"/>
      <c r="P119" s="33"/>
      <c r="Q119" s="35"/>
      <c r="R119" s="33"/>
      <c r="S119" s="33"/>
      <c r="T119" s="33"/>
      <c r="U119" s="33"/>
      <c r="V119" s="33"/>
      <c r="W119" s="33"/>
    </row>
    <row r="120" customFormat="false" ht="15" hidden="false" customHeight="false" outlineLevel="0" collapsed="false">
      <c r="A120" s="33"/>
      <c r="B120" s="33"/>
      <c r="C120" s="33"/>
      <c r="D120" s="33"/>
      <c r="E120" s="33"/>
      <c r="F120" s="33"/>
      <c r="G120" s="33"/>
      <c r="H120" s="33"/>
      <c r="I120" s="33"/>
      <c r="J120" s="33"/>
      <c r="K120" s="33"/>
      <c r="L120" s="34"/>
      <c r="M120" s="34"/>
      <c r="N120" s="34"/>
      <c r="O120" s="34"/>
      <c r="P120" s="33"/>
      <c r="Q120" s="35"/>
      <c r="R120" s="33"/>
      <c r="S120" s="33"/>
      <c r="T120" s="33"/>
      <c r="U120" s="33"/>
      <c r="V120" s="33"/>
      <c r="W120" s="33"/>
    </row>
    <row r="121" customFormat="false" ht="15" hidden="false" customHeight="false" outlineLevel="0" collapsed="false">
      <c r="A121" s="33"/>
      <c r="B121" s="33"/>
      <c r="C121" s="33"/>
      <c r="D121" s="33"/>
      <c r="E121" s="33"/>
      <c r="F121" s="33"/>
      <c r="G121" s="33"/>
      <c r="H121" s="33"/>
      <c r="I121" s="33"/>
      <c r="J121" s="33"/>
      <c r="K121" s="33"/>
      <c r="L121" s="34"/>
      <c r="M121" s="34"/>
      <c r="N121" s="34"/>
      <c r="O121" s="34"/>
      <c r="P121" s="33"/>
      <c r="Q121" s="35"/>
      <c r="R121" s="33"/>
      <c r="S121" s="33"/>
      <c r="T121" s="33"/>
      <c r="U121" s="33"/>
      <c r="V121" s="33"/>
      <c r="W121" s="33"/>
    </row>
    <row r="122" customFormat="false" ht="15" hidden="false" customHeight="false" outlineLevel="0" collapsed="false">
      <c r="A122" s="33"/>
      <c r="B122" s="33"/>
      <c r="C122" s="33"/>
      <c r="D122" s="33"/>
      <c r="E122" s="33"/>
      <c r="F122" s="33"/>
      <c r="G122" s="33"/>
      <c r="H122" s="33"/>
      <c r="I122" s="33"/>
      <c r="J122" s="33"/>
      <c r="K122" s="33"/>
      <c r="L122" s="34"/>
      <c r="M122" s="34"/>
      <c r="N122" s="34"/>
      <c r="O122" s="34"/>
      <c r="P122" s="33"/>
      <c r="Q122" s="35"/>
      <c r="R122" s="33"/>
      <c r="S122" s="33"/>
      <c r="T122" s="33"/>
      <c r="U122" s="33"/>
      <c r="V122" s="33"/>
      <c r="W122" s="33"/>
    </row>
    <row r="123" customFormat="false" ht="15" hidden="false" customHeight="false" outlineLevel="0" collapsed="false">
      <c r="A123" s="33"/>
      <c r="B123" s="33"/>
      <c r="C123" s="33"/>
      <c r="D123" s="33"/>
      <c r="E123" s="33"/>
      <c r="F123" s="33"/>
      <c r="G123" s="33"/>
      <c r="H123" s="33"/>
      <c r="I123" s="33"/>
      <c r="J123" s="33"/>
      <c r="K123" s="33"/>
      <c r="L123" s="34"/>
      <c r="M123" s="34"/>
      <c r="N123" s="34"/>
      <c r="O123" s="34"/>
      <c r="P123" s="33"/>
      <c r="Q123" s="35"/>
      <c r="R123" s="33"/>
      <c r="S123" s="33"/>
      <c r="T123" s="33"/>
      <c r="U123" s="33"/>
      <c r="V123" s="33"/>
      <c r="W123" s="33"/>
    </row>
    <row r="124" customFormat="false" ht="15" hidden="false" customHeight="false" outlineLevel="0" collapsed="false">
      <c r="A124" s="33"/>
      <c r="B124" s="33"/>
      <c r="C124" s="33"/>
      <c r="D124" s="33"/>
      <c r="E124" s="33"/>
      <c r="F124" s="33"/>
      <c r="G124" s="33"/>
      <c r="H124" s="33"/>
      <c r="I124" s="33"/>
      <c r="J124" s="33"/>
      <c r="K124" s="33"/>
      <c r="L124" s="34"/>
      <c r="M124" s="34"/>
      <c r="N124" s="34"/>
      <c r="O124" s="34"/>
      <c r="P124" s="33"/>
      <c r="Q124" s="35"/>
      <c r="R124" s="33"/>
      <c r="S124" s="33"/>
      <c r="T124" s="33"/>
      <c r="U124" s="33"/>
      <c r="V124" s="33"/>
      <c r="W124" s="33"/>
    </row>
    <row r="125" customFormat="false" ht="15" hidden="false" customHeight="false" outlineLevel="0" collapsed="false">
      <c r="A125" s="33"/>
      <c r="B125" s="33"/>
      <c r="C125" s="33"/>
      <c r="D125" s="33"/>
      <c r="E125" s="33"/>
      <c r="F125" s="33"/>
      <c r="G125" s="33"/>
      <c r="H125" s="33"/>
      <c r="I125" s="33"/>
      <c r="J125" s="33"/>
      <c r="K125" s="33"/>
      <c r="L125" s="34"/>
      <c r="M125" s="34"/>
      <c r="N125" s="34"/>
      <c r="O125" s="34"/>
      <c r="P125" s="33"/>
      <c r="Q125" s="35"/>
      <c r="R125" s="33"/>
      <c r="S125" s="33"/>
      <c r="T125" s="33"/>
      <c r="U125" s="33"/>
      <c r="V125" s="33"/>
      <c r="W125" s="33"/>
    </row>
    <row r="126" customFormat="false" ht="15" hidden="false" customHeight="false" outlineLevel="0" collapsed="false">
      <c r="A126" s="33"/>
      <c r="B126" s="33"/>
      <c r="C126" s="33"/>
      <c r="D126" s="33"/>
      <c r="E126" s="33"/>
      <c r="F126" s="33"/>
      <c r="G126" s="33"/>
      <c r="H126" s="33"/>
      <c r="I126" s="33"/>
      <c r="J126" s="33"/>
      <c r="K126" s="33"/>
      <c r="L126" s="34"/>
      <c r="M126" s="34"/>
      <c r="N126" s="34"/>
      <c r="O126" s="34"/>
      <c r="P126" s="33"/>
      <c r="Q126" s="35"/>
      <c r="R126" s="33"/>
      <c r="S126" s="33"/>
      <c r="T126" s="33"/>
      <c r="U126" s="33"/>
      <c r="V126" s="33"/>
      <c r="W126" s="33"/>
    </row>
    <row r="127" customFormat="false" ht="15" hidden="false" customHeight="false" outlineLevel="0" collapsed="false">
      <c r="A127" s="33"/>
      <c r="B127" s="33"/>
      <c r="C127" s="33"/>
      <c r="D127" s="33"/>
      <c r="E127" s="33"/>
      <c r="F127" s="33"/>
      <c r="G127" s="33"/>
      <c r="H127" s="33"/>
      <c r="I127" s="33"/>
      <c r="J127" s="33"/>
      <c r="K127" s="33"/>
      <c r="L127" s="34"/>
      <c r="M127" s="34"/>
      <c r="N127" s="34"/>
      <c r="O127" s="34"/>
      <c r="P127" s="33"/>
      <c r="Q127" s="35"/>
      <c r="R127" s="33"/>
      <c r="S127" s="33"/>
      <c r="T127" s="33"/>
      <c r="U127" s="33"/>
      <c r="V127" s="33"/>
      <c r="W127" s="33"/>
    </row>
    <row r="128" customFormat="false" ht="15" hidden="false" customHeight="false" outlineLevel="0" collapsed="false">
      <c r="A128" s="33"/>
      <c r="B128" s="33"/>
      <c r="C128" s="33"/>
      <c r="D128" s="33"/>
      <c r="E128" s="33"/>
      <c r="F128" s="33"/>
      <c r="G128" s="33"/>
      <c r="H128" s="33"/>
      <c r="I128" s="33"/>
      <c r="J128" s="33"/>
      <c r="K128" s="33"/>
      <c r="L128" s="34"/>
      <c r="M128" s="34"/>
      <c r="N128" s="34"/>
      <c r="O128" s="34"/>
      <c r="P128" s="33"/>
      <c r="Q128" s="35"/>
      <c r="R128" s="33"/>
      <c r="S128" s="33"/>
      <c r="T128" s="33"/>
      <c r="U128" s="33"/>
      <c r="V128" s="33"/>
      <c r="W128" s="33"/>
    </row>
    <row r="129" customFormat="false" ht="15" hidden="false" customHeight="false" outlineLevel="0" collapsed="false">
      <c r="A129" s="33"/>
      <c r="B129" s="33"/>
      <c r="C129" s="33"/>
      <c r="D129" s="33"/>
      <c r="E129" s="33"/>
      <c r="F129" s="33"/>
      <c r="G129" s="33"/>
      <c r="H129" s="33"/>
      <c r="I129" s="33"/>
      <c r="J129" s="33"/>
      <c r="K129" s="33"/>
      <c r="L129" s="34"/>
      <c r="M129" s="34"/>
      <c r="N129" s="34"/>
      <c r="O129" s="34"/>
      <c r="P129" s="33"/>
      <c r="Q129" s="35"/>
      <c r="R129" s="33"/>
      <c r="S129" s="33"/>
      <c r="T129" s="33"/>
      <c r="U129" s="33"/>
      <c r="V129" s="33"/>
      <c r="W129" s="33"/>
    </row>
    <row r="130" customFormat="false" ht="15" hidden="false" customHeight="false" outlineLevel="0" collapsed="false">
      <c r="A130" s="33"/>
      <c r="B130" s="33"/>
      <c r="C130" s="33"/>
      <c r="D130" s="33"/>
      <c r="E130" s="33"/>
      <c r="F130" s="33"/>
      <c r="G130" s="33"/>
      <c r="H130" s="33"/>
      <c r="I130" s="33"/>
      <c r="J130" s="33"/>
      <c r="K130" s="33"/>
      <c r="L130" s="34"/>
      <c r="M130" s="34"/>
      <c r="N130" s="34"/>
      <c r="O130" s="34"/>
      <c r="P130" s="33"/>
      <c r="Q130" s="35"/>
      <c r="R130" s="33"/>
      <c r="S130" s="33"/>
      <c r="T130" s="33"/>
      <c r="U130" s="33"/>
      <c r="V130" s="33"/>
      <c r="W130" s="33"/>
    </row>
    <row r="131" customFormat="false" ht="15" hidden="false" customHeight="false" outlineLevel="0" collapsed="false">
      <c r="A131" s="33"/>
      <c r="B131" s="33"/>
      <c r="C131" s="33"/>
      <c r="D131" s="33"/>
      <c r="E131" s="33"/>
      <c r="F131" s="33"/>
      <c r="G131" s="33"/>
      <c r="H131" s="33"/>
      <c r="I131" s="33"/>
      <c r="J131" s="33"/>
      <c r="K131" s="33"/>
      <c r="L131" s="34"/>
      <c r="M131" s="34"/>
      <c r="N131" s="34"/>
      <c r="O131" s="34"/>
      <c r="P131" s="33"/>
      <c r="Q131" s="35"/>
      <c r="R131" s="33"/>
      <c r="S131" s="33"/>
      <c r="T131" s="33"/>
      <c r="U131" s="33"/>
      <c r="V131" s="33"/>
      <c r="W131" s="33"/>
    </row>
    <row r="132" customFormat="false" ht="15" hidden="false" customHeight="false" outlineLevel="0" collapsed="false">
      <c r="A132" s="33"/>
      <c r="B132" s="33"/>
      <c r="C132" s="33"/>
      <c r="D132" s="33"/>
      <c r="E132" s="33"/>
      <c r="F132" s="33"/>
      <c r="G132" s="33"/>
      <c r="H132" s="33"/>
      <c r="I132" s="33"/>
      <c r="J132" s="33"/>
      <c r="K132" s="33"/>
      <c r="L132" s="34"/>
      <c r="M132" s="34"/>
      <c r="N132" s="34"/>
      <c r="O132" s="34"/>
      <c r="P132" s="33"/>
      <c r="Q132" s="35"/>
      <c r="R132" s="33"/>
      <c r="S132" s="33"/>
      <c r="T132" s="33"/>
      <c r="U132" s="33"/>
      <c r="V132" s="33"/>
      <c r="W132" s="33"/>
    </row>
    <row r="133" customFormat="false" ht="15" hidden="false" customHeight="false" outlineLevel="0" collapsed="false">
      <c r="A133" s="33"/>
      <c r="B133" s="33"/>
      <c r="C133" s="33"/>
      <c r="D133" s="33"/>
      <c r="E133" s="33"/>
      <c r="F133" s="33"/>
      <c r="G133" s="33"/>
      <c r="H133" s="33"/>
      <c r="I133" s="33"/>
      <c r="J133" s="33"/>
      <c r="K133" s="33"/>
      <c r="L133" s="34"/>
      <c r="M133" s="34"/>
      <c r="N133" s="34"/>
      <c r="O133" s="34"/>
      <c r="P133" s="33"/>
      <c r="Q133" s="35"/>
      <c r="R133" s="33"/>
      <c r="S133" s="33"/>
      <c r="T133" s="33"/>
      <c r="U133" s="33"/>
      <c r="V133" s="33"/>
      <c r="W133" s="33"/>
    </row>
    <row r="134" customFormat="false" ht="15" hidden="false" customHeight="false" outlineLevel="0" collapsed="false">
      <c r="A134" s="33"/>
      <c r="B134" s="33"/>
      <c r="C134" s="33"/>
      <c r="D134" s="33"/>
      <c r="E134" s="33"/>
      <c r="F134" s="33"/>
      <c r="G134" s="33"/>
      <c r="H134" s="33"/>
      <c r="I134" s="33"/>
      <c r="J134" s="33"/>
      <c r="K134" s="33"/>
      <c r="L134" s="34"/>
      <c r="M134" s="34"/>
      <c r="N134" s="34"/>
      <c r="O134" s="34"/>
      <c r="P134" s="33"/>
      <c r="Q134" s="35"/>
      <c r="R134" s="33"/>
      <c r="S134" s="33"/>
      <c r="T134" s="33"/>
      <c r="U134" s="33"/>
      <c r="V134" s="33"/>
      <c r="W134" s="33"/>
    </row>
    <row r="135" customFormat="false" ht="15" hidden="false" customHeight="false" outlineLevel="0" collapsed="false">
      <c r="A135" s="33"/>
      <c r="B135" s="33"/>
      <c r="C135" s="33"/>
      <c r="D135" s="33"/>
      <c r="E135" s="33"/>
      <c r="F135" s="33"/>
      <c r="G135" s="33"/>
      <c r="H135" s="33"/>
      <c r="I135" s="33"/>
      <c r="J135" s="33"/>
      <c r="K135" s="33"/>
      <c r="L135" s="34"/>
      <c r="M135" s="34"/>
      <c r="N135" s="34"/>
      <c r="O135" s="34"/>
      <c r="P135" s="33"/>
      <c r="Q135" s="35"/>
      <c r="R135" s="33"/>
      <c r="S135" s="33"/>
      <c r="T135" s="33"/>
      <c r="U135" s="33"/>
      <c r="V135" s="33"/>
      <c r="W135" s="33"/>
    </row>
    <row r="136" customFormat="false" ht="15" hidden="false" customHeight="false" outlineLevel="0" collapsed="false">
      <c r="A136" s="33"/>
      <c r="B136" s="33"/>
      <c r="C136" s="33"/>
      <c r="D136" s="33"/>
      <c r="E136" s="33"/>
      <c r="F136" s="33"/>
      <c r="G136" s="33"/>
      <c r="H136" s="33"/>
      <c r="I136" s="33"/>
      <c r="J136" s="33"/>
      <c r="K136" s="33"/>
      <c r="L136" s="34"/>
      <c r="M136" s="34"/>
      <c r="N136" s="34"/>
      <c r="O136" s="34"/>
      <c r="P136" s="33"/>
      <c r="Q136" s="35"/>
      <c r="R136" s="33"/>
      <c r="S136" s="33"/>
      <c r="T136" s="33"/>
      <c r="U136" s="33"/>
      <c r="V136" s="33"/>
      <c r="W136" s="33"/>
    </row>
    <row r="137" customFormat="false" ht="15" hidden="false" customHeight="false" outlineLevel="0" collapsed="false">
      <c r="A137" s="33"/>
      <c r="B137" s="33"/>
      <c r="C137" s="33"/>
      <c r="D137" s="33"/>
      <c r="E137" s="33"/>
      <c r="F137" s="33"/>
      <c r="G137" s="33"/>
      <c r="H137" s="33"/>
      <c r="I137" s="33"/>
      <c r="J137" s="33"/>
      <c r="K137" s="33"/>
      <c r="L137" s="34"/>
      <c r="M137" s="34"/>
      <c r="N137" s="34"/>
      <c r="O137" s="34"/>
      <c r="P137" s="33"/>
      <c r="Q137" s="35"/>
      <c r="R137" s="33"/>
      <c r="S137" s="33"/>
      <c r="T137" s="33"/>
      <c r="U137" s="33"/>
      <c r="V137" s="33"/>
      <c r="W137" s="33"/>
    </row>
    <row r="138" customFormat="false" ht="15" hidden="false" customHeight="false" outlineLevel="0" collapsed="false">
      <c r="A138" s="33"/>
      <c r="B138" s="33"/>
      <c r="C138" s="33"/>
      <c r="D138" s="33"/>
      <c r="E138" s="33"/>
      <c r="F138" s="33"/>
      <c r="G138" s="33"/>
      <c r="H138" s="33"/>
      <c r="I138" s="33"/>
      <c r="J138" s="33"/>
      <c r="K138" s="33"/>
      <c r="L138" s="34"/>
      <c r="M138" s="34"/>
      <c r="N138" s="34"/>
      <c r="O138" s="34"/>
      <c r="P138" s="33"/>
      <c r="Q138" s="35"/>
      <c r="R138" s="33"/>
      <c r="S138" s="33"/>
      <c r="T138" s="33"/>
      <c r="U138" s="33"/>
      <c r="V138" s="33"/>
      <c r="W138" s="33"/>
    </row>
    <row r="139" customFormat="false" ht="15" hidden="false" customHeight="false" outlineLevel="0" collapsed="false">
      <c r="A139" s="33"/>
      <c r="B139" s="33"/>
      <c r="C139" s="33"/>
      <c r="D139" s="33"/>
      <c r="E139" s="33"/>
      <c r="F139" s="33"/>
      <c r="G139" s="33"/>
      <c r="H139" s="33"/>
      <c r="I139" s="33"/>
      <c r="J139" s="33"/>
      <c r="K139" s="33"/>
      <c r="L139" s="34"/>
      <c r="M139" s="34"/>
      <c r="N139" s="34"/>
      <c r="O139" s="34"/>
      <c r="P139" s="33"/>
      <c r="Q139" s="35"/>
      <c r="R139" s="33"/>
      <c r="S139" s="33"/>
      <c r="T139" s="33"/>
      <c r="U139" s="33"/>
      <c r="V139" s="33"/>
      <c r="W139" s="33"/>
    </row>
    <row r="140" customFormat="false" ht="15" hidden="false" customHeight="false" outlineLevel="0" collapsed="false">
      <c r="A140" s="33"/>
      <c r="B140" s="33"/>
      <c r="C140" s="33"/>
      <c r="D140" s="33"/>
      <c r="E140" s="33"/>
      <c r="F140" s="33"/>
      <c r="G140" s="33"/>
      <c r="H140" s="33"/>
      <c r="I140" s="33"/>
      <c r="J140" s="33"/>
      <c r="K140" s="33"/>
      <c r="L140" s="34"/>
      <c r="M140" s="34"/>
      <c r="N140" s="34"/>
      <c r="O140" s="34"/>
      <c r="P140" s="33"/>
      <c r="Q140" s="35"/>
      <c r="R140" s="33"/>
      <c r="S140" s="33"/>
      <c r="T140" s="33"/>
      <c r="U140" s="33"/>
      <c r="V140" s="33"/>
      <c r="W140" s="33"/>
    </row>
    <row r="141" customFormat="false" ht="15" hidden="false" customHeight="false" outlineLevel="0" collapsed="false">
      <c r="A141" s="33"/>
      <c r="B141" s="33"/>
      <c r="C141" s="33"/>
      <c r="D141" s="33"/>
      <c r="E141" s="33"/>
      <c r="F141" s="33"/>
      <c r="G141" s="33"/>
      <c r="H141" s="33"/>
      <c r="I141" s="33"/>
      <c r="J141" s="33"/>
      <c r="K141" s="33"/>
      <c r="L141" s="34"/>
      <c r="M141" s="34"/>
      <c r="N141" s="34"/>
      <c r="O141" s="34"/>
      <c r="P141" s="33"/>
      <c r="Q141" s="35"/>
      <c r="R141" s="33"/>
      <c r="S141" s="33"/>
      <c r="T141" s="33"/>
      <c r="U141" s="33"/>
      <c r="V141" s="33"/>
      <c r="W141" s="33"/>
    </row>
    <row r="142" customFormat="false" ht="15" hidden="false" customHeight="false" outlineLevel="0" collapsed="false">
      <c r="A142" s="33"/>
      <c r="B142" s="33"/>
      <c r="C142" s="33"/>
      <c r="D142" s="33"/>
      <c r="E142" s="33"/>
      <c r="F142" s="33"/>
      <c r="G142" s="33"/>
      <c r="H142" s="33"/>
      <c r="I142" s="33"/>
      <c r="J142" s="33"/>
      <c r="K142" s="33"/>
      <c r="L142" s="34"/>
      <c r="M142" s="34"/>
      <c r="N142" s="34"/>
      <c r="O142" s="34"/>
      <c r="P142" s="33"/>
      <c r="Q142" s="35"/>
      <c r="R142" s="33"/>
      <c r="S142" s="33"/>
      <c r="T142" s="33"/>
      <c r="U142" s="33"/>
      <c r="V142" s="33"/>
      <c r="W142" s="33"/>
    </row>
    <row r="143" customFormat="false" ht="15" hidden="false" customHeight="false" outlineLevel="0" collapsed="false">
      <c r="A143" s="33"/>
      <c r="B143" s="33"/>
      <c r="C143" s="33"/>
      <c r="D143" s="33"/>
      <c r="E143" s="33"/>
      <c r="F143" s="33"/>
      <c r="G143" s="33"/>
      <c r="H143" s="33"/>
      <c r="I143" s="33"/>
      <c r="J143" s="33"/>
      <c r="K143" s="33"/>
      <c r="L143" s="34"/>
      <c r="M143" s="34"/>
      <c r="N143" s="34"/>
      <c r="O143" s="34"/>
      <c r="P143" s="33"/>
      <c r="Q143" s="35"/>
      <c r="R143" s="33"/>
      <c r="S143" s="33"/>
      <c r="T143" s="33"/>
      <c r="U143" s="33"/>
      <c r="V143" s="33"/>
      <c r="W143" s="33"/>
    </row>
    <row r="144" customFormat="false" ht="15" hidden="false" customHeight="false" outlineLevel="0" collapsed="false">
      <c r="A144" s="33"/>
      <c r="B144" s="33"/>
      <c r="C144" s="33"/>
      <c r="D144" s="33"/>
      <c r="E144" s="33"/>
      <c r="F144" s="33"/>
      <c r="G144" s="33"/>
      <c r="H144" s="33"/>
      <c r="I144" s="33"/>
      <c r="J144" s="33"/>
      <c r="K144" s="33"/>
      <c r="L144" s="34"/>
      <c r="M144" s="34"/>
      <c r="N144" s="34"/>
      <c r="O144" s="34"/>
      <c r="P144" s="33"/>
      <c r="Q144" s="35"/>
      <c r="R144" s="33"/>
      <c r="S144" s="33"/>
      <c r="T144" s="33"/>
      <c r="U144" s="33"/>
      <c r="V144" s="33"/>
      <c r="W144" s="33"/>
    </row>
    <row r="145" customFormat="false" ht="15" hidden="false" customHeight="false" outlineLevel="0" collapsed="false">
      <c r="A145" s="33"/>
      <c r="B145" s="33"/>
      <c r="C145" s="33"/>
      <c r="D145" s="33"/>
      <c r="E145" s="33"/>
      <c r="F145" s="33"/>
      <c r="G145" s="33"/>
      <c r="H145" s="33"/>
      <c r="I145" s="33"/>
      <c r="J145" s="33"/>
      <c r="K145" s="33"/>
      <c r="L145" s="34"/>
      <c r="M145" s="34"/>
      <c r="N145" s="34"/>
      <c r="O145" s="34"/>
      <c r="P145" s="33"/>
      <c r="Q145" s="35"/>
      <c r="R145" s="33"/>
      <c r="S145" s="33"/>
      <c r="T145" s="33"/>
      <c r="U145" s="33"/>
      <c r="V145" s="33"/>
      <c r="W145" s="33"/>
    </row>
    <row r="146" customFormat="false" ht="15" hidden="false" customHeight="false" outlineLevel="0" collapsed="false">
      <c r="A146" s="33"/>
      <c r="B146" s="33"/>
      <c r="C146" s="33"/>
      <c r="D146" s="33"/>
      <c r="E146" s="33"/>
      <c r="F146" s="33"/>
      <c r="G146" s="33"/>
      <c r="H146" s="33"/>
      <c r="I146" s="33"/>
      <c r="J146" s="33"/>
      <c r="K146" s="33"/>
      <c r="L146" s="34"/>
      <c r="M146" s="34"/>
      <c r="N146" s="34"/>
      <c r="O146" s="34"/>
      <c r="P146" s="33"/>
      <c r="Q146" s="35"/>
      <c r="R146" s="33"/>
      <c r="S146" s="33"/>
      <c r="T146" s="33"/>
      <c r="U146" s="33"/>
      <c r="V146" s="33"/>
      <c r="W146" s="33"/>
    </row>
    <row r="147" customFormat="false" ht="15" hidden="false" customHeight="false" outlineLevel="0" collapsed="false">
      <c r="A147" s="33"/>
      <c r="B147" s="33"/>
      <c r="C147" s="33"/>
      <c r="D147" s="33"/>
      <c r="E147" s="33"/>
      <c r="F147" s="33"/>
      <c r="G147" s="33"/>
      <c r="H147" s="33"/>
      <c r="I147" s="33"/>
      <c r="J147" s="33"/>
      <c r="K147" s="33"/>
      <c r="L147" s="34"/>
      <c r="M147" s="34"/>
      <c r="N147" s="34"/>
      <c r="O147" s="34"/>
      <c r="P147" s="33"/>
      <c r="Q147" s="35"/>
      <c r="R147" s="33"/>
      <c r="S147" s="33"/>
      <c r="T147" s="33"/>
      <c r="U147" s="33"/>
      <c r="V147" s="33"/>
      <c r="W147" s="33"/>
    </row>
    <row r="148" customFormat="false" ht="15" hidden="false" customHeight="false" outlineLevel="0" collapsed="false">
      <c r="A148" s="33"/>
      <c r="B148" s="33"/>
      <c r="C148" s="33"/>
      <c r="D148" s="33"/>
      <c r="E148" s="33"/>
      <c r="F148" s="33"/>
      <c r="G148" s="33"/>
      <c r="H148" s="33"/>
      <c r="I148" s="33"/>
      <c r="J148" s="33"/>
      <c r="K148" s="33"/>
      <c r="L148" s="34"/>
      <c r="M148" s="34"/>
      <c r="N148" s="34"/>
      <c r="O148" s="34"/>
      <c r="P148" s="33"/>
      <c r="Q148" s="35"/>
      <c r="R148" s="33"/>
      <c r="S148" s="33"/>
      <c r="T148" s="33"/>
      <c r="U148" s="33"/>
      <c r="V148" s="33"/>
      <c r="W148" s="33"/>
    </row>
    <row r="149" customFormat="false" ht="15" hidden="false" customHeight="false" outlineLevel="0" collapsed="false">
      <c r="A149" s="33"/>
      <c r="B149" s="33"/>
      <c r="C149" s="33"/>
      <c r="D149" s="33"/>
      <c r="E149" s="33"/>
      <c r="F149" s="33"/>
      <c r="G149" s="33"/>
      <c r="H149" s="33"/>
      <c r="I149" s="33"/>
      <c r="J149" s="33"/>
      <c r="K149" s="33"/>
      <c r="L149" s="34"/>
      <c r="M149" s="34"/>
      <c r="N149" s="34"/>
      <c r="O149" s="34"/>
      <c r="P149" s="33"/>
      <c r="Q149" s="35"/>
      <c r="R149" s="33"/>
      <c r="S149" s="33"/>
      <c r="T149" s="33"/>
      <c r="U149" s="33"/>
      <c r="V149" s="33"/>
      <c r="W149" s="33"/>
    </row>
    <row r="150" customFormat="false" ht="15" hidden="false" customHeight="false" outlineLevel="0" collapsed="false">
      <c r="A150" s="33"/>
      <c r="B150" s="33"/>
      <c r="C150" s="33"/>
      <c r="D150" s="33"/>
      <c r="E150" s="33"/>
      <c r="F150" s="33"/>
      <c r="G150" s="33"/>
      <c r="H150" s="33"/>
      <c r="I150" s="33"/>
      <c r="J150" s="33"/>
      <c r="K150" s="33"/>
      <c r="L150" s="34"/>
      <c r="M150" s="34"/>
      <c r="N150" s="34"/>
      <c r="O150" s="34"/>
      <c r="P150" s="33"/>
      <c r="Q150" s="35"/>
      <c r="R150" s="33"/>
      <c r="S150" s="33"/>
      <c r="T150" s="33"/>
      <c r="U150" s="33"/>
      <c r="V150" s="33"/>
      <c r="W150" s="33"/>
    </row>
    <row r="151" customFormat="false" ht="15" hidden="false" customHeight="false" outlineLevel="0" collapsed="false">
      <c r="A151" s="33"/>
      <c r="B151" s="33"/>
      <c r="C151" s="33"/>
      <c r="D151" s="33"/>
      <c r="E151" s="33"/>
      <c r="F151" s="33"/>
      <c r="G151" s="33"/>
      <c r="H151" s="33"/>
      <c r="I151" s="33"/>
      <c r="J151" s="33"/>
      <c r="K151" s="33"/>
      <c r="L151" s="34"/>
      <c r="M151" s="34"/>
      <c r="N151" s="34"/>
      <c r="O151" s="34"/>
      <c r="P151" s="33"/>
      <c r="Q151" s="35"/>
      <c r="R151" s="33"/>
      <c r="S151" s="33"/>
      <c r="T151" s="33"/>
      <c r="U151" s="33"/>
      <c r="V151" s="33"/>
      <c r="W151" s="33"/>
    </row>
    <row r="152" customFormat="false" ht="15" hidden="false" customHeight="false" outlineLevel="0" collapsed="false">
      <c r="A152" s="33"/>
      <c r="B152" s="33"/>
      <c r="C152" s="33"/>
      <c r="D152" s="33"/>
      <c r="E152" s="33"/>
      <c r="F152" s="33"/>
      <c r="G152" s="33"/>
      <c r="H152" s="33"/>
      <c r="I152" s="33"/>
      <c r="J152" s="33"/>
      <c r="K152" s="33"/>
      <c r="L152" s="34"/>
      <c r="M152" s="34"/>
      <c r="N152" s="34"/>
      <c r="O152" s="34"/>
      <c r="P152" s="33"/>
      <c r="Q152" s="35"/>
      <c r="R152" s="33"/>
      <c r="S152" s="33"/>
      <c r="T152" s="33"/>
      <c r="U152" s="33"/>
      <c r="V152" s="33"/>
      <c r="W152" s="33"/>
    </row>
    <row r="153" customFormat="false" ht="15" hidden="false" customHeight="false" outlineLevel="0" collapsed="false">
      <c r="A153" s="33"/>
      <c r="B153" s="33"/>
      <c r="C153" s="33"/>
      <c r="D153" s="33"/>
      <c r="E153" s="33"/>
      <c r="F153" s="33"/>
      <c r="G153" s="33"/>
      <c r="H153" s="33"/>
      <c r="I153" s="33"/>
      <c r="J153" s="33"/>
      <c r="K153" s="33"/>
      <c r="L153" s="34"/>
      <c r="M153" s="34"/>
      <c r="N153" s="34"/>
      <c r="O153" s="34"/>
      <c r="P153" s="33"/>
      <c r="Q153" s="35"/>
      <c r="R153" s="33"/>
      <c r="S153" s="33"/>
      <c r="T153" s="33"/>
      <c r="U153" s="33"/>
      <c r="V153" s="33"/>
      <c r="W153" s="33"/>
    </row>
    <row r="154" customFormat="false" ht="15" hidden="false" customHeight="false" outlineLevel="0" collapsed="false">
      <c r="A154" s="33"/>
      <c r="B154" s="33"/>
      <c r="C154" s="33"/>
      <c r="D154" s="33"/>
      <c r="E154" s="33"/>
      <c r="F154" s="33"/>
      <c r="G154" s="33"/>
      <c r="H154" s="33"/>
      <c r="I154" s="33"/>
      <c r="J154" s="33"/>
      <c r="K154" s="33"/>
      <c r="L154" s="34"/>
      <c r="M154" s="34"/>
      <c r="N154" s="34"/>
      <c r="O154" s="34"/>
      <c r="P154" s="33"/>
      <c r="Q154" s="35"/>
      <c r="R154" s="33"/>
      <c r="S154" s="33"/>
      <c r="T154" s="33"/>
      <c r="U154" s="33"/>
      <c r="V154" s="33"/>
      <c r="W154" s="33"/>
    </row>
    <row r="155" customFormat="false" ht="15" hidden="false" customHeight="false" outlineLevel="0" collapsed="false">
      <c r="A155" s="33"/>
      <c r="B155" s="33"/>
      <c r="C155" s="33"/>
      <c r="D155" s="33"/>
      <c r="E155" s="33"/>
      <c r="F155" s="33"/>
      <c r="G155" s="33"/>
      <c r="H155" s="33"/>
      <c r="I155" s="33"/>
      <c r="J155" s="33"/>
      <c r="K155" s="33"/>
      <c r="L155" s="34"/>
      <c r="M155" s="34"/>
      <c r="N155" s="34"/>
      <c r="O155" s="34"/>
      <c r="P155" s="33"/>
      <c r="Q155" s="35"/>
      <c r="R155" s="33"/>
      <c r="S155" s="33"/>
      <c r="T155" s="33"/>
      <c r="U155" s="33"/>
      <c r="V155" s="33"/>
      <c r="W155" s="33"/>
    </row>
    <row r="156" customFormat="false" ht="15" hidden="false" customHeight="false" outlineLevel="0" collapsed="false">
      <c r="A156" s="33"/>
      <c r="B156" s="33"/>
      <c r="C156" s="33"/>
      <c r="D156" s="33"/>
      <c r="E156" s="33"/>
      <c r="F156" s="33"/>
      <c r="G156" s="33"/>
      <c r="H156" s="33"/>
      <c r="I156" s="33"/>
      <c r="J156" s="33"/>
      <c r="K156" s="33"/>
      <c r="L156" s="34"/>
      <c r="M156" s="34"/>
      <c r="N156" s="34"/>
      <c r="O156" s="34"/>
      <c r="P156" s="33"/>
      <c r="Q156" s="35"/>
      <c r="R156" s="33"/>
      <c r="S156" s="33"/>
      <c r="T156" s="33"/>
      <c r="U156" s="33"/>
      <c r="V156" s="33"/>
      <c r="W156" s="33"/>
    </row>
    <row r="157" customFormat="false" ht="15" hidden="false" customHeight="false" outlineLevel="0" collapsed="false">
      <c r="A157" s="33"/>
      <c r="B157" s="33"/>
      <c r="C157" s="33"/>
      <c r="D157" s="33"/>
      <c r="E157" s="33"/>
      <c r="F157" s="33"/>
      <c r="G157" s="33"/>
      <c r="H157" s="33"/>
      <c r="I157" s="33"/>
      <c r="J157" s="33"/>
      <c r="K157" s="33"/>
      <c r="L157" s="34"/>
      <c r="M157" s="34"/>
      <c r="N157" s="34"/>
      <c r="O157" s="34"/>
      <c r="P157" s="33"/>
      <c r="Q157" s="35"/>
      <c r="R157" s="33"/>
      <c r="S157" s="33"/>
      <c r="T157" s="33"/>
      <c r="U157" s="33"/>
      <c r="V157" s="33"/>
      <c r="W157" s="33"/>
    </row>
    <row r="158" customFormat="false" ht="15" hidden="false" customHeight="false" outlineLevel="0" collapsed="false">
      <c r="A158" s="33"/>
      <c r="B158" s="33"/>
      <c r="C158" s="33"/>
      <c r="D158" s="33"/>
      <c r="E158" s="33"/>
      <c r="F158" s="33"/>
      <c r="G158" s="33"/>
      <c r="H158" s="33"/>
      <c r="I158" s="33"/>
      <c r="J158" s="33"/>
      <c r="K158" s="33"/>
      <c r="L158" s="34"/>
      <c r="M158" s="34"/>
      <c r="N158" s="34"/>
      <c r="O158" s="34"/>
      <c r="P158" s="33"/>
      <c r="Q158" s="35"/>
      <c r="R158" s="33"/>
      <c r="S158" s="33"/>
      <c r="T158" s="33"/>
      <c r="U158" s="33"/>
      <c r="V158" s="33"/>
      <c r="W158" s="33"/>
    </row>
    <row r="159" customFormat="false" ht="15" hidden="false" customHeight="false" outlineLevel="0" collapsed="false">
      <c r="A159" s="33"/>
      <c r="B159" s="33"/>
      <c r="C159" s="33"/>
      <c r="D159" s="33"/>
      <c r="E159" s="33"/>
      <c r="F159" s="33"/>
      <c r="G159" s="33"/>
      <c r="H159" s="33"/>
      <c r="I159" s="33"/>
      <c r="J159" s="33"/>
      <c r="K159" s="33"/>
      <c r="L159" s="34"/>
      <c r="M159" s="34"/>
      <c r="N159" s="34"/>
      <c r="O159" s="34"/>
      <c r="P159" s="33"/>
      <c r="Q159" s="35"/>
      <c r="R159" s="33"/>
      <c r="S159" s="33"/>
      <c r="T159" s="33"/>
      <c r="U159" s="33"/>
      <c r="V159" s="33"/>
      <c r="W159" s="33"/>
    </row>
    <row r="160" customFormat="false" ht="15" hidden="false" customHeight="false" outlineLevel="0" collapsed="false">
      <c r="A160" s="33"/>
      <c r="B160" s="33"/>
      <c r="C160" s="33"/>
      <c r="D160" s="33"/>
      <c r="E160" s="33"/>
      <c r="F160" s="33"/>
      <c r="G160" s="33"/>
      <c r="H160" s="33"/>
      <c r="I160" s="33"/>
      <c r="J160" s="33"/>
      <c r="K160" s="33"/>
      <c r="L160" s="34"/>
      <c r="M160" s="34"/>
      <c r="N160" s="34"/>
      <c r="O160" s="34"/>
      <c r="P160" s="33"/>
      <c r="Q160" s="35"/>
      <c r="R160" s="33"/>
      <c r="S160" s="33"/>
      <c r="T160" s="33"/>
      <c r="U160" s="33"/>
      <c r="V160" s="33"/>
      <c r="W160" s="33"/>
    </row>
    <row r="161" customFormat="false" ht="15" hidden="false" customHeight="false" outlineLevel="0" collapsed="false">
      <c r="A161" s="33"/>
      <c r="B161" s="33"/>
      <c r="C161" s="33"/>
      <c r="D161" s="33"/>
      <c r="E161" s="33"/>
      <c r="F161" s="33"/>
      <c r="G161" s="33"/>
      <c r="H161" s="33"/>
      <c r="I161" s="33"/>
      <c r="J161" s="33"/>
      <c r="K161" s="33"/>
      <c r="L161" s="34"/>
      <c r="M161" s="34"/>
      <c r="N161" s="34"/>
      <c r="O161" s="34"/>
      <c r="P161" s="33"/>
      <c r="Q161" s="35"/>
      <c r="R161" s="33"/>
      <c r="S161" s="33"/>
      <c r="T161" s="33"/>
      <c r="U161" s="33"/>
      <c r="V161" s="33"/>
      <c r="W161" s="33"/>
    </row>
    <row r="162" customFormat="false" ht="15" hidden="false" customHeight="false" outlineLevel="0" collapsed="false">
      <c r="A162" s="33"/>
      <c r="B162" s="33"/>
      <c r="C162" s="33"/>
      <c r="D162" s="33"/>
      <c r="E162" s="33"/>
      <c r="F162" s="33"/>
      <c r="G162" s="33"/>
      <c r="H162" s="33"/>
      <c r="I162" s="33"/>
      <c r="J162" s="33"/>
      <c r="K162" s="33"/>
      <c r="L162" s="34"/>
      <c r="M162" s="34"/>
      <c r="N162" s="34"/>
      <c r="O162" s="34"/>
      <c r="P162" s="33"/>
      <c r="Q162" s="35"/>
      <c r="R162" s="33"/>
      <c r="S162" s="33"/>
      <c r="T162" s="33"/>
      <c r="U162" s="33"/>
      <c r="V162" s="33"/>
      <c r="W162" s="33"/>
    </row>
    <row r="163" customFormat="false" ht="15" hidden="false" customHeight="false" outlineLevel="0" collapsed="false">
      <c r="A163" s="33"/>
      <c r="B163" s="33"/>
      <c r="C163" s="33"/>
      <c r="D163" s="33"/>
      <c r="E163" s="33"/>
      <c r="F163" s="33"/>
      <c r="G163" s="33"/>
      <c r="H163" s="33"/>
      <c r="I163" s="33"/>
      <c r="J163" s="33"/>
      <c r="K163" s="33"/>
      <c r="L163" s="34"/>
      <c r="M163" s="34"/>
      <c r="N163" s="34"/>
      <c r="O163" s="34"/>
      <c r="P163" s="33"/>
      <c r="Q163" s="35"/>
      <c r="R163" s="33"/>
      <c r="S163" s="33"/>
      <c r="T163" s="33"/>
      <c r="U163" s="33"/>
      <c r="V163" s="33"/>
      <c r="W163" s="33"/>
    </row>
    <row r="164" customFormat="false" ht="15" hidden="false" customHeight="false" outlineLevel="0" collapsed="false">
      <c r="A164" s="33"/>
      <c r="B164" s="33"/>
      <c r="C164" s="33"/>
      <c r="D164" s="33"/>
      <c r="E164" s="33"/>
      <c r="F164" s="33"/>
      <c r="G164" s="33"/>
      <c r="H164" s="33"/>
      <c r="I164" s="33"/>
      <c r="J164" s="33"/>
      <c r="K164" s="33"/>
      <c r="L164" s="34"/>
      <c r="M164" s="34"/>
      <c r="N164" s="34"/>
      <c r="O164" s="34"/>
      <c r="P164" s="33"/>
      <c r="Q164" s="35"/>
      <c r="R164" s="33"/>
      <c r="S164" s="33"/>
      <c r="T164" s="33"/>
      <c r="U164" s="33"/>
      <c r="V164" s="33"/>
      <c r="W164" s="33"/>
    </row>
    <row r="165" customFormat="false" ht="15" hidden="false" customHeight="false" outlineLevel="0" collapsed="false">
      <c r="A165" s="33"/>
      <c r="B165" s="33"/>
      <c r="C165" s="33"/>
      <c r="D165" s="33"/>
      <c r="E165" s="33"/>
      <c r="F165" s="33"/>
      <c r="G165" s="33"/>
      <c r="H165" s="33"/>
      <c r="I165" s="33"/>
      <c r="J165" s="33"/>
      <c r="K165" s="33"/>
      <c r="L165" s="34"/>
      <c r="M165" s="34"/>
      <c r="N165" s="34"/>
      <c r="O165" s="34"/>
      <c r="P165" s="33"/>
      <c r="Q165" s="35"/>
      <c r="R165" s="33"/>
      <c r="S165" s="33"/>
      <c r="T165" s="33"/>
      <c r="U165" s="33"/>
      <c r="V165" s="33"/>
      <c r="W165" s="33"/>
    </row>
    <row r="166" customFormat="false" ht="15" hidden="false" customHeight="false" outlineLevel="0" collapsed="false">
      <c r="A166" s="33"/>
      <c r="B166" s="33"/>
      <c r="C166" s="33"/>
      <c r="D166" s="33"/>
      <c r="E166" s="33"/>
      <c r="F166" s="33"/>
      <c r="G166" s="33"/>
      <c r="H166" s="33"/>
      <c r="I166" s="33"/>
      <c r="J166" s="33"/>
      <c r="K166" s="33"/>
      <c r="L166" s="34"/>
      <c r="M166" s="34"/>
      <c r="N166" s="34"/>
      <c r="O166" s="34"/>
      <c r="P166" s="33"/>
      <c r="Q166" s="35"/>
      <c r="R166" s="33"/>
      <c r="S166" s="33"/>
      <c r="T166" s="33"/>
      <c r="U166" s="33"/>
      <c r="V166" s="33"/>
      <c r="W166" s="33"/>
    </row>
    <row r="167" customFormat="false" ht="15" hidden="false" customHeight="false" outlineLevel="0" collapsed="false">
      <c r="A167" s="33"/>
      <c r="B167" s="33"/>
      <c r="C167" s="33"/>
      <c r="D167" s="33"/>
      <c r="E167" s="33"/>
      <c r="F167" s="33"/>
      <c r="G167" s="33"/>
      <c r="H167" s="33"/>
      <c r="I167" s="33"/>
      <c r="J167" s="33"/>
      <c r="K167" s="33"/>
      <c r="L167" s="34"/>
      <c r="M167" s="34"/>
      <c r="N167" s="34"/>
      <c r="O167" s="34"/>
      <c r="P167" s="33"/>
      <c r="Q167" s="35"/>
      <c r="R167" s="33"/>
      <c r="S167" s="33"/>
      <c r="T167" s="33"/>
      <c r="U167" s="33"/>
      <c r="V167" s="33"/>
      <c r="W167" s="33"/>
    </row>
    <row r="168" customFormat="false" ht="15" hidden="false" customHeight="false" outlineLevel="0" collapsed="false">
      <c r="A168" s="33"/>
      <c r="B168" s="33"/>
      <c r="C168" s="33"/>
      <c r="D168" s="33"/>
      <c r="E168" s="33"/>
      <c r="F168" s="33"/>
      <c r="G168" s="33"/>
      <c r="H168" s="33"/>
      <c r="I168" s="33"/>
      <c r="J168" s="33"/>
      <c r="K168" s="33"/>
      <c r="L168" s="34"/>
      <c r="M168" s="34"/>
      <c r="N168" s="34"/>
      <c r="O168" s="34"/>
      <c r="P168" s="33"/>
      <c r="Q168" s="35"/>
      <c r="R168" s="33"/>
      <c r="S168" s="33"/>
      <c r="T168" s="33"/>
      <c r="U168" s="33"/>
      <c r="V168" s="33"/>
      <c r="W168" s="33"/>
    </row>
    <row r="169" customFormat="false" ht="15" hidden="false" customHeight="false" outlineLevel="0" collapsed="false">
      <c r="A169" s="33"/>
      <c r="B169" s="33"/>
      <c r="C169" s="33"/>
      <c r="D169" s="33"/>
      <c r="E169" s="33"/>
      <c r="F169" s="33"/>
      <c r="G169" s="33"/>
      <c r="H169" s="33"/>
      <c r="I169" s="33"/>
      <c r="J169" s="33"/>
      <c r="K169" s="33"/>
      <c r="L169" s="34"/>
      <c r="M169" s="34"/>
      <c r="N169" s="34"/>
      <c r="O169" s="34"/>
      <c r="P169" s="33"/>
      <c r="Q169" s="35"/>
      <c r="R169" s="33"/>
      <c r="S169" s="33"/>
      <c r="T169" s="33"/>
      <c r="U169" s="33"/>
      <c r="V169" s="33"/>
      <c r="W169" s="33"/>
    </row>
    <row r="170" customFormat="false" ht="15" hidden="false" customHeight="false" outlineLevel="0" collapsed="false">
      <c r="A170" s="33"/>
      <c r="B170" s="33"/>
      <c r="C170" s="33"/>
      <c r="D170" s="33"/>
      <c r="E170" s="33"/>
      <c r="F170" s="33"/>
      <c r="G170" s="33"/>
      <c r="H170" s="33"/>
      <c r="I170" s="33"/>
      <c r="J170" s="33"/>
      <c r="K170" s="33"/>
      <c r="L170" s="34"/>
      <c r="M170" s="34"/>
      <c r="N170" s="34"/>
      <c r="O170" s="34"/>
      <c r="P170" s="33"/>
      <c r="Q170" s="35"/>
      <c r="R170" s="33"/>
      <c r="S170" s="33"/>
      <c r="T170" s="33"/>
      <c r="U170" s="33"/>
      <c r="V170" s="33"/>
      <c r="W170" s="33"/>
    </row>
    <row r="171" customFormat="false" ht="15" hidden="false" customHeight="false" outlineLevel="0" collapsed="false">
      <c r="A171" s="33"/>
      <c r="B171" s="33"/>
      <c r="C171" s="33"/>
      <c r="D171" s="33"/>
      <c r="E171" s="33"/>
      <c r="F171" s="33"/>
      <c r="G171" s="33"/>
      <c r="H171" s="33"/>
      <c r="I171" s="33"/>
      <c r="J171" s="33"/>
      <c r="K171" s="33"/>
      <c r="L171" s="34"/>
      <c r="M171" s="34"/>
      <c r="N171" s="34"/>
      <c r="O171" s="34"/>
      <c r="P171" s="33"/>
      <c r="Q171" s="35"/>
      <c r="R171" s="33"/>
      <c r="S171" s="33"/>
      <c r="T171" s="33"/>
      <c r="U171" s="33"/>
      <c r="V171" s="33"/>
      <c r="W171" s="33"/>
    </row>
    <row r="172" customFormat="false" ht="15" hidden="false" customHeight="false" outlineLevel="0" collapsed="false">
      <c r="A172" s="33"/>
      <c r="B172" s="33"/>
      <c r="C172" s="33"/>
      <c r="D172" s="33"/>
      <c r="E172" s="33"/>
      <c r="F172" s="33"/>
      <c r="G172" s="33"/>
      <c r="H172" s="33"/>
      <c r="I172" s="33"/>
      <c r="J172" s="33"/>
      <c r="K172" s="33"/>
      <c r="L172" s="34"/>
      <c r="M172" s="34"/>
      <c r="N172" s="34"/>
      <c r="O172" s="34"/>
      <c r="P172" s="33"/>
      <c r="Q172" s="35"/>
      <c r="R172" s="33"/>
      <c r="S172" s="33"/>
      <c r="T172" s="33"/>
      <c r="U172" s="33"/>
      <c r="V172" s="33"/>
      <c r="W172" s="33"/>
    </row>
    <row r="173" customFormat="false" ht="15" hidden="false" customHeight="false" outlineLevel="0" collapsed="false">
      <c r="A173" s="33"/>
      <c r="B173" s="33"/>
      <c r="C173" s="33"/>
      <c r="D173" s="33"/>
      <c r="E173" s="33"/>
      <c r="F173" s="33"/>
      <c r="G173" s="33"/>
      <c r="H173" s="33"/>
      <c r="I173" s="33"/>
      <c r="J173" s="33"/>
      <c r="K173" s="33"/>
      <c r="L173" s="34"/>
      <c r="M173" s="34"/>
      <c r="N173" s="34"/>
      <c r="O173" s="34"/>
      <c r="P173" s="33"/>
      <c r="Q173" s="35"/>
      <c r="R173" s="33"/>
      <c r="S173" s="33"/>
      <c r="T173" s="33"/>
      <c r="U173" s="33"/>
      <c r="V173" s="33"/>
      <c r="W173" s="33"/>
    </row>
    <row r="174" customFormat="false" ht="15" hidden="false" customHeight="false" outlineLevel="0" collapsed="false">
      <c r="A174" s="33"/>
      <c r="B174" s="33"/>
      <c r="C174" s="33"/>
      <c r="D174" s="33"/>
      <c r="E174" s="33"/>
      <c r="F174" s="33"/>
      <c r="G174" s="33"/>
      <c r="H174" s="33"/>
      <c r="I174" s="33"/>
      <c r="J174" s="33"/>
      <c r="K174" s="33"/>
      <c r="L174" s="34"/>
      <c r="M174" s="34"/>
      <c r="N174" s="34"/>
      <c r="O174" s="34"/>
      <c r="P174" s="33"/>
      <c r="Q174" s="35"/>
      <c r="R174" s="33"/>
      <c r="S174" s="33"/>
      <c r="T174" s="33"/>
      <c r="U174" s="33"/>
      <c r="V174" s="33"/>
      <c r="W174" s="33"/>
    </row>
    <row r="175" customFormat="false" ht="15" hidden="false" customHeight="false" outlineLevel="0" collapsed="false">
      <c r="A175" s="33"/>
      <c r="B175" s="33"/>
      <c r="C175" s="33"/>
      <c r="D175" s="33"/>
      <c r="E175" s="33"/>
      <c r="F175" s="33"/>
      <c r="G175" s="33"/>
      <c r="H175" s="33"/>
      <c r="I175" s="33"/>
      <c r="J175" s="33"/>
      <c r="K175" s="33"/>
      <c r="L175" s="34"/>
      <c r="M175" s="34"/>
      <c r="N175" s="34"/>
      <c r="O175" s="34"/>
      <c r="P175" s="33"/>
      <c r="Q175" s="35"/>
      <c r="R175" s="33"/>
      <c r="S175" s="33"/>
      <c r="T175" s="33"/>
      <c r="U175" s="33"/>
      <c r="V175" s="33"/>
      <c r="W175" s="33"/>
    </row>
    <row r="176" customFormat="false" ht="15" hidden="false" customHeight="false" outlineLevel="0" collapsed="false">
      <c r="A176" s="33"/>
      <c r="B176" s="33"/>
      <c r="C176" s="33"/>
      <c r="D176" s="33"/>
      <c r="E176" s="33"/>
      <c r="F176" s="33"/>
      <c r="G176" s="33"/>
      <c r="H176" s="33"/>
      <c r="I176" s="33"/>
      <c r="J176" s="33"/>
      <c r="K176" s="33"/>
      <c r="L176" s="34"/>
      <c r="M176" s="34"/>
      <c r="N176" s="34"/>
      <c r="O176" s="34"/>
      <c r="P176" s="33"/>
      <c r="Q176" s="35"/>
      <c r="R176" s="33"/>
      <c r="S176" s="33"/>
      <c r="T176" s="33"/>
      <c r="U176" s="33"/>
      <c r="V176" s="33"/>
      <c r="W176" s="33"/>
    </row>
    <row r="177" customFormat="false" ht="15" hidden="false" customHeight="false" outlineLevel="0" collapsed="false">
      <c r="A177" s="33"/>
      <c r="B177" s="33"/>
      <c r="C177" s="33"/>
      <c r="D177" s="33"/>
      <c r="E177" s="33"/>
      <c r="F177" s="33"/>
      <c r="G177" s="33"/>
      <c r="H177" s="33"/>
      <c r="I177" s="33"/>
      <c r="J177" s="33"/>
      <c r="K177" s="33"/>
      <c r="L177" s="34"/>
      <c r="M177" s="34"/>
      <c r="N177" s="34"/>
      <c r="O177" s="34"/>
      <c r="P177" s="33"/>
      <c r="Q177" s="35"/>
      <c r="R177" s="33"/>
      <c r="S177" s="33"/>
      <c r="T177" s="33"/>
      <c r="U177" s="33"/>
      <c r="V177" s="33"/>
      <c r="W177" s="33"/>
    </row>
    <row r="178" customFormat="false" ht="15" hidden="false" customHeight="false" outlineLevel="0" collapsed="false">
      <c r="A178" s="33"/>
      <c r="B178" s="33"/>
      <c r="C178" s="33"/>
      <c r="D178" s="33"/>
      <c r="E178" s="33"/>
      <c r="F178" s="33"/>
      <c r="G178" s="33"/>
      <c r="H178" s="33"/>
      <c r="I178" s="33"/>
      <c r="J178" s="33"/>
      <c r="K178" s="33"/>
      <c r="L178" s="34"/>
      <c r="M178" s="34"/>
      <c r="N178" s="34"/>
      <c r="O178" s="34"/>
      <c r="P178" s="33"/>
      <c r="Q178" s="35"/>
      <c r="R178" s="33"/>
      <c r="S178" s="33"/>
      <c r="T178" s="33"/>
      <c r="U178" s="33"/>
      <c r="V178" s="33"/>
      <c r="W178" s="33"/>
    </row>
    <row r="179" customFormat="false" ht="15" hidden="false" customHeight="false" outlineLevel="0" collapsed="false">
      <c r="A179" s="33"/>
      <c r="B179" s="33"/>
      <c r="C179" s="33"/>
      <c r="D179" s="33"/>
      <c r="E179" s="33"/>
      <c r="F179" s="33"/>
      <c r="G179" s="33"/>
      <c r="H179" s="33"/>
      <c r="I179" s="33"/>
      <c r="J179" s="33"/>
      <c r="K179" s="33"/>
      <c r="L179" s="34"/>
      <c r="M179" s="34"/>
      <c r="N179" s="34"/>
      <c r="O179" s="34"/>
      <c r="P179" s="33"/>
      <c r="Q179" s="35"/>
      <c r="R179" s="33"/>
      <c r="S179" s="33"/>
      <c r="T179" s="33"/>
      <c r="U179" s="33"/>
      <c r="V179" s="33"/>
      <c r="W179" s="33"/>
    </row>
    <row r="180" customFormat="false" ht="15" hidden="false" customHeight="false" outlineLevel="0" collapsed="false">
      <c r="A180" s="33"/>
      <c r="B180" s="33"/>
      <c r="C180" s="33"/>
      <c r="D180" s="33"/>
      <c r="E180" s="33"/>
      <c r="F180" s="33"/>
      <c r="G180" s="33"/>
      <c r="H180" s="33"/>
      <c r="I180" s="33"/>
      <c r="J180" s="33"/>
      <c r="K180" s="33"/>
      <c r="L180" s="34"/>
      <c r="M180" s="34"/>
      <c r="N180" s="34"/>
      <c r="O180" s="34"/>
      <c r="P180" s="33"/>
      <c r="Q180" s="35"/>
      <c r="R180" s="33"/>
      <c r="S180" s="33"/>
      <c r="T180" s="33"/>
      <c r="U180" s="33"/>
      <c r="V180" s="33"/>
      <c r="W180" s="33"/>
    </row>
    <row r="181" customFormat="false" ht="15" hidden="false" customHeight="false" outlineLevel="0" collapsed="false">
      <c r="A181" s="33"/>
      <c r="B181" s="33"/>
      <c r="C181" s="33"/>
      <c r="D181" s="33"/>
      <c r="E181" s="33"/>
      <c r="F181" s="33"/>
      <c r="G181" s="33"/>
      <c r="H181" s="33"/>
      <c r="I181" s="33"/>
      <c r="J181" s="33"/>
      <c r="K181" s="33"/>
      <c r="L181" s="34"/>
      <c r="M181" s="34"/>
      <c r="N181" s="34"/>
      <c r="O181" s="34"/>
      <c r="P181" s="33"/>
      <c r="Q181" s="35"/>
      <c r="R181" s="33"/>
      <c r="S181" s="33"/>
      <c r="T181" s="33"/>
      <c r="U181" s="33"/>
      <c r="V181" s="33"/>
      <c r="W181" s="33"/>
    </row>
    <row r="182" customFormat="false" ht="15" hidden="false" customHeight="false" outlineLevel="0" collapsed="false">
      <c r="A182" s="33"/>
      <c r="B182" s="33"/>
      <c r="C182" s="33"/>
      <c r="D182" s="33"/>
      <c r="E182" s="33"/>
      <c r="F182" s="33"/>
      <c r="G182" s="33"/>
      <c r="H182" s="33"/>
      <c r="I182" s="33"/>
      <c r="J182" s="33"/>
      <c r="K182" s="33"/>
      <c r="L182" s="34"/>
      <c r="M182" s="34"/>
      <c r="N182" s="34"/>
      <c r="O182" s="34"/>
      <c r="P182" s="33"/>
      <c r="Q182" s="35"/>
      <c r="R182" s="33"/>
      <c r="S182" s="33"/>
      <c r="T182" s="33"/>
      <c r="U182" s="33"/>
      <c r="V182" s="33"/>
      <c r="W182" s="33"/>
    </row>
    <row r="183" customFormat="false" ht="15" hidden="false" customHeight="false" outlineLevel="0" collapsed="false">
      <c r="A183" s="33"/>
      <c r="B183" s="33"/>
      <c r="C183" s="33"/>
      <c r="D183" s="33"/>
      <c r="E183" s="33"/>
      <c r="F183" s="33"/>
      <c r="G183" s="33"/>
      <c r="H183" s="33"/>
      <c r="I183" s="33"/>
      <c r="J183" s="33"/>
      <c r="K183" s="33"/>
      <c r="L183" s="34"/>
      <c r="M183" s="34"/>
      <c r="N183" s="34"/>
      <c r="O183" s="34"/>
      <c r="P183" s="33"/>
      <c r="Q183" s="35"/>
      <c r="R183" s="33"/>
      <c r="S183" s="33"/>
      <c r="T183" s="33"/>
      <c r="U183" s="33"/>
      <c r="V183" s="33"/>
      <c r="W183" s="33"/>
    </row>
    <row r="184" customFormat="false" ht="15" hidden="false" customHeight="false" outlineLevel="0" collapsed="false">
      <c r="A184" s="33"/>
      <c r="B184" s="33"/>
      <c r="C184" s="33"/>
      <c r="D184" s="33"/>
      <c r="E184" s="33"/>
      <c r="F184" s="33"/>
      <c r="G184" s="33"/>
      <c r="H184" s="33"/>
      <c r="I184" s="33"/>
      <c r="J184" s="33"/>
      <c r="K184" s="33"/>
      <c r="L184" s="34"/>
      <c r="M184" s="34"/>
      <c r="N184" s="34"/>
      <c r="O184" s="34"/>
      <c r="P184" s="33"/>
      <c r="Q184" s="35"/>
      <c r="R184" s="33"/>
      <c r="S184" s="33"/>
      <c r="T184" s="33"/>
      <c r="U184" s="33"/>
      <c r="V184" s="33"/>
      <c r="W184" s="33"/>
    </row>
    <row r="185" customFormat="false" ht="15" hidden="false" customHeight="false" outlineLevel="0" collapsed="false">
      <c r="A185" s="33"/>
      <c r="B185" s="33"/>
      <c r="C185" s="33"/>
      <c r="D185" s="33"/>
      <c r="E185" s="33"/>
      <c r="F185" s="33"/>
      <c r="G185" s="33"/>
      <c r="H185" s="33"/>
      <c r="I185" s="33"/>
      <c r="J185" s="33"/>
      <c r="K185" s="33"/>
      <c r="L185" s="34"/>
      <c r="M185" s="34"/>
      <c r="N185" s="34"/>
      <c r="O185" s="34"/>
      <c r="P185" s="33"/>
      <c r="Q185" s="35"/>
      <c r="R185" s="33"/>
      <c r="S185" s="33"/>
      <c r="T185" s="33"/>
      <c r="U185" s="33"/>
      <c r="V185" s="33"/>
      <c r="W185" s="33"/>
    </row>
    <row r="186" customFormat="false" ht="15" hidden="false" customHeight="false" outlineLevel="0" collapsed="false">
      <c r="A186" s="33"/>
      <c r="B186" s="33"/>
      <c r="C186" s="33"/>
      <c r="D186" s="33"/>
      <c r="E186" s="33"/>
      <c r="F186" s="33"/>
      <c r="G186" s="33"/>
      <c r="H186" s="33"/>
      <c r="I186" s="33"/>
      <c r="J186" s="33"/>
      <c r="K186" s="33"/>
      <c r="L186" s="34"/>
      <c r="M186" s="34"/>
      <c r="N186" s="34"/>
      <c r="O186" s="34"/>
      <c r="P186" s="33"/>
      <c r="Q186" s="35"/>
      <c r="R186" s="33"/>
      <c r="S186" s="33"/>
      <c r="T186" s="33"/>
      <c r="U186" s="33"/>
      <c r="V186" s="33"/>
      <c r="W186" s="33"/>
    </row>
    <row r="187" customFormat="false" ht="15" hidden="false" customHeight="false" outlineLevel="0" collapsed="false">
      <c r="A187" s="33"/>
      <c r="B187" s="33"/>
      <c r="C187" s="33"/>
      <c r="D187" s="33"/>
      <c r="E187" s="33"/>
      <c r="F187" s="33"/>
      <c r="G187" s="33"/>
      <c r="H187" s="33"/>
      <c r="I187" s="33"/>
      <c r="J187" s="33"/>
      <c r="K187" s="33"/>
      <c r="L187" s="34"/>
      <c r="M187" s="34"/>
      <c r="N187" s="34"/>
      <c r="O187" s="34"/>
      <c r="P187" s="33"/>
      <c r="Q187" s="35"/>
      <c r="R187" s="33"/>
      <c r="S187" s="33"/>
      <c r="T187" s="33"/>
      <c r="U187" s="33"/>
      <c r="V187" s="33"/>
      <c r="W187" s="33"/>
    </row>
    <row r="188" customFormat="false" ht="15" hidden="false" customHeight="false" outlineLevel="0" collapsed="false">
      <c r="A188" s="33"/>
      <c r="B188" s="33"/>
      <c r="C188" s="33"/>
      <c r="D188" s="33"/>
      <c r="E188" s="33"/>
      <c r="F188" s="33"/>
      <c r="G188" s="33"/>
      <c r="H188" s="33"/>
      <c r="I188" s="33"/>
      <c r="J188" s="33"/>
      <c r="K188" s="33"/>
      <c r="L188" s="34"/>
      <c r="M188" s="34"/>
      <c r="N188" s="34"/>
      <c r="O188" s="34"/>
      <c r="P188" s="33"/>
      <c r="Q188" s="35"/>
      <c r="R188" s="33"/>
      <c r="S188" s="33"/>
      <c r="T188" s="33"/>
      <c r="U188" s="33"/>
      <c r="V188" s="33"/>
      <c r="W188" s="33"/>
    </row>
    <row r="189" customFormat="false" ht="15" hidden="false" customHeight="false" outlineLevel="0" collapsed="false">
      <c r="A189" s="33"/>
      <c r="B189" s="33"/>
      <c r="C189" s="33"/>
      <c r="D189" s="33"/>
      <c r="E189" s="33"/>
      <c r="F189" s="33"/>
      <c r="G189" s="33"/>
      <c r="H189" s="33"/>
      <c r="I189" s="33"/>
      <c r="J189" s="33"/>
      <c r="K189" s="33"/>
      <c r="L189" s="34"/>
      <c r="M189" s="34"/>
      <c r="N189" s="34"/>
      <c r="O189" s="34"/>
      <c r="P189" s="33"/>
      <c r="Q189" s="35"/>
      <c r="R189" s="33"/>
      <c r="S189" s="33"/>
      <c r="T189" s="33"/>
      <c r="U189" s="33"/>
      <c r="V189" s="33"/>
      <c r="W189" s="33"/>
    </row>
    <row r="190" customFormat="false" ht="15" hidden="false" customHeight="false" outlineLevel="0" collapsed="false">
      <c r="A190" s="33"/>
      <c r="B190" s="33"/>
      <c r="C190" s="33"/>
      <c r="D190" s="33"/>
      <c r="E190" s="33"/>
      <c r="F190" s="33"/>
      <c r="G190" s="33"/>
      <c r="H190" s="33"/>
      <c r="I190" s="33"/>
      <c r="J190" s="33"/>
      <c r="K190" s="33"/>
      <c r="L190" s="34"/>
      <c r="M190" s="34"/>
      <c r="N190" s="34"/>
      <c r="O190" s="34"/>
      <c r="P190" s="33"/>
      <c r="Q190" s="35"/>
      <c r="R190" s="33"/>
      <c r="S190" s="33"/>
      <c r="T190" s="33"/>
      <c r="U190" s="33"/>
      <c r="V190" s="33"/>
      <c r="W190" s="33"/>
    </row>
    <row r="191" customFormat="false" ht="15" hidden="false" customHeight="false" outlineLevel="0" collapsed="false">
      <c r="A191" s="33"/>
      <c r="B191" s="33"/>
      <c r="C191" s="33"/>
      <c r="D191" s="33"/>
      <c r="E191" s="33"/>
      <c r="F191" s="33"/>
      <c r="G191" s="33"/>
      <c r="H191" s="33"/>
      <c r="I191" s="33"/>
      <c r="J191" s="33"/>
      <c r="K191" s="33"/>
      <c r="L191" s="34"/>
      <c r="M191" s="34"/>
      <c r="N191" s="34"/>
      <c r="O191" s="34"/>
      <c r="P191" s="33"/>
      <c r="Q191" s="35"/>
      <c r="R191" s="33"/>
      <c r="S191" s="33"/>
      <c r="T191" s="33"/>
      <c r="U191" s="33"/>
      <c r="V191" s="33"/>
      <c r="W191" s="33"/>
    </row>
    <row r="192" customFormat="false" ht="15" hidden="false" customHeight="false" outlineLevel="0" collapsed="false">
      <c r="A192" s="33"/>
      <c r="B192" s="33"/>
      <c r="C192" s="33"/>
      <c r="D192" s="33"/>
      <c r="E192" s="33"/>
      <c r="F192" s="33"/>
      <c r="G192" s="33"/>
      <c r="H192" s="33"/>
      <c r="I192" s="33"/>
      <c r="J192" s="33"/>
      <c r="K192" s="33"/>
      <c r="L192" s="34"/>
      <c r="M192" s="34"/>
      <c r="N192" s="34"/>
      <c r="O192" s="34"/>
      <c r="P192" s="33"/>
      <c r="Q192" s="35"/>
      <c r="R192" s="33"/>
      <c r="S192" s="33"/>
      <c r="T192" s="33"/>
      <c r="U192" s="33"/>
      <c r="V192" s="33"/>
      <c r="W192" s="33"/>
    </row>
    <row r="193" customFormat="false" ht="15" hidden="false" customHeight="false" outlineLevel="0" collapsed="false">
      <c r="A193" s="33"/>
      <c r="B193" s="33"/>
      <c r="C193" s="33"/>
      <c r="D193" s="33"/>
      <c r="E193" s="33"/>
      <c r="F193" s="33"/>
      <c r="G193" s="33"/>
      <c r="H193" s="33"/>
      <c r="I193" s="33"/>
      <c r="J193" s="33"/>
      <c r="K193" s="33"/>
      <c r="L193" s="34"/>
      <c r="M193" s="34"/>
      <c r="N193" s="34"/>
      <c r="O193" s="34"/>
      <c r="P193" s="33"/>
      <c r="Q193" s="35"/>
      <c r="R193" s="33"/>
      <c r="S193" s="33"/>
      <c r="T193" s="33"/>
      <c r="U193" s="33"/>
      <c r="V193" s="33"/>
      <c r="W193" s="33"/>
    </row>
    <row r="194" customFormat="false" ht="15" hidden="false" customHeight="false" outlineLevel="0" collapsed="false">
      <c r="A194" s="33"/>
      <c r="B194" s="33"/>
      <c r="C194" s="33"/>
      <c r="D194" s="33"/>
      <c r="E194" s="33"/>
      <c r="F194" s="33"/>
      <c r="G194" s="33"/>
      <c r="H194" s="33"/>
      <c r="I194" s="33"/>
      <c r="J194" s="33"/>
      <c r="K194" s="33"/>
      <c r="L194" s="34"/>
      <c r="M194" s="34"/>
      <c r="N194" s="34"/>
      <c r="O194" s="34"/>
      <c r="P194" s="33"/>
      <c r="Q194" s="35"/>
      <c r="R194" s="33"/>
      <c r="S194" s="33"/>
      <c r="T194" s="33"/>
      <c r="U194" s="33"/>
      <c r="V194" s="33"/>
      <c r="W194" s="33"/>
    </row>
    <row r="195" customFormat="false" ht="15" hidden="false" customHeight="false" outlineLevel="0" collapsed="false">
      <c r="A195" s="33"/>
      <c r="B195" s="33"/>
      <c r="C195" s="33"/>
      <c r="D195" s="33"/>
      <c r="E195" s="33"/>
      <c r="F195" s="33"/>
      <c r="G195" s="33"/>
      <c r="H195" s="33"/>
      <c r="I195" s="33"/>
      <c r="J195" s="33"/>
      <c r="K195" s="33"/>
      <c r="L195" s="34"/>
      <c r="M195" s="34"/>
      <c r="N195" s="34"/>
      <c r="O195" s="34"/>
      <c r="P195" s="33"/>
      <c r="Q195" s="35"/>
      <c r="R195" s="33"/>
      <c r="S195" s="33"/>
      <c r="T195" s="33"/>
      <c r="U195" s="33"/>
      <c r="V195" s="33"/>
      <c r="W195" s="33"/>
    </row>
    <row r="196" customFormat="false" ht="15" hidden="false" customHeight="false" outlineLevel="0" collapsed="false">
      <c r="A196" s="33"/>
      <c r="B196" s="33"/>
      <c r="C196" s="33"/>
      <c r="D196" s="33"/>
      <c r="E196" s="33"/>
      <c r="F196" s="33"/>
      <c r="G196" s="33"/>
      <c r="H196" s="33"/>
      <c r="I196" s="33"/>
      <c r="J196" s="33"/>
      <c r="K196" s="33"/>
      <c r="L196" s="34"/>
      <c r="M196" s="34"/>
      <c r="N196" s="34"/>
      <c r="O196" s="34"/>
      <c r="P196" s="33"/>
      <c r="Q196" s="35"/>
      <c r="R196" s="33"/>
      <c r="S196" s="33"/>
      <c r="T196" s="33"/>
      <c r="U196" s="33"/>
      <c r="V196" s="33"/>
      <c r="W196" s="33"/>
    </row>
    <row r="197" customFormat="false" ht="15" hidden="false" customHeight="false" outlineLevel="0" collapsed="false">
      <c r="A197" s="33"/>
      <c r="B197" s="33"/>
      <c r="C197" s="33"/>
      <c r="D197" s="33"/>
      <c r="E197" s="33"/>
      <c r="F197" s="33"/>
      <c r="G197" s="33"/>
      <c r="H197" s="33"/>
      <c r="I197" s="33"/>
      <c r="J197" s="33"/>
      <c r="K197" s="33"/>
      <c r="L197" s="34"/>
      <c r="M197" s="34"/>
      <c r="N197" s="34"/>
      <c r="O197" s="34"/>
      <c r="P197" s="33"/>
      <c r="Q197" s="35"/>
      <c r="R197" s="33"/>
      <c r="S197" s="33"/>
      <c r="T197" s="33"/>
      <c r="U197" s="33"/>
      <c r="V197" s="33"/>
      <c r="W197" s="33"/>
    </row>
    <row r="198" customFormat="false" ht="15" hidden="false" customHeight="false" outlineLevel="0" collapsed="false">
      <c r="A198" s="33"/>
      <c r="B198" s="33"/>
      <c r="C198" s="33"/>
      <c r="D198" s="33"/>
      <c r="E198" s="33"/>
      <c r="F198" s="33"/>
      <c r="G198" s="33"/>
      <c r="H198" s="33"/>
      <c r="I198" s="33"/>
      <c r="J198" s="33"/>
      <c r="K198" s="33"/>
      <c r="L198" s="34"/>
      <c r="M198" s="34"/>
      <c r="N198" s="34"/>
      <c r="O198" s="34"/>
      <c r="P198" s="33"/>
      <c r="Q198" s="35"/>
      <c r="R198" s="33"/>
      <c r="S198" s="33"/>
      <c r="T198" s="33"/>
      <c r="U198" s="33"/>
      <c r="V198" s="33"/>
      <c r="W198" s="33"/>
    </row>
    <row r="199" customFormat="false" ht="15" hidden="false" customHeight="false" outlineLevel="0" collapsed="false">
      <c r="A199" s="33"/>
      <c r="B199" s="33"/>
      <c r="C199" s="33"/>
      <c r="D199" s="33"/>
      <c r="E199" s="33"/>
      <c r="F199" s="33"/>
      <c r="G199" s="33"/>
      <c r="H199" s="33"/>
      <c r="I199" s="33"/>
      <c r="J199" s="33"/>
      <c r="K199" s="33"/>
      <c r="L199" s="34"/>
      <c r="M199" s="34"/>
      <c r="N199" s="34"/>
      <c r="O199" s="34"/>
      <c r="P199" s="33"/>
      <c r="Q199" s="35"/>
      <c r="R199" s="33"/>
      <c r="S199" s="33"/>
      <c r="T199" s="33"/>
      <c r="U199" s="33"/>
      <c r="V199" s="33"/>
      <c r="W199" s="33"/>
    </row>
    <row r="200" customFormat="false" ht="15" hidden="false" customHeight="false" outlineLevel="0" collapsed="false">
      <c r="A200" s="33"/>
      <c r="B200" s="33"/>
      <c r="C200" s="33"/>
      <c r="D200" s="33"/>
      <c r="E200" s="33"/>
      <c r="F200" s="33"/>
      <c r="G200" s="33"/>
      <c r="H200" s="33"/>
      <c r="I200" s="33"/>
      <c r="J200" s="33"/>
      <c r="K200" s="33"/>
      <c r="L200" s="34"/>
      <c r="M200" s="34"/>
      <c r="N200" s="34"/>
      <c r="O200" s="34"/>
      <c r="P200" s="33"/>
      <c r="Q200" s="35"/>
      <c r="R200" s="33"/>
      <c r="S200" s="33"/>
      <c r="T200" s="33"/>
      <c r="U200" s="33"/>
      <c r="V200" s="33"/>
      <c r="W200" s="33"/>
    </row>
    <row r="201" customFormat="false" ht="15" hidden="false" customHeight="false" outlineLevel="0" collapsed="false">
      <c r="A201" s="33"/>
      <c r="B201" s="33"/>
      <c r="C201" s="33"/>
      <c r="D201" s="33"/>
      <c r="E201" s="33"/>
      <c r="F201" s="33"/>
      <c r="G201" s="33"/>
      <c r="H201" s="33"/>
      <c r="I201" s="33"/>
      <c r="J201" s="33"/>
      <c r="K201" s="33"/>
      <c r="L201" s="34"/>
      <c r="M201" s="34"/>
      <c r="N201" s="34"/>
      <c r="O201" s="34"/>
      <c r="P201" s="33"/>
      <c r="Q201" s="35"/>
      <c r="R201" s="33"/>
      <c r="S201" s="33"/>
      <c r="T201" s="33"/>
      <c r="U201" s="33"/>
      <c r="V201" s="33"/>
      <c r="W201" s="33"/>
    </row>
    <row r="202" customFormat="false" ht="15" hidden="false" customHeight="false" outlineLevel="0" collapsed="false">
      <c r="A202" s="33"/>
      <c r="B202" s="33"/>
      <c r="C202" s="33"/>
      <c r="D202" s="33"/>
      <c r="E202" s="33"/>
      <c r="F202" s="33"/>
      <c r="G202" s="33"/>
      <c r="H202" s="33"/>
      <c r="I202" s="33"/>
      <c r="J202" s="33"/>
      <c r="K202" s="33"/>
      <c r="L202" s="34"/>
      <c r="M202" s="34"/>
      <c r="N202" s="34"/>
      <c r="O202" s="34"/>
      <c r="P202" s="33"/>
      <c r="Q202" s="35"/>
      <c r="R202" s="33"/>
      <c r="S202" s="33"/>
      <c r="T202" s="33"/>
      <c r="U202" s="33"/>
      <c r="V202" s="33"/>
      <c r="W202" s="33"/>
    </row>
    <row r="203" customFormat="false" ht="15" hidden="false" customHeight="false" outlineLevel="0" collapsed="false">
      <c r="A203" s="33"/>
      <c r="B203" s="33"/>
      <c r="C203" s="33"/>
      <c r="D203" s="33"/>
      <c r="E203" s="33"/>
      <c r="F203" s="33"/>
      <c r="G203" s="33"/>
      <c r="H203" s="33"/>
      <c r="I203" s="33"/>
      <c r="J203" s="33"/>
      <c r="K203" s="33"/>
      <c r="L203" s="34"/>
      <c r="M203" s="34"/>
      <c r="N203" s="34"/>
      <c r="O203" s="34"/>
      <c r="P203" s="33"/>
      <c r="Q203" s="35"/>
      <c r="R203" s="33"/>
      <c r="S203" s="33"/>
      <c r="T203" s="33"/>
      <c r="U203" s="33"/>
      <c r="V203" s="33"/>
      <c r="W203" s="33"/>
    </row>
    <row r="204" customFormat="false" ht="15" hidden="false" customHeight="false" outlineLevel="0" collapsed="false">
      <c r="A204" s="33"/>
      <c r="B204" s="33"/>
      <c r="C204" s="33"/>
      <c r="D204" s="33"/>
      <c r="E204" s="33"/>
      <c r="F204" s="33"/>
      <c r="G204" s="33"/>
      <c r="H204" s="33"/>
      <c r="I204" s="33"/>
      <c r="J204" s="33"/>
      <c r="K204" s="33"/>
      <c r="L204" s="34"/>
      <c r="M204" s="34"/>
      <c r="N204" s="34"/>
      <c r="O204" s="34"/>
      <c r="P204" s="33"/>
      <c r="Q204" s="35"/>
      <c r="R204" s="33"/>
      <c r="S204" s="33"/>
      <c r="T204" s="33"/>
      <c r="U204" s="33"/>
      <c r="V204" s="33"/>
      <c r="W204" s="33"/>
    </row>
    <row r="205" customFormat="false" ht="15" hidden="false" customHeight="false" outlineLevel="0" collapsed="false">
      <c r="A205" s="33"/>
      <c r="B205" s="33"/>
      <c r="C205" s="33"/>
      <c r="D205" s="33"/>
      <c r="E205" s="33"/>
      <c r="F205" s="33"/>
      <c r="G205" s="33"/>
      <c r="H205" s="33"/>
      <c r="I205" s="33"/>
      <c r="J205" s="33"/>
      <c r="K205" s="33"/>
      <c r="L205" s="34"/>
      <c r="M205" s="34"/>
      <c r="N205" s="34"/>
      <c r="O205" s="34"/>
      <c r="P205" s="33"/>
      <c r="Q205" s="35"/>
      <c r="R205" s="33"/>
      <c r="S205" s="33"/>
      <c r="T205" s="33"/>
      <c r="U205" s="33"/>
      <c r="V205" s="33"/>
      <c r="W205" s="33"/>
    </row>
    <row r="206" customFormat="false" ht="15" hidden="false" customHeight="false" outlineLevel="0" collapsed="false">
      <c r="A206" s="33"/>
      <c r="B206" s="33"/>
      <c r="C206" s="33"/>
      <c r="D206" s="33"/>
      <c r="E206" s="33"/>
      <c r="F206" s="33"/>
      <c r="G206" s="33"/>
      <c r="H206" s="33"/>
      <c r="I206" s="33"/>
      <c r="J206" s="33"/>
      <c r="K206" s="33"/>
      <c r="L206" s="34"/>
      <c r="M206" s="34"/>
      <c r="N206" s="34"/>
      <c r="O206" s="34"/>
      <c r="P206" s="33"/>
      <c r="Q206" s="35"/>
      <c r="R206" s="33"/>
      <c r="S206" s="33"/>
      <c r="T206" s="33"/>
      <c r="U206" s="33"/>
      <c r="V206" s="33"/>
      <c r="W206" s="33"/>
    </row>
    <row r="207" customFormat="false" ht="15" hidden="false" customHeight="false" outlineLevel="0" collapsed="false">
      <c r="A207" s="33"/>
      <c r="B207" s="33"/>
      <c r="C207" s="33"/>
      <c r="D207" s="33"/>
      <c r="E207" s="33"/>
      <c r="F207" s="33"/>
      <c r="G207" s="33"/>
      <c r="H207" s="33"/>
      <c r="I207" s="33"/>
      <c r="J207" s="33"/>
      <c r="K207" s="33"/>
      <c r="L207" s="34"/>
      <c r="M207" s="34"/>
      <c r="N207" s="34"/>
      <c r="O207" s="34"/>
      <c r="P207" s="33"/>
      <c r="Q207" s="35"/>
      <c r="R207" s="33"/>
      <c r="S207" s="33"/>
      <c r="T207" s="33"/>
      <c r="U207" s="33"/>
      <c r="V207" s="33"/>
      <c r="W207" s="33"/>
    </row>
    <row r="208" customFormat="false" ht="15" hidden="false" customHeight="false" outlineLevel="0" collapsed="false">
      <c r="A208" s="33"/>
      <c r="B208" s="33"/>
      <c r="C208" s="33"/>
      <c r="D208" s="33"/>
      <c r="E208" s="33"/>
      <c r="F208" s="33"/>
      <c r="G208" s="33"/>
      <c r="H208" s="33"/>
      <c r="I208" s="33"/>
      <c r="J208" s="33"/>
      <c r="K208" s="33"/>
      <c r="L208" s="34"/>
      <c r="M208" s="34"/>
      <c r="N208" s="34"/>
      <c r="O208" s="34"/>
      <c r="P208" s="33"/>
      <c r="Q208" s="35"/>
      <c r="R208" s="33"/>
      <c r="S208" s="33"/>
      <c r="T208" s="33"/>
      <c r="U208" s="33"/>
      <c r="V208" s="33"/>
      <c r="W208" s="33"/>
    </row>
    <row r="209" customFormat="false" ht="15" hidden="false" customHeight="false" outlineLevel="0" collapsed="false">
      <c r="A209" s="33"/>
      <c r="B209" s="33"/>
      <c r="C209" s="33"/>
      <c r="D209" s="33"/>
      <c r="E209" s="33"/>
      <c r="F209" s="33"/>
      <c r="G209" s="33"/>
      <c r="H209" s="33"/>
      <c r="I209" s="33"/>
      <c r="J209" s="33"/>
      <c r="K209" s="33"/>
      <c r="L209" s="34"/>
      <c r="M209" s="34"/>
      <c r="N209" s="34"/>
      <c r="O209" s="34"/>
      <c r="P209" s="33"/>
      <c r="Q209" s="35"/>
      <c r="R209" s="33"/>
      <c r="S209" s="33"/>
      <c r="T209" s="33"/>
      <c r="U209" s="33"/>
      <c r="V209" s="33"/>
      <c r="W209" s="33"/>
    </row>
    <row r="210" customFormat="false" ht="15" hidden="false" customHeight="false" outlineLevel="0" collapsed="false">
      <c r="A210" s="33"/>
      <c r="B210" s="33"/>
      <c r="C210" s="33"/>
      <c r="D210" s="33"/>
      <c r="E210" s="33"/>
      <c r="F210" s="33"/>
      <c r="G210" s="33"/>
      <c r="H210" s="33"/>
      <c r="I210" s="33"/>
      <c r="J210" s="33"/>
      <c r="K210" s="33"/>
      <c r="L210" s="34"/>
      <c r="M210" s="34"/>
      <c r="N210" s="34"/>
      <c r="O210" s="34"/>
      <c r="P210" s="33"/>
      <c r="Q210" s="35"/>
      <c r="R210" s="33"/>
      <c r="S210" s="33"/>
      <c r="T210" s="33"/>
      <c r="U210" s="33"/>
      <c r="V210" s="33"/>
      <c r="W210" s="33"/>
    </row>
    <row r="211" customFormat="false" ht="15" hidden="false" customHeight="false" outlineLevel="0" collapsed="false">
      <c r="A211" s="33"/>
      <c r="B211" s="33"/>
      <c r="C211" s="33"/>
      <c r="D211" s="33"/>
      <c r="E211" s="33"/>
      <c r="F211" s="33"/>
      <c r="G211" s="33"/>
      <c r="H211" s="33"/>
      <c r="I211" s="33"/>
      <c r="J211" s="33"/>
      <c r="K211" s="33"/>
      <c r="L211" s="34"/>
      <c r="M211" s="34"/>
      <c r="N211" s="34"/>
      <c r="O211" s="34"/>
      <c r="P211" s="33"/>
      <c r="Q211" s="35"/>
      <c r="R211" s="33"/>
      <c r="S211" s="33"/>
      <c r="T211" s="33"/>
      <c r="U211" s="33"/>
      <c r="V211" s="33"/>
      <c r="W211" s="33"/>
    </row>
    <row r="212" customFormat="false" ht="15" hidden="false" customHeight="false" outlineLevel="0" collapsed="false">
      <c r="A212" s="33"/>
      <c r="B212" s="33"/>
      <c r="C212" s="33"/>
      <c r="D212" s="33"/>
      <c r="E212" s="33"/>
      <c r="F212" s="33"/>
      <c r="G212" s="33"/>
      <c r="H212" s="33"/>
      <c r="I212" s="33"/>
      <c r="J212" s="33"/>
      <c r="K212" s="33"/>
      <c r="L212" s="34"/>
      <c r="M212" s="34"/>
      <c r="N212" s="34"/>
      <c r="O212" s="34"/>
      <c r="P212" s="33"/>
      <c r="Q212" s="35"/>
      <c r="R212" s="33"/>
      <c r="S212" s="33"/>
      <c r="T212" s="33"/>
      <c r="U212" s="33"/>
      <c r="V212" s="33"/>
      <c r="W212" s="33"/>
    </row>
    <row r="213" customFormat="false" ht="15" hidden="false" customHeight="false" outlineLevel="0" collapsed="false">
      <c r="A213" s="33"/>
      <c r="B213" s="33"/>
      <c r="C213" s="33"/>
      <c r="D213" s="33"/>
      <c r="E213" s="33"/>
      <c r="F213" s="33"/>
      <c r="G213" s="33"/>
      <c r="H213" s="33"/>
      <c r="I213" s="33"/>
      <c r="J213" s="33"/>
      <c r="K213" s="33"/>
      <c r="L213" s="34"/>
      <c r="M213" s="34"/>
      <c r="N213" s="34"/>
      <c r="O213" s="34"/>
      <c r="P213" s="33"/>
      <c r="Q213" s="35"/>
      <c r="R213" s="33"/>
      <c r="S213" s="33"/>
      <c r="T213" s="33"/>
      <c r="U213" s="33"/>
      <c r="V213" s="33"/>
      <c r="W213" s="33"/>
    </row>
    <row r="214" customFormat="false" ht="15" hidden="false" customHeight="false" outlineLevel="0" collapsed="false">
      <c r="A214" s="33"/>
      <c r="B214" s="33"/>
      <c r="C214" s="33"/>
      <c r="D214" s="33"/>
      <c r="E214" s="33"/>
      <c r="F214" s="33"/>
      <c r="G214" s="33"/>
      <c r="H214" s="33"/>
      <c r="I214" s="33"/>
      <c r="J214" s="33"/>
      <c r="K214" s="33"/>
      <c r="L214" s="34"/>
      <c r="M214" s="34"/>
      <c r="N214" s="34"/>
      <c r="O214" s="34"/>
      <c r="P214" s="33"/>
      <c r="Q214" s="35"/>
      <c r="R214" s="33"/>
      <c r="S214" s="33"/>
      <c r="T214" s="33"/>
      <c r="U214" s="33"/>
      <c r="V214" s="33"/>
      <c r="W214" s="33"/>
    </row>
    <row r="215" customFormat="false" ht="15" hidden="false" customHeight="false" outlineLevel="0" collapsed="false">
      <c r="A215" s="33"/>
      <c r="B215" s="33"/>
      <c r="C215" s="33"/>
      <c r="D215" s="33"/>
      <c r="E215" s="33"/>
      <c r="F215" s="33"/>
      <c r="G215" s="33"/>
      <c r="H215" s="33"/>
      <c r="I215" s="33"/>
      <c r="J215" s="33"/>
      <c r="K215" s="33"/>
      <c r="L215" s="34"/>
      <c r="M215" s="34"/>
      <c r="N215" s="34"/>
      <c r="O215" s="34"/>
      <c r="P215" s="33"/>
      <c r="Q215" s="35"/>
      <c r="R215" s="33"/>
      <c r="S215" s="33"/>
      <c r="T215" s="33"/>
      <c r="U215" s="33"/>
      <c r="V215" s="33"/>
      <c r="W215" s="33"/>
    </row>
    <row r="216" customFormat="false" ht="15" hidden="false" customHeight="false" outlineLevel="0" collapsed="false">
      <c r="A216" s="33"/>
      <c r="B216" s="33"/>
      <c r="C216" s="33"/>
      <c r="D216" s="33"/>
      <c r="E216" s="33"/>
      <c r="F216" s="33"/>
      <c r="G216" s="33"/>
      <c r="H216" s="33"/>
      <c r="I216" s="33"/>
      <c r="J216" s="33"/>
      <c r="K216" s="33"/>
      <c r="L216" s="34"/>
      <c r="M216" s="34"/>
      <c r="N216" s="34"/>
      <c r="O216" s="34"/>
      <c r="P216" s="33"/>
      <c r="Q216" s="35"/>
      <c r="R216" s="33"/>
      <c r="S216" s="33"/>
      <c r="T216" s="33"/>
      <c r="U216" s="33"/>
      <c r="V216" s="33"/>
      <c r="W216" s="33"/>
    </row>
    <row r="217" customFormat="false" ht="15" hidden="false" customHeight="false" outlineLevel="0" collapsed="false">
      <c r="A217" s="33"/>
      <c r="B217" s="33"/>
      <c r="C217" s="33"/>
      <c r="D217" s="33"/>
      <c r="E217" s="33"/>
      <c r="F217" s="33"/>
      <c r="G217" s="33"/>
      <c r="H217" s="33"/>
      <c r="I217" s="33"/>
      <c r="J217" s="33"/>
      <c r="K217" s="33"/>
      <c r="L217" s="34"/>
      <c r="M217" s="34"/>
      <c r="N217" s="34"/>
      <c r="O217" s="34"/>
      <c r="P217" s="33"/>
      <c r="Q217" s="35"/>
      <c r="R217" s="33"/>
      <c r="S217" s="33"/>
      <c r="T217" s="33"/>
      <c r="U217" s="33"/>
      <c r="V217" s="33"/>
      <c r="W217" s="33"/>
    </row>
    <row r="218" customFormat="false" ht="15" hidden="false" customHeight="false" outlineLevel="0" collapsed="false">
      <c r="A218" s="33"/>
      <c r="B218" s="33"/>
      <c r="C218" s="33"/>
      <c r="D218" s="33"/>
      <c r="E218" s="33"/>
      <c r="F218" s="33"/>
      <c r="G218" s="33"/>
      <c r="H218" s="33"/>
      <c r="I218" s="33"/>
      <c r="J218" s="33"/>
      <c r="K218" s="33"/>
      <c r="L218" s="34"/>
      <c r="M218" s="34"/>
      <c r="N218" s="34"/>
      <c r="O218" s="34"/>
      <c r="P218" s="33"/>
      <c r="Q218" s="35"/>
      <c r="R218" s="33"/>
      <c r="S218" s="33"/>
      <c r="T218" s="33"/>
      <c r="U218" s="33"/>
      <c r="V218" s="33"/>
      <c r="W218" s="33"/>
    </row>
    <row r="219" customFormat="false" ht="15" hidden="false" customHeight="false" outlineLevel="0" collapsed="false">
      <c r="A219" s="33"/>
      <c r="B219" s="33"/>
      <c r="C219" s="33"/>
      <c r="D219" s="33"/>
      <c r="E219" s="33"/>
      <c r="F219" s="33"/>
      <c r="G219" s="33"/>
      <c r="H219" s="33"/>
      <c r="I219" s="33"/>
      <c r="J219" s="33"/>
      <c r="K219" s="33"/>
      <c r="L219" s="34"/>
      <c r="M219" s="34"/>
      <c r="N219" s="34"/>
      <c r="O219" s="34"/>
      <c r="P219" s="33"/>
      <c r="Q219" s="35"/>
      <c r="R219" s="33"/>
      <c r="S219" s="33"/>
      <c r="T219" s="33"/>
      <c r="U219" s="33"/>
      <c r="V219" s="33"/>
      <c r="W219" s="33"/>
    </row>
    <row r="220" customFormat="false" ht="15" hidden="false" customHeight="false" outlineLevel="0" collapsed="false">
      <c r="A220" s="33"/>
      <c r="B220" s="33"/>
      <c r="C220" s="33"/>
      <c r="D220" s="33"/>
      <c r="E220" s="33"/>
      <c r="F220" s="33"/>
      <c r="G220" s="33"/>
      <c r="H220" s="33"/>
      <c r="I220" s="33"/>
      <c r="J220" s="33"/>
      <c r="K220" s="33"/>
      <c r="L220" s="34"/>
      <c r="M220" s="34"/>
      <c r="N220" s="34"/>
      <c r="O220" s="34"/>
      <c r="P220" s="33"/>
      <c r="Q220" s="35"/>
      <c r="R220" s="33"/>
      <c r="S220" s="33"/>
      <c r="T220" s="33"/>
      <c r="U220" s="33"/>
      <c r="V220" s="33"/>
      <c r="W220" s="33"/>
    </row>
    <row r="221" customFormat="false" ht="15" hidden="false" customHeight="false" outlineLevel="0" collapsed="false">
      <c r="A221" s="33"/>
      <c r="B221" s="33"/>
      <c r="C221" s="33"/>
      <c r="D221" s="33"/>
      <c r="E221" s="33"/>
      <c r="F221" s="33"/>
      <c r="G221" s="33"/>
      <c r="H221" s="33"/>
      <c r="I221" s="33"/>
      <c r="J221" s="33"/>
      <c r="K221" s="33"/>
      <c r="L221" s="34"/>
      <c r="M221" s="34"/>
      <c r="N221" s="34"/>
      <c r="O221" s="34"/>
      <c r="P221" s="33"/>
      <c r="Q221" s="35"/>
      <c r="R221" s="33"/>
      <c r="S221" s="33"/>
      <c r="T221" s="33"/>
      <c r="U221" s="33"/>
      <c r="V221" s="33"/>
      <c r="W221" s="33"/>
    </row>
    <row r="222" customFormat="false" ht="15" hidden="false" customHeight="false" outlineLevel="0" collapsed="false">
      <c r="A222" s="33"/>
      <c r="B222" s="33"/>
      <c r="C222" s="33"/>
      <c r="D222" s="33"/>
      <c r="E222" s="33"/>
      <c r="F222" s="33"/>
      <c r="G222" s="33"/>
      <c r="H222" s="33"/>
      <c r="I222" s="33"/>
      <c r="J222" s="33"/>
      <c r="K222" s="33"/>
      <c r="L222" s="34"/>
      <c r="M222" s="34"/>
      <c r="N222" s="34"/>
      <c r="O222" s="34"/>
      <c r="P222" s="33"/>
      <c r="Q222" s="35"/>
      <c r="R222" s="33"/>
      <c r="S222" s="33"/>
      <c r="T222" s="33"/>
      <c r="U222" s="33"/>
      <c r="V222" s="33"/>
      <c r="W222" s="33"/>
    </row>
    <row r="223" customFormat="false" ht="15" hidden="false" customHeight="false" outlineLevel="0" collapsed="false">
      <c r="A223" s="33"/>
      <c r="B223" s="33"/>
      <c r="C223" s="33"/>
      <c r="D223" s="33"/>
      <c r="E223" s="33"/>
      <c r="F223" s="33"/>
      <c r="G223" s="33"/>
      <c r="H223" s="33"/>
      <c r="I223" s="33"/>
      <c r="J223" s="33"/>
      <c r="K223" s="33"/>
      <c r="L223" s="34"/>
      <c r="M223" s="34"/>
      <c r="N223" s="34"/>
      <c r="O223" s="34"/>
      <c r="P223" s="33"/>
      <c r="Q223" s="35"/>
      <c r="R223" s="33"/>
      <c r="S223" s="33"/>
      <c r="T223" s="33"/>
      <c r="U223" s="33"/>
      <c r="V223" s="33"/>
      <c r="W223" s="33"/>
    </row>
    <row r="224" customFormat="false" ht="15" hidden="false" customHeight="false" outlineLevel="0" collapsed="false">
      <c r="A224" s="33"/>
      <c r="B224" s="33"/>
      <c r="C224" s="33"/>
      <c r="D224" s="33"/>
      <c r="E224" s="33"/>
      <c r="F224" s="33"/>
      <c r="G224" s="33"/>
      <c r="H224" s="33"/>
      <c r="I224" s="33"/>
      <c r="J224" s="33"/>
      <c r="K224" s="33"/>
      <c r="L224" s="34"/>
      <c r="M224" s="34"/>
      <c r="N224" s="34"/>
      <c r="O224" s="34"/>
      <c r="P224" s="33"/>
      <c r="Q224" s="35"/>
      <c r="R224" s="33"/>
      <c r="S224" s="33"/>
      <c r="T224" s="33"/>
      <c r="U224" s="33"/>
      <c r="V224" s="33"/>
      <c r="W224" s="33"/>
    </row>
    <row r="225" customFormat="false" ht="15" hidden="false" customHeight="false" outlineLevel="0" collapsed="false">
      <c r="A225" s="33"/>
      <c r="B225" s="33"/>
      <c r="C225" s="33"/>
      <c r="D225" s="33"/>
      <c r="E225" s="33"/>
      <c r="F225" s="33"/>
      <c r="G225" s="33"/>
      <c r="H225" s="33"/>
      <c r="I225" s="33"/>
      <c r="J225" s="33"/>
      <c r="K225" s="33"/>
      <c r="L225" s="34"/>
      <c r="M225" s="34"/>
      <c r="N225" s="34"/>
      <c r="O225" s="34"/>
      <c r="P225" s="33"/>
      <c r="Q225" s="35"/>
      <c r="R225" s="33"/>
      <c r="S225" s="33"/>
      <c r="T225" s="33"/>
      <c r="U225" s="33"/>
      <c r="V225" s="33"/>
      <c r="W225" s="33"/>
    </row>
    <row r="226" customFormat="false" ht="15" hidden="false" customHeight="false" outlineLevel="0" collapsed="false">
      <c r="A226" s="33"/>
      <c r="B226" s="33"/>
      <c r="C226" s="33"/>
      <c r="D226" s="33"/>
      <c r="E226" s="33"/>
      <c r="F226" s="33"/>
      <c r="G226" s="33"/>
      <c r="H226" s="33"/>
      <c r="I226" s="33"/>
      <c r="J226" s="33"/>
      <c r="K226" s="33"/>
      <c r="L226" s="34"/>
      <c r="M226" s="34"/>
      <c r="N226" s="34"/>
      <c r="O226" s="34"/>
      <c r="P226" s="33"/>
      <c r="Q226" s="35"/>
      <c r="R226" s="33"/>
      <c r="S226" s="33"/>
      <c r="T226" s="33"/>
      <c r="U226" s="33"/>
      <c r="V226" s="33"/>
      <c r="W226" s="33"/>
    </row>
    <row r="227" customFormat="false" ht="15" hidden="false" customHeight="false" outlineLevel="0" collapsed="false">
      <c r="A227" s="33"/>
      <c r="B227" s="33"/>
      <c r="C227" s="33"/>
      <c r="D227" s="33"/>
      <c r="E227" s="33"/>
      <c r="F227" s="33"/>
      <c r="G227" s="33"/>
      <c r="H227" s="33"/>
      <c r="I227" s="33"/>
      <c r="J227" s="33"/>
      <c r="K227" s="33"/>
      <c r="L227" s="34"/>
      <c r="M227" s="34"/>
      <c r="N227" s="34"/>
      <c r="O227" s="34"/>
      <c r="P227" s="33"/>
      <c r="Q227" s="35"/>
      <c r="R227" s="33"/>
      <c r="S227" s="33"/>
      <c r="T227" s="33"/>
      <c r="U227" s="33"/>
      <c r="V227" s="33"/>
      <c r="W227" s="33"/>
    </row>
    <row r="228" customFormat="false" ht="15" hidden="false" customHeight="false" outlineLevel="0" collapsed="false">
      <c r="A228" s="33"/>
      <c r="B228" s="33"/>
      <c r="C228" s="33"/>
      <c r="D228" s="33"/>
      <c r="E228" s="33"/>
      <c r="F228" s="33"/>
      <c r="G228" s="33"/>
      <c r="H228" s="33"/>
      <c r="I228" s="33"/>
      <c r="J228" s="33"/>
      <c r="K228" s="33"/>
      <c r="L228" s="34"/>
      <c r="M228" s="34"/>
      <c r="N228" s="34"/>
      <c r="O228" s="34"/>
      <c r="P228" s="33"/>
      <c r="Q228" s="35"/>
      <c r="R228" s="33"/>
      <c r="S228" s="33"/>
      <c r="T228" s="33"/>
      <c r="U228" s="33"/>
      <c r="V228" s="33"/>
      <c r="W228" s="33"/>
    </row>
    <row r="229" customFormat="false" ht="15" hidden="false" customHeight="false" outlineLevel="0" collapsed="false">
      <c r="A229" s="33"/>
      <c r="B229" s="33"/>
      <c r="C229" s="33"/>
      <c r="D229" s="33"/>
      <c r="E229" s="33"/>
      <c r="F229" s="33"/>
      <c r="G229" s="33"/>
      <c r="H229" s="33"/>
      <c r="I229" s="33"/>
      <c r="J229" s="33"/>
      <c r="K229" s="33"/>
      <c r="L229" s="34"/>
      <c r="M229" s="34"/>
      <c r="N229" s="34"/>
      <c r="O229" s="34"/>
      <c r="P229" s="33"/>
      <c r="Q229" s="35"/>
      <c r="R229" s="33"/>
      <c r="S229" s="33"/>
      <c r="T229" s="33"/>
      <c r="U229" s="33"/>
      <c r="V229" s="33"/>
      <c r="W229" s="33"/>
    </row>
    <row r="230" customFormat="false" ht="15" hidden="false" customHeight="false" outlineLevel="0" collapsed="false">
      <c r="A230" s="33"/>
      <c r="B230" s="33"/>
      <c r="C230" s="33"/>
      <c r="D230" s="33"/>
      <c r="E230" s="33"/>
      <c r="F230" s="33"/>
      <c r="G230" s="33"/>
      <c r="H230" s="33"/>
      <c r="I230" s="33"/>
      <c r="J230" s="33"/>
      <c r="K230" s="33"/>
      <c r="L230" s="34"/>
      <c r="M230" s="34"/>
      <c r="N230" s="34"/>
      <c r="O230" s="34"/>
      <c r="P230" s="33"/>
      <c r="Q230" s="35"/>
      <c r="R230" s="33"/>
      <c r="S230" s="33"/>
      <c r="T230" s="33"/>
      <c r="U230" s="33"/>
      <c r="V230" s="33"/>
      <c r="W230" s="33"/>
    </row>
    <row r="231" customFormat="false" ht="15" hidden="false" customHeight="false" outlineLevel="0" collapsed="false">
      <c r="A231" s="33"/>
      <c r="B231" s="33"/>
      <c r="C231" s="33"/>
      <c r="D231" s="33"/>
      <c r="E231" s="33"/>
      <c r="F231" s="33"/>
      <c r="G231" s="33"/>
      <c r="H231" s="33"/>
      <c r="I231" s="33"/>
      <c r="J231" s="33"/>
      <c r="K231" s="33"/>
      <c r="L231" s="34"/>
      <c r="M231" s="34"/>
      <c r="N231" s="34"/>
      <c r="O231" s="34"/>
      <c r="P231" s="33"/>
      <c r="Q231" s="35"/>
      <c r="R231" s="33"/>
      <c r="S231" s="33"/>
      <c r="T231" s="33"/>
      <c r="U231" s="33"/>
      <c r="V231" s="33"/>
      <c r="W231" s="33"/>
    </row>
    <row r="232" customFormat="false" ht="15" hidden="false" customHeight="false" outlineLevel="0" collapsed="false">
      <c r="A232" s="33"/>
      <c r="B232" s="33"/>
      <c r="C232" s="33"/>
      <c r="D232" s="33"/>
      <c r="E232" s="33"/>
      <c r="F232" s="33"/>
      <c r="G232" s="33"/>
      <c r="H232" s="33"/>
      <c r="I232" s="33"/>
      <c r="J232" s="33"/>
      <c r="K232" s="33"/>
      <c r="L232" s="34"/>
      <c r="M232" s="34"/>
      <c r="N232" s="34"/>
      <c r="O232" s="34"/>
      <c r="P232" s="33"/>
      <c r="Q232" s="35"/>
      <c r="R232" s="33"/>
      <c r="S232" s="33"/>
      <c r="T232" s="33"/>
      <c r="U232" s="33"/>
      <c r="V232" s="33"/>
      <c r="W232" s="33"/>
    </row>
    <row r="233" customFormat="false" ht="15" hidden="false" customHeight="false" outlineLevel="0" collapsed="false">
      <c r="A233" s="33"/>
      <c r="B233" s="33"/>
      <c r="C233" s="33"/>
      <c r="D233" s="33"/>
      <c r="E233" s="33"/>
      <c r="F233" s="33"/>
      <c r="G233" s="33"/>
      <c r="H233" s="33"/>
      <c r="I233" s="33"/>
      <c r="J233" s="33"/>
      <c r="K233" s="33"/>
      <c r="L233" s="34"/>
      <c r="M233" s="34"/>
      <c r="N233" s="34"/>
      <c r="O233" s="34"/>
      <c r="P233" s="33"/>
      <c r="Q233" s="35"/>
      <c r="R233" s="33"/>
      <c r="S233" s="33"/>
      <c r="T233" s="33"/>
      <c r="U233" s="33"/>
      <c r="V233" s="33"/>
      <c r="W233" s="33"/>
    </row>
    <row r="234" customFormat="false" ht="15" hidden="false" customHeight="false" outlineLevel="0" collapsed="false">
      <c r="A234" s="33"/>
      <c r="B234" s="33"/>
      <c r="C234" s="33"/>
      <c r="D234" s="33"/>
      <c r="E234" s="33"/>
      <c r="F234" s="33"/>
      <c r="G234" s="33"/>
      <c r="H234" s="33"/>
      <c r="I234" s="33"/>
      <c r="J234" s="33"/>
      <c r="K234" s="33"/>
      <c r="L234" s="34"/>
      <c r="M234" s="34"/>
      <c r="N234" s="34"/>
      <c r="O234" s="34"/>
      <c r="P234" s="33"/>
      <c r="Q234" s="35"/>
      <c r="R234" s="33"/>
      <c r="S234" s="33"/>
      <c r="T234" s="33"/>
      <c r="U234" s="33"/>
      <c r="V234" s="33"/>
      <c r="W234" s="33"/>
    </row>
    <row r="235" customFormat="false" ht="15" hidden="false" customHeight="false" outlineLevel="0" collapsed="false">
      <c r="A235" s="33"/>
      <c r="B235" s="33"/>
      <c r="C235" s="33"/>
      <c r="D235" s="33"/>
      <c r="E235" s="33"/>
      <c r="F235" s="33"/>
      <c r="G235" s="33"/>
      <c r="H235" s="33"/>
      <c r="I235" s="33"/>
      <c r="J235" s="33"/>
      <c r="K235" s="33"/>
      <c r="L235" s="34"/>
      <c r="M235" s="34"/>
      <c r="N235" s="34"/>
      <c r="O235" s="34"/>
      <c r="P235" s="33"/>
      <c r="Q235" s="35"/>
      <c r="R235" s="33"/>
      <c r="S235" s="33"/>
      <c r="T235" s="33"/>
      <c r="U235" s="33"/>
      <c r="V235" s="33"/>
      <c r="W235" s="33"/>
    </row>
    <row r="236" customFormat="false" ht="15" hidden="false" customHeight="false" outlineLevel="0" collapsed="false">
      <c r="A236" s="33"/>
      <c r="B236" s="33"/>
      <c r="C236" s="33"/>
      <c r="D236" s="33"/>
      <c r="E236" s="33"/>
      <c r="F236" s="33"/>
      <c r="G236" s="33"/>
      <c r="H236" s="33"/>
      <c r="I236" s="33"/>
      <c r="J236" s="33"/>
      <c r="K236" s="33"/>
      <c r="L236" s="34"/>
      <c r="M236" s="34"/>
      <c r="N236" s="34"/>
      <c r="O236" s="34"/>
      <c r="P236" s="33"/>
      <c r="Q236" s="35"/>
      <c r="R236" s="33"/>
      <c r="S236" s="33"/>
      <c r="T236" s="33"/>
      <c r="U236" s="33"/>
      <c r="V236" s="33"/>
      <c r="W236" s="33"/>
    </row>
    <row r="237" customFormat="false" ht="15" hidden="false" customHeight="false" outlineLevel="0" collapsed="false">
      <c r="A237" s="33"/>
      <c r="B237" s="33"/>
      <c r="C237" s="33"/>
      <c r="D237" s="33"/>
      <c r="E237" s="33"/>
      <c r="F237" s="33"/>
      <c r="G237" s="33"/>
      <c r="H237" s="33"/>
      <c r="I237" s="33"/>
      <c r="J237" s="33"/>
      <c r="K237" s="33"/>
      <c r="L237" s="34"/>
      <c r="M237" s="34"/>
      <c r="N237" s="34"/>
      <c r="O237" s="34"/>
      <c r="P237" s="33"/>
      <c r="Q237" s="35"/>
      <c r="R237" s="33"/>
      <c r="S237" s="33"/>
      <c r="T237" s="33"/>
      <c r="U237" s="33"/>
      <c r="V237" s="33"/>
      <c r="W237" s="33"/>
    </row>
    <row r="238" customFormat="false" ht="15" hidden="false" customHeight="false" outlineLevel="0" collapsed="false">
      <c r="A238" s="33"/>
      <c r="B238" s="33"/>
      <c r="C238" s="33"/>
      <c r="D238" s="33"/>
      <c r="E238" s="33"/>
      <c r="F238" s="33"/>
      <c r="G238" s="33"/>
      <c r="H238" s="33"/>
      <c r="I238" s="33"/>
      <c r="J238" s="33"/>
      <c r="K238" s="33"/>
      <c r="L238" s="34"/>
      <c r="M238" s="34"/>
      <c r="N238" s="34"/>
      <c r="O238" s="34"/>
      <c r="P238" s="33"/>
      <c r="Q238" s="35"/>
      <c r="R238" s="33"/>
      <c r="S238" s="33"/>
      <c r="T238" s="33"/>
      <c r="U238" s="33"/>
      <c r="V238" s="33"/>
      <c r="W238" s="33"/>
    </row>
    <row r="239" customFormat="false" ht="15" hidden="false" customHeight="false" outlineLevel="0" collapsed="false">
      <c r="A239" s="33"/>
      <c r="B239" s="33"/>
      <c r="C239" s="33"/>
      <c r="D239" s="33"/>
      <c r="E239" s="33"/>
      <c r="F239" s="33"/>
      <c r="G239" s="33"/>
      <c r="H239" s="33"/>
      <c r="I239" s="33"/>
      <c r="J239" s="33"/>
      <c r="K239" s="33"/>
      <c r="L239" s="34"/>
      <c r="M239" s="34"/>
      <c r="N239" s="34"/>
      <c r="O239" s="34"/>
      <c r="P239" s="33"/>
      <c r="Q239" s="35"/>
      <c r="R239" s="33"/>
      <c r="S239" s="33"/>
      <c r="T239" s="33"/>
      <c r="U239" s="33"/>
      <c r="V239" s="33"/>
      <c r="W239" s="33"/>
    </row>
    <row r="240" customFormat="false" ht="15" hidden="false" customHeight="false" outlineLevel="0" collapsed="false">
      <c r="A240" s="33"/>
      <c r="B240" s="33"/>
      <c r="C240" s="33"/>
      <c r="D240" s="33"/>
      <c r="E240" s="33"/>
      <c r="F240" s="33"/>
      <c r="G240" s="33"/>
      <c r="H240" s="33"/>
      <c r="I240" s="33"/>
      <c r="J240" s="33"/>
      <c r="K240" s="33"/>
      <c r="L240" s="34"/>
      <c r="M240" s="34"/>
      <c r="N240" s="34"/>
      <c r="O240" s="34"/>
      <c r="P240" s="33"/>
      <c r="Q240" s="35"/>
      <c r="R240" s="33"/>
      <c r="S240" s="33"/>
      <c r="T240" s="33"/>
      <c r="U240" s="33"/>
      <c r="V240" s="33"/>
      <c r="W240" s="33"/>
    </row>
    <row r="241" customFormat="false" ht="15" hidden="false" customHeight="false" outlineLevel="0" collapsed="false">
      <c r="A241" s="33"/>
      <c r="B241" s="33"/>
      <c r="C241" s="33"/>
      <c r="D241" s="33"/>
      <c r="E241" s="33"/>
      <c r="F241" s="33"/>
      <c r="G241" s="33"/>
      <c r="H241" s="33"/>
      <c r="I241" s="33"/>
      <c r="J241" s="33"/>
      <c r="K241" s="33"/>
      <c r="L241" s="34"/>
      <c r="M241" s="34"/>
      <c r="N241" s="34"/>
      <c r="O241" s="34"/>
      <c r="P241" s="33"/>
      <c r="Q241" s="35"/>
      <c r="R241" s="33"/>
      <c r="S241" s="33"/>
      <c r="T241" s="33"/>
      <c r="U241" s="33"/>
      <c r="V241" s="33"/>
      <c r="W241" s="33"/>
    </row>
    <row r="242" customFormat="false" ht="15" hidden="false" customHeight="false" outlineLevel="0" collapsed="false">
      <c r="A242" s="33"/>
      <c r="B242" s="33"/>
      <c r="C242" s="33"/>
      <c r="D242" s="33"/>
      <c r="E242" s="33"/>
      <c r="F242" s="33"/>
      <c r="G242" s="33"/>
      <c r="H242" s="33"/>
      <c r="I242" s="33"/>
      <c r="J242" s="33"/>
      <c r="K242" s="33"/>
      <c r="L242" s="34"/>
      <c r="M242" s="34"/>
      <c r="N242" s="34"/>
      <c r="O242" s="34"/>
      <c r="P242" s="33"/>
      <c r="Q242" s="35"/>
      <c r="R242" s="33"/>
      <c r="S242" s="33"/>
      <c r="T242" s="33"/>
      <c r="U242" s="33"/>
      <c r="V242" s="33"/>
      <c r="W242" s="33"/>
    </row>
    <row r="243" customFormat="false" ht="15" hidden="false" customHeight="false" outlineLevel="0" collapsed="false">
      <c r="A243" s="33"/>
      <c r="B243" s="33"/>
      <c r="C243" s="33"/>
      <c r="D243" s="33"/>
      <c r="E243" s="33"/>
      <c r="F243" s="33"/>
      <c r="G243" s="33"/>
      <c r="H243" s="33"/>
      <c r="I243" s="33"/>
      <c r="J243" s="33"/>
      <c r="K243" s="33"/>
      <c r="L243" s="34"/>
      <c r="M243" s="34"/>
      <c r="N243" s="34"/>
      <c r="O243" s="34"/>
      <c r="P243" s="33"/>
      <c r="Q243" s="35"/>
      <c r="R243" s="33"/>
      <c r="S243" s="33"/>
      <c r="T243" s="33"/>
      <c r="U243" s="33"/>
      <c r="V243" s="33"/>
      <c r="W243" s="33"/>
    </row>
    <row r="244" customFormat="false" ht="15" hidden="false" customHeight="false" outlineLevel="0" collapsed="false">
      <c r="A244" s="33"/>
      <c r="B244" s="33"/>
      <c r="C244" s="33"/>
      <c r="D244" s="33"/>
      <c r="E244" s="33"/>
      <c r="F244" s="33"/>
      <c r="G244" s="33"/>
      <c r="H244" s="33"/>
      <c r="I244" s="33"/>
      <c r="J244" s="33"/>
      <c r="K244" s="33"/>
      <c r="L244" s="34"/>
      <c r="M244" s="34"/>
      <c r="N244" s="34"/>
      <c r="O244" s="34"/>
      <c r="P244" s="33"/>
      <c r="Q244" s="35"/>
      <c r="R244" s="33"/>
      <c r="S244" s="33"/>
      <c r="T244" s="33"/>
      <c r="U244" s="33"/>
      <c r="V244" s="33"/>
      <c r="W244" s="33"/>
    </row>
    <row r="245" customFormat="false" ht="15" hidden="false" customHeight="false" outlineLevel="0" collapsed="false">
      <c r="A245" s="33"/>
      <c r="B245" s="33"/>
      <c r="C245" s="33"/>
      <c r="D245" s="33"/>
      <c r="E245" s="33"/>
      <c r="F245" s="33"/>
      <c r="G245" s="33"/>
      <c r="H245" s="33"/>
      <c r="I245" s="33"/>
      <c r="J245" s="33"/>
      <c r="K245" s="33"/>
      <c r="L245" s="34"/>
      <c r="M245" s="34"/>
      <c r="N245" s="34"/>
      <c r="O245" s="34"/>
      <c r="P245" s="33"/>
      <c r="Q245" s="35"/>
      <c r="R245" s="33"/>
      <c r="S245" s="33"/>
      <c r="T245" s="33"/>
      <c r="U245" s="33"/>
      <c r="V245" s="33"/>
      <c r="W245" s="33"/>
    </row>
    <row r="246" customFormat="false" ht="15" hidden="false" customHeight="false" outlineLevel="0" collapsed="false">
      <c r="A246" s="33"/>
      <c r="B246" s="33"/>
      <c r="C246" s="33"/>
      <c r="D246" s="33"/>
      <c r="E246" s="33"/>
      <c r="F246" s="33"/>
      <c r="G246" s="33"/>
      <c r="H246" s="33"/>
      <c r="I246" s="33"/>
      <c r="J246" s="33"/>
      <c r="K246" s="33"/>
      <c r="L246" s="34"/>
      <c r="M246" s="34"/>
      <c r="N246" s="34"/>
      <c r="O246" s="34"/>
      <c r="P246" s="33"/>
      <c r="Q246" s="35"/>
      <c r="R246" s="33"/>
      <c r="S246" s="33"/>
      <c r="T246" s="33"/>
      <c r="U246" s="33"/>
      <c r="V246" s="33"/>
      <c r="W246" s="33"/>
    </row>
    <row r="247" customFormat="false" ht="15" hidden="false" customHeight="false" outlineLevel="0" collapsed="false">
      <c r="A247" s="33"/>
      <c r="B247" s="33"/>
      <c r="C247" s="33"/>
      <c r="D247" s="33"/>
      <c r="E247" s="33"/>
      <c r="F247" s="33"/>
      <c r="G247" s="33"/>
      <c r="H247" s="33"/>
      <c r="I247" s="33"/>
      <c r="J247" s="33"/>
      <c r="K247" s="33"/>
      <c r="L247" s="34"/>
      <c r="M247" s="34"/>
      <c r="N247" s="34"/>
      <c r="O247" s="34"/>
      <c r="P247" s="33"/>
      <c r="Q247" s="35"/>
      <c r="R247" s="33"/>
      <c r="S247" s="33"/>
      <c r="T247" s="33"/>
      <c r="U247" s="33"/>
      <c r="V247" s="33"/>
      <c r="W247" s="33"/>
    </row>
    <row r="248" customFormat="false" ht="15" hidden="false" customHeight="false" outlineLevel="0" collapsed="false">
      <c r="A248" s="33"/>
      <c r="B248" s="33"/>
      <c r="C248" s="33"/>
      <c r="D248" s="33"/>
      <c r="E248" s="33"/>
      <c r="F248" s="33"/>
      <c r="G248" s="33"/>
      <c r="H248" s="33"/>
      <c r="I248" s="33"/>
      <c r="J248" s="33"/>
      <c r="K248" s="33"/>
      <c r="L248" s="34"/>
      <c r="M248" s="34"/>
      <c r="N248" s="34"/>
      <c r="O248" s="34"/>
      <c r="P248" s="33"/>
      <c r="Q248" s="35"/>
      <c r="R248" s="33"/>
      <c r="S248" s="33"/>
      <c r="T248" s="33"/>
      <c r="U248" s="33"/>
      <c r="V248" s="33"/>
      <c r="W248" s="33"/>
    </row>
    <row r="249" customFormat="false" ht="15" hidden="false" customHeight="false" outlineLevel="0" collapsed="false">
      <c r="A249" s="33"/>
      <c r="B249" s="33"/>
      <c r="C249" s="33"/>
      <c r="D249" s="33"/>
      <c r="E249" s="33"/>
      <c r="F249" s="33"/>
      <c r="G249" s="33"/>
      <c r="H249" s="33"/>
      <c r="I249" s="33"/>
      <c r="J249" s="33"/>
      <c r="K249" s="33"/>
      <c r="L249" s="34"/>
      <c r="M249" s="34"/>
      <c r="N249" s="34"/>
      <c r="O249" s="34"/>
      <c r="P249" s="33"/>
      <c r="Q249" s="35"/>
      <c r="R249" s="33"/>
      <c r="S249" s="33"/>
      <c r="T249" s="33"/>
      <c r="U249" s="33"/>
      <c r="V249" s="33"/>
      <c r="W249" s="33"/>
    </row>
    <row r="250" customFormat="false" ht="15" hidden="false" customHeight="false" outlineLevel="0" collapsed="false">
      <c r="A250" s="33"/>
      <c r="B250" s="33"/>
      <c r="C250" s="33"/>
      <c r="D250" s="33"/>
      <c r="E250" s="33"/>
      <c r="F250" s="33"/>
      <c r="G250" s="33"/>
      <c r="H250" s="33"/>
      <c r="I250" s="33"/>
      <c r="J250" s="33"/>
      <c r="K250" s="33"/>
      <c r="L250" s="34"/>
      <c r="M250" s="34"/>
      <c r="N250" s="34"/>
      <c r="O250" s="34"/>
      <c r="P250" s="33"/>
      <c r="Q250" s="35"/>
      <c r="R250" s="33"/>
      <c r="S250" s="33"/>
      <c r="T250" s="33"/>
      <c r="U250" s="33"/>
      <c r="V250" s="33"/>
      <c r="W250" s="33"/>
    </row>
    <row r="251" customFormat="false" ht="15" hidden="false" customHeight="false" outlineLevel="0" collapsed="false">
      <c r="A251" s="33"/>
      <c r="B251" s="33"/>
      <c r="C251" s="33"/>
      <c r="D251" s="33"/>
      <c r="E251" s="33"/>
      <c r="F251" s="33"/>
      <c r="G251" s="33"/>
      <c r="H251" s="33"/>
      <c r="I251" s="33"/>
      <c r="J251" s="33"/>
      <c r="K251" s="33"/>
      <c r="L251" s="34"/>
      <c r="M251" s="34"/>
      <c r="N251" s="34"/>
      <c r="O251" s="34"/>
      <c r="P251" s="33"/>
      <c r="Q251" s="35"/>
      <c r="R251" s="33"/>
      <c r="S251" s="33"/>
      <c r="T251" s="33"/>
      <c r="U251" s="33"/>
      <c r="V251" s="33"/>
      <c r="W251" s="33"/>
    </row>
    <row r="252" customFormat="false" ht="15" hidden="false" customHeight="false" outlineLevel="0" collapsed="false">
      <c r="A252" s="33"/>
      <c r="B252" s="33"/>
      <c r="C252" s="33"/>
      <c r="D252" s="33"/>
      <c r="E252" s="33"/>
      <c r="F252" s="33"/>
      <c r="G252" s="33"/>
      <c r="H252" s="33"/>
      <c r="I252" s="33"/>
      <c r="J252" s="33"/>
      <c r="K252" s="33"/>
      <c r="L252" s="34"/>
      <c r="M252" s="34"/>
      <c r="N252" s="34"/>
      <c r="O252" s="34"/>
      <c r="P252" s="33"/>
      <c r="Q252" s="35"/>
      <c r="R252" s="33"/>
      <c r="S252" s="33"/>
      <c r="T252" s="33"/>
      <c r="U252" s="33"/>
      <c r="V252" s="33"/>
      <c r="W252" s="33"/>
    </row>
    <row r="253" customFormat="false" ht="15" hidden="false" customHeight="false" outlineLevel="0" collapsed="false">
      <c r="A253" s="33"/>
      <c r="B253" s="33"/>
      <c r="C253" s="33"/>
      <c r="D253" s="33"/>
      <c r="E253" s="33"/>
      <c r="F253" s="33"/>
      <c r="G253" s="33"/>
      <c r="H253" s="33"/>
      <c r="I253" s="33"/>
      <c r="J253" s="33"/>
      <c r="K253" s="33"/>
      <c r="L253" s="34"/>
      <c r="M253" s="34"/>
      <c r="N253" s="34"/>
      <c r="O253" s="34"/>
      <c r="P253" s="33"/>
      <c r="Q253" s="35"/>
      <c r="R253" s="33"/>
      <c r="S253" s="33"/>
      <c r="T253" s="33"/>
      <c r="U253" s="33"/>
      <c r="V253" s="33"/>
      <c r="W253" s="33"/>
    </row>
    <row r="254" customFormat="false" ht="15" hidden="false" customHeight="false" outlineLevel="0" collapsed="false">
      <c r="A254" s="33"/>
      <c r="B254" s="33"/>
      <c r="C254" s="33"/>
      <c r="D254" s="33"/>
      <c r="E254" s="33"/>
      <c r="F254" s="33"/>
      <c r="G254" s="33"/>
      <c r="H254" s="33"/>
      <c r="I254" s="33"/>
      <c r="J254" s="33"/>
      <c r="K254" s="33"/>
      <c r="L254" s="34"/>
      <c r="M254" s="34"/>
      <c r="N254" s="34"/>
      <c r="O254" s="34"/>
      <c r="P254" s="33"/>
      <c r="Q254" s="35"/>
      <c r="R254" s="33"/>
      <c r="S254" s="33"/>
      <c r="T254" s="33"/>
      <c r="U254" s="33"/>
      <c r="V254" s="33"/>
      <c r="W254" s="33"/>
    </row>
    <row r="255" customFormat="false" ht="15" hidden="false" customHeight="false" outlineLevel="0" collapsed="false">
      <c r="A255" s="33"/>
      <c r="B255" s="33"/>
      <c r="C255" s="33"/>
      <c r="D255" s="33"/>
      <c r="E255" s="33"/>
      <c r="F255" s="33"/>
      <c r="G255" s="33"/>
      <c r="H255" s="33"/>
      <c r="I255" s="33"/>
      <c r="J255" s="33"/>
      <c r="K255" s="33"/>
      <c r="L255" s="34"/>
      <c r="M255" s="34"/>
      <c r="N255" s="34"/>
      <c r="O255" s="34"/>
      <c r="P255" s="33"/>
      <c r="Q255" s="35"/>
      <c r="R255" s="33"/>
      <c r="S255" s="33"/>
      <c r="T255" s="33"/>
      <c r="U255" s="33"/>
      <c r="V255" s="33"/>
      <c r="W255" s="33"/>
    </row>
    <row r="256" customFormat="false" ht="15" hidden="false" customHeight="false" outlineLevel="0" collapsed="false">
      <c r="A256" s="33"/>
      <c r="B256" s="33"/>
      <c r="C256" s="33"/>
      <c r="D256" s="33"/>
      <c r="E256" s="33"/>
      <c r="F256" s="33"/>
      <c r="G256" s="33"/>
      <c r="H256" s="33"/>
      <c r="I256" s="33"/>
      <c r="J256" s="33"/>
      <c r="K256" s="33"/>
      <c r="L256" s="34"/>
      <c r="M256" s="34"/>
      <c r="N256" s="34"/>
      <c r="O256" s="34"/>
      <c r="P256" s="33"/>
      <c r="Q256" s="35"/>
      <c r="R256" s="33"/>
      <c r="S256" s="33"/>
      <c r="T256" s="33"/>
      <c r="U256" s="33"/>
      <c r="V256" s="33"/>
      <c r="W256" s="33"/>
    </row>
    <row r="257" customFormat="false" ht="15" hidden="false" customHeight="false" outlineLevel="0" collapsed="false">
      <c r="A257" s="33"/>
      <c r="B257" s="33"/>
      <c r="C257" s="33"/>
      <c r="D257" s="33"/>
      <c r="E257" s="33"/>
      <c r="F257" s="33"/>
      <c r="G257" s="33"/>
      <c r="H257" s="33"/>
      <c r="I257" s="33"/>
      <c r="J257" s="33"/>
      <c r="K257" s="33"/>
      <c r="L257" s="34"/>
      <c r="M257" s="34"/>
      <c r="N257" s="34"/>
      <c r="O257" s="34"/>
      <c r="P257" s="33"/>
      <c r="Q257" s="35"/>
      <c r="R257" s="33"/>
      <c r="S257" s="33"/>
      <c r="T257" s="33"/>
      <c r="U257" s="33"/>
      <c r="V257" s="33"/>
      <c r="W257" s="33"/>
    </row>
    <row r="258" customFormat="false" ht="15" hidden="false" customHeight="false" outlineLevel="0" collapsed="false">
      <c r="A258" s="33"/>
      <c r="B258" s="33"/>
      <c r="C258" s="33"/>
      <c r="D258" s="33"/>
      <c r="E258" s="33"/>
      <c r="F258" s="33"/>
      <c r="G258" s="33"/>
      <c r="H258" s="33"/>
      <c r="I258" s="33"/>
      <c r="J258" s="33"/>
      <c r="K258" s="33"/>
      <c r="L258" s="34"/>
      <c r="M258" s="34"/>
      <c r="N258" s="34"/>
      <c r="O258" s="34"/>
      <c r="P258" s="33"/>
      <c r="Q258" s="35"/>
      <c r="R258" s="33"/>
      <c r="S258" s="33"/>
      <c r="T258" s="33"/>
      <c r="U258" s="33"/>
      <c r="V258" s="33"/>
      <c r="W258" s="33"/>
    </row>
    <row r="259" customFormat="false" ht="15" hidden="false" customHeight="false" outlineLevel="0" collapsed="false">
      <c r="A259" s="33"/>
      <c r="B259" s="33"/>
      <c r="C259" s="33"/>
      <c r="D259" s="33"/>
      <c r="E259" s="33"/>
      <c r="F259" s="33"/>
      <c r="G259" s="33"/>
      <c r="H259" s="33"/>
      <c r="I259" s="33"/>
      <c r="J259" s="33"/>
      <c r="K259" s="33"/>
      <c r="L259" s="34"/>
      <c r="M259" s="34"/>
      <c r="N259" s="34"/>
      <c r="O259" s="34"/>
      <c r="P259" s="33"/>
      <c r="Q259" s="35"/>
      <c r="R259" s="33"/>
      <c r="S259" s="33"/>
      <c r="T259" s="33"/>
      <c r="U259" s="33"/>
      <c r="V259" s="33"/>
      <c r="W259" s="33"/>
    </row>
    <row r="260" customFormat="false" ht="15" hidden="false" customHeight="false" outlineLevel="0" collapsed="false">
      <c r="A260" s="33"/>
      <c r="B260" s="33"/>
      <c r="C260" s="33"/>
      <c r="D260" s="33"/>
      <c r="E260" s="33"/>
      <c r="F260" s="33"/>
      <c r="G260" s="33"/>
      <c r="H260" s="33"/>
      <c r="I260" s="33"/>
      <c r="J260" s="33"/>
      <c r="K260" s="33"/>
      <c r="L260" s="34"/>
      <c r="M260" s="34"/>
      <c r="N260" s="34"/>
      <c r="O260" s="34"/>
      <c r="P260" s="33"/>
      <c r="Q260" s="35"/>
      <c r="R260" s="33"/>
      <c r="S260" s="33"/>
      <c r="T260" s="33"/>
      <c r="U260" s="33"/>
      <c r="V260" s="33"/>
      <c r="W260" s="33"/>
    </row>
    <row r="261" customFormat="false" ht="15" hidden="false" customHeight="false" outlineLevel="0" collapsed="false">
      <c r="A261" s="33"/>
      <c r="B261" s="33"/>
      <c r="C261" s="33"/>
      <c r="D261" s="33"/>
      <c r="E261" s="33"/>
      <c r="F261" s="33"/>
      <c r="G261" s="33"/>
      <c r="H261" s="33"/>
      <c r="I261" s="33"/>
      <c r="J261" s="33"/>
      <c r="K261" s="33"/>
      <c r="L261" s="34"/>
      <c r="M261" s="34"/>
      <c r="N261" s="34"/>
      <c r="O261" s="34"/>
      <c r="P261" s="33"/>
      <c r="Q261" s="35"/>
      <c r="R261" s="33"/>
      <c r="S261" s="33"/>
      <c r="T261" s="33"/>
      <c r="U261" s="33"/>
      <c r="V261" s="33"/>
      <c r="W261" s="33"/>
    </row>
    <row r="262" customFormat="false" ht="15" hidden="false" customHeight="false" outlineLevel="0" collapsed="false">
      <c r="A262" s="33"/>
      <c r="B262" s="33"/>
      <c r="C262" s="33"/>
      <c r="D262" s="33"/>
      <c r="E262" s="33"/>
      <c r="F262" s="33"/>
      <c r="G262" s="33"/>
      <c r="H262" s="33"/>
      <c r="I262" s="33"/>
      <c r="J262" s="33"/>
      <c r="K262" s="33"/>
      <c r="L262" s="34"/>
      <c r="M262" s="34"/>
      <c r="N262" s="34"/>
      <c r="O262" s="34"/>
      <c r="P262" s="33"/>
      <c r="Q262" s="35"/>
      <c r="R262" s="33"/>
      <c r="S262" s="33"/>
      <c r="T262" s="33"/>
      <c r="U262" s="33"/>
      <c r="V262" s="33"/>
      <c r="W262" s="33"/>
    </row>
    <row r="263" customFormat="false" ht="15" hidden="false" customHeight="false" outlineLevel="0" collapsed="false">
      <c r="A263" s="33"/>
      <c r="B263" s="33"/>
      <c r="C263" s="33"/>
      <c r="D263" s="33"/>
      <c r="E263" s="33"/>
      <c r="F263" s="33"/>
      <c r="G263" s="33"/>
      <c r="H263" s="33"/>
      <c r="I263" s="33"/>
      <c r="J263" s="33"/>
      <c r="K263" s="33"/>
      <c r="L263" s="34"/>
      <c r="M263" s="34"/>
      <c r="N263" s="34"/>
      <c r="O263" s="34"/>
      <c r="P263" s="33"/>
      <c r="Q263" s="35"/>
      <c r="R263" s="33"/>
      <c r="S263" s="33"/>
      <c r="T263" s="33"/>
      <c r="U263" s="33"/>
      <c r="V263" s="33"/>
      <c r="W263" s="33"/>
    </row>
    <row r="264" customFormat="false" ht="15" hidden="false" customHeight="false" outlineLevel="0" collapsed="false">
      <c r="A264" s="33"/>
      <c r="B264" s="33"/>
      <c r="C264" s="33"/>
      <c r="D264" s="33"/>
      <c r="E264" s="33"/>
      <c r="F264" s="33"/>
      <c r="G264" s="33"/>
      <c r="H264" s="33"/>
      <c r="I264" s="33"/>
      <c r="J264" s="33"/>
      <c r="K264" s="33"/>
      <c r="L264" s="34"/>
      <c r="M264" s="34"/>
      <c r="N264" s="34"/>
      <c r="O264" s="34"/>
      <c r="P264" s="33"/>
      <c r="Q264" s="35"/>
      <c r="R264" s="33"/>
      <c r="S264" s="33"/>
      <c r="T264" s="33"/>
      <c r="U264" s="33"/>
      <c r="V264" s="33"/>
      <c r="W264" s="33"/>
    </row>
    <row r="265" customFormat="false" ht="15" hidden="false" customHeight="false" outlineLevel="0" collapsed="false">
      <c r="A265" s="33"/>
      <c r="B265" s="33"/>
      <c r="C265" s="33"/>
      <c r="D265" s="33"/>
      <c r="E265" s="33"/>
      <c r="F265" s="33"/>
      <c r="G265" s="33"/>
      <c r="H265" s="33"/>
      <c r="I265" s="33"/>
      <c r="J265" s="33"/>
      <c r="K265" s="33"/>
      <c r="L265" s="34"/>
      <c r="M265" s="34"/>
      <c r="N265" s="34"/>
      <c r="O265" s="34"/>
      <c r="P265" s="33"/>
      <c r="Q265" s="35"/>
      <c r="R265" s="33"/>
      <c r="S265" s="33"/>
      <c r="T265" s="33"/>
      <c r="U265" s="33"/>
      <c r="V265" s="33"/>
      <c r="W265" s="33"/>
    </row>
    <row r="266" customFormat="false" ht="15" hidden="false" customHeight="false" outlineLevel="0" collapsed="false">
      <c r="A266" s="33"/>
      <c r="B266" s="33"/>
      <c r="C266" s="33"/>
      <c r="D266" s="33"/>
      <c r="E266" s="33"/>
      <c r="F266" s="33"/>
      <c r="G266" s="33"/>
      <c r="H266" s="33"/>
      <c r="I266" s="33"/>
      <c r="J266" s="33"/>
      <c r="K266" s="33"/>
      <c r="L266" s="34"/>
      <c r="M266" s="34"/>
      <c r="N266" s="34"/>
      <c r="O266" s="34"/>
      <c r="P266" s="33"/>
      <c r="Q266" s="35"/>
      <c r="R266" s="33"/>
      <c r="S266" s="33"/>
      <c r="T266" s="33"/>
      <c r="U266" s="33"/>
      <c r="V266" s="33"/>
      <c r="W266" s="33"/>
    </row>
    <row r="267" customFormat="false" ht="15" hidden="false" customHeight="false" outlineLevel="0" collapsed="false">
      <c r="A267" s="33"/>
      <c r="B267" s="33"/>
      <c r="C267" s="33"/>
      <c r="D267" s="33"/>
      <c r="E267" s="33"/>
      <c r="F267" s="33"/>
      <c r="G267" s="33"/>
      <c r="H267" s="33"/>
      <c r="I267" s="33"/>
      <c r="J267" s="33"/>
      <c r="K267" s="33"/>
      <c r="L267" s="34"/>
      <c r="M267" s="34"/>
      <c r="N267" s="34"/>
      <c r="O267" s="34"/>
      <c r="P267" s="33"/>
      <c r="Q267" s="35"/>
      <c r="R267" s="33"/>
      <c r="S267" s="33"/>
      <c r="T267" s="33"/>
      <c r="U267" s="33"/>
      <c r="V267" s="33"/>
      <c r="W267" s="33"/>
    </row>
    <row r="268" customFormat="false" ht="15" hidden="false" customHeight="false" outlineLevel="0" collapsed="false">
      <c r="A268" s="33"/>
      <c r="B268" s="33"/>
      <c r="C268" s="33"/>
      <c r="D268" s="33"/>
      <c r="E268" s="33"/>
      <c r="F268" s="33"/>
      <c r="G268" s="33"/>
      <c r="H268" s="33"/>
      <c r="I268" s="33"/>
      <c r="J268" s="33"/>
      <c r="K268" s="33"/>
      <c r="L268" s="34"/>
      <c r="M268" s="34"/>
      <c r="N268" s="34"/>
      <c r="O268" s="34"/>
      <c r="P268" s="33"/>
      <c r="Q268" s="35"/>
      <c r="R268" s="33"/>
      <c r="S268" s="33"/>
      <c r="T268" s="33"/>
      <c r="U268" s="33"/>
      <c r="V268" s="33"/>
      <c r="W268" s="33"/>
    </row>
    <row r="269" customFormat="false" ht="15" hidden="false" customHeight="false" outlineLevel="0" collapsed="false">
      <c r="A269" s="33"/>
      <c r="B269" s="33"/>
      <c r="C269" s="33"/>
      <c r="D269" s="33"/>
      <c r="E269" s="33"/>
      <c r="F269" s="33"/>
      <c r="G269" s="33"/>
      <c r="H269" s="33"/>
      <c r="I269" s="33"/>
      <c r="J269" s="33"/>
      <c r="K269" s="33"/>
      <c r="L269" s="34"/>
      <c r="M269" s="34"/>
      <c r="N269" s="34"/>
      <c r="O269" s="34"/>
      <c r="P269" s="33"/>
      <c r="Q269" s="35"/>
      <c r="R269" s="33"/>
      <c r="S269" s="33"/>
      <c r="T269" s="33"/>
      <c r="U269" s="33"/>
      <c r="V269" s="33"/>
      <c r="W269" s="33"/>
    </row>
    <row r="270" customFormat="false" ht="15" hidden="false" customHeight="false" outlineLevel="0" collapsed="false">
      <c r="A270" s="33"/>
      <c r="B270" s="33"/>
      <c r="C270" s="33"/>
      <c r="D270" s="33"/>
      <c r="E270" s="33"/>
      <c r="F270" s="33"/>
      <c r="G270" s="33"/>
      <c r="H270" s="33"/>
      <c r="I270" s="33"/>
      <c r="J270" s="33"/>
      <c r="K270" s="33"/>
      <c r="L270" s="34"/>
      <c r="M270" s="34"/>
      <c r="N270" s="34"/>
      <c r="O270" s="34"/>
      <c r="P270" s="33"/>
      <c r="Q270" s="35"/>
      <c r="R270" s="33"/>
      <c r="S270" s="33"/>
      <c r="T270" s="33"/>
      <c r="U270" s="33"/>
      <c r="V270" s="33"/>
      <c r="W270" s="33"/>
    </row>
    <row r="271" customFormat="false" ht="15" hidden="false" customHeight="false" outlineLevel="0" collapsed="false">
      <c r="A271" s="33"/>
      <c r="B271" s="33"/>
      <c r="C271" s="33"/>
      <c r="D271" s="33"/>
      <c r="E271" s="33"/>
      <c r="F271" s="33"/>
      <c r="G271" s="33"/>
      <c r="H271" s="33"/>
      <c r="I271" s="33"/>
      <c r="J271" s="33"/>
      <c r="K271" s="33"/>
      <c r="L271" s="34"/>
      <c r="M271" s="34"/>
      <c r="N271" s="34"/>
      <c r="O271" s="34"/>
      <c r="P271" s="33"/>
      <c r="Q271" s="35"/>
      <c r="R271" s="33"/>
      <c r="S271" s="33"/>
      <c r="T271" s="33"/>
      <c r="U271" s="33"/>
      <c r="V271" s="33"/>
      <c r="W271" s="33"/>
    </row>
    <row r="272" customFormat="false" ht="15" hidden="false" customHeight="false" outlineLevel="0" collapsed="false">
      <c r="A272" s="33"/>
      <c r="B272" s="33"/>
      <c r="C272" s="33"/>
      <c r="D272" s="33"/>
      <c r="E272" s="33"/>
      <c r="F272" s="33"/>
      <c r="G272" s="33"/>
      <c r="H272" s="33"/>
      <c r="I272" s="33"/>
      <c r="J272" s="33"/>
      <c r="K272" s="33"/>
      <c r="L272" s="34"/>
      <c r="M272" s="34"/>
      <c r="N272" s="34"/>
      <c r="O272" s="34"/>
      <c r="P272" s="33"/>
      <c r="Q272" s="35"/>
      <c r="R272" s="33"/>
      <c r="S272" s="33"/>
      <c r="T272" s="33"/>
      <c r="U272" s="33"/>
      <c r="V272" s="33"/>
      <c r="W272" s="33"/>
    </row>
    <row r="273" customFormat="false" ht="15" hidden="false" customHeight="false" outlineLevel="0" collapsed="false">
      <c r="A273" s="33"/>
      <c r="B273" s="33"/>
      <c r="C273" s="33"/>
      <c r="D273" s="33"/>
      <c r="E273" s="33"/>
      <c r="F273" s="33"/>
      <c r="G273" s="33"/>
      <c r="H273" s="33"/>
      <c r="I273" s="33"/>
      <c r="J273" s="33"/>
      <c r="K273" s="33"/>
      <c r="L273" s="34"/>
      <c r="M273" s="34"/>
      <c r="N273" s="34"/>
      <c r="O273" s="34"/>
      <c r="P273" s="33"/>
      <c r="Q273" s="35"/>
      <c r="R273" s="33"/>
      <c r="S273" s="33"/>
      <c r="T273" s="33"/>
      <c r="U273" s="33"/>
      <c r="V273" s="33"/>
      <c r="W273" s="33"/>
    </row>
    <row r="274" customFormat="false" ht="15" hidden="false" customHeight="false" outlineLevel="0" collapsed="false">
      <c r="A274" s="33"/>
      <c r="B274" s="33"/>
      <c r="C274" s="33"/>
      <c r="D274" s="33"/>
      <c r="E274" s="33"/>
      <c r="F274" s="33"/>
      <c r="G274" s="33"/>
      <c r="H274" s="33"/>
      <c r="I274" s="33"/>
      <c r="J274" s="33"/>
      <c r="K274" s="33"/>
      <c r="L274" s="34"/>
      <c r="M274" s="34"/>
      <c r="N274" s="34"/>
      <c r="O274" s="34"/>
      <c r="P274" s="33"/>
      <c r="Q274" s="35"/>
      <c r="R274" s="33"/>
      <c r="S274" s="33"/>
      <c r="T274" s="33"/>
      <c r="U274" s="33"/>
      <c r="V274" s="33"/>
      <c r="W274" s="33"/>
    </row>
    <row r="275" customFormat="false" ht="15" hidden="false" customHeight="false" outlineLevel="0" collapsed="false">
      <c r="A275" s="33"/>
      <c r="B275" s="33"/>
      <c r="C275" s="33"/>
      <c r="D275" s="33"/>
      <c r="E275" s="33"/>
      <c r="F275" s="33"/>
      <c r="G275" s="33"/>
      <c r="H275" s="33"/>
      <c r="I275" s="33"/>
      <c r="J275" s="33"/>
      <c r="K275" s="33"/>
      <c r="L275" s="34"/>
      <c r="M275" s="34"/>
      <c r="N275" s="34"/>
      <c r="O275" s="34"/>
      <c r="P275" s="33"/>
      <c r="Q275" s="35"/>
      <c r="R275" s="33"/>
      <c r="S275" s="33"/>
      <c r="T275" s="33"/>
      <c r="U275" s="33"/>
      <c r="V275" s="33"/>
      <c r="W275" s="33"/>
    </row>
    <row r="276" customFormat="false" ht="15" hidden="false" customHeight="false" outlineLevel="0" collapsed="false">
      <c r="A276" s="33"/>
      <c r="B276" s="33"/>
      <c r="C276" s="33"/>
      <c r="D276" s="33"/>
      <c r="E276" s="33"/>
      <c r="F276" s="33"/>
      <c r="G276" s="33"/>
      <c r="H276" s="33"/>
      <c r="I276" s="33"/>
      <c r="J276" s="33"/>
      <c r="K276" s="33"/>
      <c r="L276" s="34"/>
      <c r="M276" s="34"/>
      <c r="N276" s="34"/>
      <c r="O276" s="34"/>
      <c r="P276" s="33"/>
      <c r="Q276" s="35"/>
      <c r="R276" s="33"/>
      <c r="S276" s="33"/>
      <c r="T276" s="33"/>
      <c r="U276" s="33"/>
      <c r="V276" s="33"/>
      <c r="W276" s="33"/>
    </row>
    <row r="277" customFormat="false" ht="15" hidden="false" customHeight="false" outlineLevel="0" collapsed="false">
      <c r="A277" s="33"/>
      <c r="B277" s="33"/>
      <c r="C277" s="33"/>
      <c r="D277" s="33"/>
      <c r="E277" s="33"/>
      <c r="F277" s="33"/>
      <c r="G277" s="33"/>
      <c r="H277" s="33"/>
      <c r="I277" s="33"/>
      <c r="J277" s="33"/>
      <c r="K277" s="33"/>
      <c r="L277" s="34"/>
      <c r="M277" s="34"/>
      <c r="N277" s="34"/>
      <c r="O277" s="34"/>
      <c r="P277" s="33"/>
      <c r="Q277" s="35"/>
      <c r="R277" s="33"/>
      <c r="S277" s="33"/>
      <c r="T277" s="33"/>
      <c r="U277" s="33"/>
      <c r="V277" s="33"/>
      <c r="W277" s="33"/>
    </row>
    <row r="278" customFormat="false" ht="15" hidden="false" customHeight="false" outlineLevel="0" collapsed="false">
      <c r="A278" s="33"/>
      <c r="B278" s="33"/>
      <c r="C278" s="33"/>
      <c r="D278" s="33"/>
      <c r="E278" s="33"/>
      <c r="F278" s="33"/>
      <c r="G278" s="33"/>
      <c r="H278" s="33"/>
      <c r="I278" s="33"/>
      <c r="J278" s="33"/>
      <c r="K278" s="33"/>
      <c r="L278" s="34"/>
      <c r="M278" s="34"/>
      <c r="N278" s="34"/>
      <c r="O278" s="34"/>
      <c r="P278" s="33"/>
      <c r="Q278" s="35"/>
      <c r="R278" s="33"/>
      <c r="S278" s="33"/>
      <c r="T278" s="33"/>
      <c r="U278" s="33"/>
      <c r="V278" s="33"/>
      <c r="W278" s="33"/>
    </row>
    <row r="279" customFormat="false" ht="15" hidden="false" customHeight="false" outlineLevel="0" collapsed="false">
      <c r="A279" s="33"/>
      <c r="B279" s="33"/>
      <c r="C279" s="33"/>
      <c r="D279" s="33"/>
      <c r="E279" s="33"/>
      <c r="F279" s="33"/>
      <c r="G279" s="33"/>
      <c r="H279" s="33"/>
      <c r="I279" s="33"/>
      <c r="J279" s="33"/>
      <c r="K279" s="33"/>
      <c r="L279" s="34"/>
      <c r="M279" s="34"/>
      <c r="N279" s="34"/>
      <c r="O279" s="34"/>
      <c r="P279" s="33"/>
      <c r="Q279" s="35"/>
      <c r="R279" s="33"/>
      <c r="S279" s="33"/>
      <c r="T279" s="33"/>
      <c r="U279" s="33"/>
      <c r="V279" s="33"/>
      <c r="W279" s="33"/>
    </row>
    <row r="280" customFormat="false" ht="15" hidden="false" customHeight="false" outlineLevel="0" collapsed="false">
      <c r="A280" s="33"/>
      <c r="B280" s="33"/>
      <c r="C280" s="33"/>
      <c r="D280" s="33"/>
      <c r="E280" s="33"/>
      <c r="F280" s="33"/>
      <c r="G280" s="33"/>
      <c r="H280" s="33"/>
      <c r="I280" s="33"/>
      <c r="J280" s="33"/>
      <c r="K280" s="33"/>
      <c r="L280" s="34"/>
      <c r="M280" s="34"/>
      <c r="N280" s="34"/>
      <c r="O280" s="34"/>
      <c r="P280" s="33"/>
      <c r="Q280" s="35"/>
      <c r="R280" s="33"/>
      <c r="S280" s="33"/>
      <c r="T280" s="33"/>
      <c r="U280" s="33"/>
      <c r="V280" s="33"/>
      <c r="W280" s="33"/>
    </row>
    <row r="281" customFormat="false" ht="15" hidden="false" customHeight="false" outlineLevel="0" collapsed="false">
      <c r="A281" s="33"/>
      <c r="B281" s="33"/>
      <c r="C281" s="33"/>
      <c r="D281" s="33"/>
      <c r="E281" s="33"/>
      <c r="F281" s="33"/>
      <c r="G281" s="33"/>
      <c r="H281" s="33"/>
      <c r="I281" s="33"/>
      <c r="J281" s="33"/>
      <c r="K281" s="33"/>
      <c r="L281" s="34"/>
      <c r="M281" s="34"/>
      <c r="N281" s="34"/>
      <c r="O281" s="34"/>
      <c r="P281" s="33"/>
      <c r="Q281" s="35"/>
      <c r="R281" s="33"/>
      <c r="S281" s="33"/>
      <c r="T281" s="33"/>
      <c r="U281" s="33"/>
      <c r="V281" s="33"/>
      <c r="W281" s="33"/>
    </row>
    <row r="282" customFormat="false" ht="15" hidden="false" customHeight="false" outlineLevel="0" collapsed="false">
      <c r="A282" s="33"/>
      <c r="B282" s="33"/>
      <c r="C282" s="33"/>
      <c r="D282" s="33"/>
      <c r="E282" s="33"/>
      <c r="F282" s="33"/>
      <c r="G282" s="33"/>
      <c r="H282" s="33"/>
      <c r="I282" s="33"/>
      <c r="J282" s="33"/>
      <c r="K282" s="33"/>
      <c r="L282" s="34"/>
      <c r="M282" s="34"/>
      <c r="N282" s="34"/>
      <c r="O282" s="34"/>
      <c r="P282" s="33"/>
      <c r="Q282" s="35"/>
      <c r="R282" s="33"/>
      <c r="S282" s="33"/>
      <c r="T282" s="33"/>
      <c r="U282" s="33"/>
      <c r="V282" s="33"/>
      <c r="W282" s="33"/>
    </row>
    <row r="283" customFormat="false" ht="15" hidden="false" customHeight="false" outlineLevel="0" collapsed="false">
      <c r="A283" s="33"/>
      <c r="B283" s="33"/>
      <c r="C283" s="33"/>
      <c r="D283" s="33"/>
      <c r="E283" s="33"/>
      <c r="F283" s="33"/>
      <c r="G283" s="33"/>
      <c r="H283" s="33"/>
      <c r="I283" s="33"/>
      <c r="J283" s="33"/>
      <c r="K283" s="33"/>
      <c r="L283" s="34"/>
      <c r="M283" s="34"/>
      <c r="N283" s="34"/>
      <c r="O283" s="34"/>
      <c r="P283" s="33"/>
      <c r="Q283" s="35"/>
      <c r="R283" s="33"/>
      <c r="S283" s="33"/>
      <c r="T283" s="33"/>
      <c r="U283" s="33"/>
      <c r="V283" s="33"/>
      <c r="W283" s="33"/>
    </row>
    <row r="284" customFormat="false" ht="15" hidden="false" customHeight="false" outlineLevel="0" collapsed="false">
      <c r="A284" s="33"/>
      <c r="B284" s="33"/>
      <c r="C284" s="33"/>
      <c r="D284" s="33"/>
      <c r="E284" s="33"/>
      <c r="F284" s="33"/>
      <c r="G284" s="33"/>
      <c r="H284" s="33"/>
      <c r="I284" s="33"/>
      <c r="J284" s="33"/>
      <c r="K284" s="33"/>
      <c r="L284" s="34"/>
      <c r="M284" s="34"/>
      <c r="N284" s="34"/>
      <c r="O284" s="34"/>
      <c r="P284" s="33"/>
      <c r="Q284" s="35"/>
      <c r="R284" s="33"/>
      <c r="S284" s="33"/>
      <c r="T284" s="33"/>
      <c r="U284" s="33"/>
      <c r="V284" s="33"/>
      <c r="W284" s="33"/>
    </row>
    <row r="285" customFormat="false" ht="15" hidden="false" customHeight="false" outlineLevel="0" collapsed="false">
      <c r="A285" s="33"/>
      <c r="B285" s="33"/>
      <c r="C285" s="33"/>
      <c r="D285" s="33"/>
      <c r="E285" s="33"/>
      <c r="F285" s="33"/>
      <c r="G285" s="33"/>
      <c r="H285" s="33"/>
      <c r="I285" s="33"/>
      <c r="J285" s="33"/>
      <c r="K285" s="33"/>
      <c r="L285" s="34"/>
      <c r="M285" s="34"/>
      <c r="N285" s="34"/>
      <c r="O285" s="34"/>
      <c r="P285" s="33"/>
      <c r="Q285" s="35"/>
      <c r="R285" s="33"/>
      <c r="S285" s="33"/>
      <c r="T285" s="33"/>
      <c r="U285" s="33"/>
      <c r="V285" s="33"/>
      <c r="W285" s="33"/>
    </row>
    <row r="286" customFormat="false" ht="15" hidden="false" customHeight="false" outlineLevel="0" collapsed="false">
      <c r="A286" s="33"/>
      <c r="B286" s="33"/>
      <c r="C286" s="33"/>
      <c r="D286" s="33"/>
      <c r="E286" s="33"/>
      <c r="F286" s="33"/>
      <c r="G286" s="33"/>
      <c r="H286" s="33"/>
      <c r="I286" s="33"/>
      <c r="J286" s="33"/>
      <c r="K286" s="33"/>
      <c r="L286" s="34"/>
      <c r="M286" s="34"/>
      <c r="N286" s="34"/>
      <c r="O286" s="34"/>
      <c r="P286" s="33"/>
      <c r="Q286" s="35"/>
      <c r="R286" s="33"/>
      <c r="S286" s="33"/>
      <c r="T286" s="33"/>
      <c r="U286" s="33"/>
      <c r="V286" s="33"/>
      <c r="W286" s="33"/>
    </row>
    <row r="287" customFormat="false" ht="15" hidden="false" customHeight="false" outlineLevel="0" collapsed="false">
      <c r="A287" s="33"/>
      <c r="B287" s="33"/>
      <c r="C287" s="33"/>
      <c r="D287" s="33"/>
      <c r="E287" s="33"/>
      <c r="F287" s="33"/>
      <c r="G287" s="33"/>
      <c r="H287" s="33"/>
      <c r="I287" s="33"/>
      <c r="J287" s="33"/>
      <c r="K287" s="33"/>
      <c r="L287" s="34"/>
      <c r="M287" s="34"/>
      <c r="N287" s="34"/>
      <c r="O287" s="34"/>
      <c r="P287" s="33"/>
      <c r="Q287" s="35"/>
      <c r="R287" s="33"/>
      <c r="S287" s="33"/>
      <c r="T287" s="33"/>
      <c r="U287" s="33"/>
      <c r="V287" s="33"/>
      <c r="W287" s="33"/>
    </row>
    <row r="288" customFormat="false" ht="15" hidden="false" customHeight="false" outlineLevel="0" collapsed="false">
      <c r="A288" s="33"/>
      <c r="B288" s="33"/>
      <c r="C288" s="33"/>
      <c r="D288" s="33"/>
      <c r="E288" s="33"/>
      <c r="F288" s="33"/>
      <c r="G288" s="33"/>
      <c r="H288" s="33"/>
      <c r="I288" s="33"/>
      <c r="J288" s="33"/>
      <c r="K288" s="33"/>
      <c r="L288" s="34"/>
      <c r="M288" s="34"/>
      <c r="N288" s="34"/>
      <c r="O288" s="34"/>
      <c r="P288" s="33"/>
      <c r="Q288" s="35"/>
      <c r="R288" s="33"/>
      <c r="S288" s="33"/>
      <c r="T288" s="33"/>
      <c r="U288" s="33"/>
      <c r="V288" s="33"/>
      <c r="W288" s="33"/>
    </row>
    <row r="289" customFormat="false" ht="15" hidden="false" customHeight="false" outlineLevel="0" collapsed="false">
      <c r="A289" s="33"/>
      <c r="B289" s="33"/>
      <c r="C289" s="33"/>
      <c r="D289" s="33"/>
      <c r="E289" s="33"/>
      <c r="F289" s="33"/>
      <c r="G289" s="33"/>
      <c r="H289" s="33"/>
      <c r="I289" s="33"/>
      <c r="J289" s="33"/>
      <c r="K289" s="33"/>
      <c r="L289" s="34"/>
      <c r="M289" s="34"/>
      <c r="N289" s="34"/>
      <c r="O289" s="34"/>
      <c r="P289" s="33"/>
      <c r="Q289" s="35"/>
      <c r="R289" s="33"/>
      <c r="S289" s="33"/>
      <c r="T289" s="33"/>
      <c r="U289" s="33"/>
      <c r="V289" s="33"/>
      <c r="W289" s="33"/>
    </row>
    <row r="290" customFormat="false" ht="15" hidden="false" customHeight="false" outlineLevel="0" collapsed="false">
      <c r="A290" s="33"/>
      <c r="B290" s="33"/>
      <c r="C290" s="33"/>
      <c r="D290" s="33"/>
      <c r="E290" s="33"/>
      <c r="F290" s="33"/>
      <c r="G290" s="33"/>
      <c r="H290" s="33"/>
      <c r="I290" s="33"/>
      <c r="J290" s="33"/>
      <c r="K290" s="33"/>
      <c r="L290" s="34"/>
      <c r="M290" s="34"/>
      <c r="N290" s="34"/>
      <c r="O290" s="34"/>
      <c r="P290" s="33"/>
      <c r="Q290" s="35"/>
      <c r="R290" s="33"/>
      <c r="S290" s="33"/>
      <c r="T290" s="33"/>
      <c r="U290" s="33"/>
      <c r="V290" s="33"/>
      <c r="W290" s="33"/>
    </row>
    <row r="291" customFormat="false" ht="15" hidden="false" customHeight="false" outlineLevel="0" collapsed="false">
      <c r="A291" s="33"/>
      <c r="B291" s="33"/>
      <c r="C291" s="33"/>
      <c r="D291" s="33"/>
      <c r="E291" s="33"/>
      <c r="F291" s="33"/>
      <c r="G291" s="33"/>
      <c r="H291" s="33"/>
      <c r="I291" s="33"/>
      <c r="J291" s="33"/>
      <c r="K291" s="33"/>
      <c r="L291" s="34"/>
      <c r="M291" s="34"/>
      <c r="N291" s="34"/>
      <c r="O291" s="34"/>
      <c r="P291" s="33"/>
      <c r="Q291" s="35"/>
      <c r="R291" s="33"/>
      <c r="S291" s="33"/>
      <c r="T291" s="33"/>
      <c r="U291" s="33"/>
      <c r="V291" s="33"/>
      <c r="W291" s="33"/>
    </row>
    <row r="292" customFormat="false" ht="15" hidden="false" customHeight="false" outlineLevel="0" collapsed="false">
      <c r="A292" s="33"/>
      <c r="B292" s="33"/>
      <c r="C292" s="33"/>
      <c r="D292" s="33"/>
      <c r="E292" s="33"/>
      <c r="F292" s="33"/>
      <c r="G292" s="33"/>
      <c r="H292" s="33"/>
      <c r="I292" s="33"/>
      <c r="J292" s="33"/>
      <c r="K292" s="33"/>
      <c r="L292" s="34"/>
      <c r="M292" s="34"/>
      <c r="N292" s="34"/>
      <c r="O292" s="34"/>
      <c r="P292" s="33"/>
      <c r="Q292" s="35"/>
      <c r="R292" s="33"/>
      <c r="S292" s="33"/>
      <c r="T292" s="33"/>
      <c r="U292" s="33"/>
      <c r="V292" s="33"/>
      <c r="W292" s="33"/>
    </row>
    <row r="293" customFormat="false" ht="15" hidden="false" customHeight="false" outlineLevel="0" collapsed="false">
      <c r="A293" s="33"/>
      <c r="B293" s="33"/>
      <c r="C293" s="33"/>
      <c r="D293" s="33"/>
      <c r="E293" s="33"/>
      <c r="F293" s="33"/>
      <c r="G293" s="33"/>
      <c r="H293" s="33"/>
      <c r="I293" s="33"/>
      <c r="J293" s="33"/>
      <c r="K293" s="33"/>
      <c r="L293" s="34"/>
      <c r="M293" s="34"/>
      <c r="N293" s="34"/>
      <c r="O293" s="34"/>
      <c r="P293" s="33"/>
      <c r="Q293" s="35"/>
      <c r="R293" s="33"/>
      <c r="S293" s="33"/>
      <c r="T293" s="33"/>
      <c r="U293" s="33"/>
      <c r="V293" s="33"/>
      <c r="W293" s="33"/>
    </row>
    <row r="294" customFormat="false" ht="15" hidden="false" customHeight="false" outlineLevel="0" collapsed="false">
      <c r="A294" s="33"/>
      <c r="B294" s="33"/>
      <c r="C294" s="33"/>
      <c r="D294" s="33"/>
      <c r="E294" s="33"/>
      <c r="F294" s="33"/>
      <c r="G294" s="33"/>
      <c r="H294" s="33"/>
      <c r="I294" s="33"/>
      <c r="J294" s="33"/>
      <c r="K294" s="33"/>
      <c r="L294" s="34"/>
      <c r="M294" s="34"/>
      <c r="N294" s="34"/>
      <c r="O294" s="34"/>
      <c r="P294" s="33"/>
      <c r="Q294" s="35"/>
      <c r="R294" s="33"/>
      <c r="S294" s="33"/>
      <c r="T294" s="33"/>
      <c r="U294" s="33"/>
      <c r="V294" s="33"/>
      <c r="W294" s="33"/>
    </row>
    <row r="295" customFormat="false" ht="15" hidden="false" customHeight="false" outlineLevel="0" collapsed="false">
      <c r="A295" s="33"/>
      <c r="B295" s="33"/>
      <c r="C295" s="33"/>
      <c r="D295" s="33"/>
      <c r="E295" s="33"/>
      <c r="F295" s="33"/>
      <c r="G295" s="33"/>
      <c r="H295" s="33"/>
      <c r="I295" s="33"/>
      <c r="J295" s="33"/>
      <c r="K295" s="33"/>
      <c r="L295" s="34"/>
      <c r="M295" s="34"/>
      <c r="N295" s="34"/>
      <c r="O295" s="34"/>
      <c r="P295" s="33"/>
      <c r="Q295" s="35"/>
      <c r="R295" s="33"/>
      <c r="S295" s="33"/>
      <c r="T295" s="33"/>
      <c r="U295" s="33"/>
      <c r="V295" s="33"/>
      <c r="W295" s="33"/>
    </row>
    <row r="296" customFormat="false" ht="15" hidden="false" customHeight="false" outlineLevel="0" collapsed="false">
      <c r="A296" s="33"/>
      <c r="B296" s="33"/>
      <c r="C296" s="33"/>
      <c r="D296" s="33"/>
      <c r="E296" s="33"/>
      <c r="F296" s="33"/>
      <c r="G296" s="33"/>
      <c r="H296" s="33"/>
      <c r="I296" s="33"/>
      <c r="J296" s="33"/>
      <c r="K296" s="33"/>
      <c r="L296" s="34"/>
      <c r="M296" s="34"/>
      <c r="N296" s="34"/>
      <c r="O296" s="34"/>
      <c r="P296" s="33"/>
      <c r="Q296" s="35"/>
      <c r="R296" s="33"/>
      <c r="S296" s="33"/>
      <c r="T296" s="33"/>
      <c r="U296" s="33"/>
      <c r="V296" s="33"/>
      <c r="W296" s="33"/>
    </row>
    <row r="297" customFormat="false" ht="15" hidden="false" customHeight="false" outlineLevel="0" collapsed="false">
      <c r="A297" s="33"/>
      <c r="B297" s="33"/>
      <c r="C297" s="33"/>
      <c r="D297" s="33"/>
      <c r="E297" s="33"/>
      <c r="F297" s="33"/>
      <c r="G297" s="33"/>
      <c r="H297" s="33"/>
      <c r="I297" s="33"/>
      <c r="J297" s="33"/>
      <c r="K297" s="33"/>
      <c r="L297" s="34"/>
      <c r="M297" s="34"/>
      <c r="N297" s="34"/>
      <c r="O297" s="34"/>
      <c r="P297" s="33"/>
      <c r="Q297" s="35"/>
      <c r="R297" s="33"/>
      <c r="S297" s="33"/>
      <c r="T297" s="33"/>
      <c r="U297" s="33"/>
      <c r="V297" s="33"/>
      <c r="W297" s="33"/>
    </row>
    <row r="298" customFormat="false" ht="15" hidden="false" customHeight="false" outlineLevel="0" collapsed="false">
      <c r="A298" s="33"/>
      <c r="B298" s="33"/>
      <c r="C298" s="33"/>
      <c r="D298" s="33"/>
      <c r="E298" s="33"/>
      <c r="F298" s="33"/>
      <c r="G298" s="33"/>
      <c r="H298" s="33"/>
      <c r="I298" s="33"/>
      <c r="J298" s="33"/>
      <c r="K298" s="33"/>
      <c r="L298" s="34"/>
      <c r="M298" s="34"/>
      <c r="N298" s="34"/>
      <c r="O298" s="34"/>
      <c r="P298" s="33"/>
      <c r="Q298" s="35"/>
      <c r="R298" s="33"/>
      <c r="S298" s="33"/>
      <c r="T298" s="33"/>
      <c r="U298" s="33"/>
      <c r="V298" s="33"/>
      <c r="W298" s="33"/>
    </row>
    <row r="299" customFormat="false" ht="15" hidden="false" customHeight="false" outlineLevel="0" collapsed="false">
      <c r="A299" s="33"/>
      <c r="B299" s="33"/>
      <c r="C299" s="33"/>
      <c r="D299" s="33"/>
      <c r="E299" s="33"/>
      <c r="F299" s="33"/>
      <c r="G299" s="33"/>
      <c r="H299" s="33"/>
      <c r="I299" s="33"/>
      <c r="J299" s="33"/>
      <c r="K299" s="33"/>
      <c r="L299" s="34"/>
      <c r="M299" s="34"/>
      <c r="N299" s="34"/>
      <c r="O299" s="34"/>
      <c r="P299" s="33"/>
      <c r="Q299" s="35"/>
      <c r="R299" s="33"/>
      <c r="S299" s="33"/>
      <c r="T299" s="33"/>
      <c r="U299" s="33"/>
      <c r="V299" s="33"/>
      <c r="W299" s="33"/>
    </row>
    <row r="300" customFormat="false" ht="15" hidden="false" customHeight="false" outlineLevel="0" collapsed="false">
      <c r="A300" s="33"/>
      <c r="B300" s="33"/>
      <c r="C300" s="33"/>
      <c r="D300" s="33"/>
      <c r="E300" s="33"/>
      <c r="F300" s="33"/>
      <c r="G300" s="33"/>
      <c r="H300" s="33"/>
      <c r="I300" s="33"/>
      <c r="J300" s="33"/>
      <c r="K300" s="33"/>
      <c r="L300" s="34"/>
      <c r="M300" s="34"/>
      <c r="N300" s="34"/>
      <c r="O300" s="34"/>
      <c r="P300" s="33"/>
      <c r="Q300" s="35"/>
      <c r="R300" s="33"/>
      <c r="S300" s="33"/>
      <c r="T300" s="33"/>
      <c r="U300" s="33"/>
      <c r="V300" s="33"/>
      <c r="W300" s="33"/>
    </row>
  </sheetData>
  <autoFilter ref="A4:W10"/>
  <mergeCells count="6">
    <mergeCell ref="A3:C3"/>
    <mergeCell ref="D3:H3"/>
    <mergeCell ref="I3:O3"/>
    <mergeCell ref="P3:R3"/>
    <mergeCell ref="S3:U3"/>
    <mergeCell ref="V3:W3"/>
  </mergeCells>
  <conditionalFormatting sqref="P5:P300">
    <cfRule type="expression" priority="2" aboveAverage="0" equalAverage="0" bottom="0" percent="0" rank="0" text="" dxfId="5">
      <formula>$P5="AVL"</formula>
    </cfRule>
    <cfRule type="expression" priority="3" aboveAverage="0" equalAverage="0" bottom="0" percent="0" rank="0" text="" dxfId="6">
      <formula>$P5="Qualified"</formula>
    </cfRule>
    <cfRule type="expression" priority="4" aboveAverage="0" equalAverage="0" bottom="0" percent="0" rank="0" text="" dxfId="7">
      <formula>$P5="Prequalified"</formula>
    </cfRule>
    <cfRule type="expression" priority="5" aboveAverage="0" equalAverage="0" bottom="0" percent="0" rank="0" text="" dxfId="8">
      <formula>$P5="On Hold"</formula>
    </cfRule>
    <cfRule type="expression" priority="6" aboveAverage="0" equalAverage="0" bottom="0" percent="0" rank="0" text="" dxfId="9">
      <formula>$P5="Disqualified"</formula>
    </cfRule>
  </conditionalFormatting>
  <conditionalFormatting sqref="W5:W300">
    <cfRule type="expression" priority="7" aboveAverage="0" equalAverage="0" bottom="0" percent="0" rank="0" text="" dxfId="9">
      <formula>$W5="High"</formula>
    </cfRule>
    <cfRule type="expression" priority="8" aboveAverage="0" equalAverage="0" bottom="0" percent="0" rank="0" text="" dxfId="10">
      <formula>$W5="FEOC Review"</formula>
    </cfRule>
    <cfRule type="expression" priority="9" aboveAverage="0" equalAverage="0" bottom="0" percent="0" rank="0" text="" dxfId="8">
      <formula>$W5="Medium"</formula>
    </cfRule>
    <cfRule type="expression" priority="10" aboveAverage="0" equalAverage="0" bottom="0" percent="0" rank="0" text="" dxfId="5">
      <formula>$W5="Low"</formula>
    </cfRule>
  </conditionalFormatting>
  <dataValidations count="5">
    <dataValidation allowBlank="true" error="Pick a value from the list (edit the Lists tab to change options)." errorStyle="stop" errorTitle="Invalid entry" operator="between" showDropDown="false" showErrorMessage="true" showInputMessage="false" sqref="P5:P300" type="list">
      <formula1>lst_status</formula1>
      <formula2>0</formula2>
    </dataValidation>
    <dataValidation allowBlank="true" error="Pick a value from the list (edit the Lists tab to change options)." errorStyle="stop" errorTitle="Invalid entry" operator="between" showDropDown="false" showErrorMessage="true" showInputMessage="false" sqref="R5:R300" type="list">
      <formula1>lst_rfx</formula1>
      <formula2>0</formula2>
    </dataValidation>
    <dataValidation allowBlank="true" error="Pick a value from the list (edit the Lists tab to change options)." errorStyle="stop" errorTitle="Invalid entry" operator="between" showDropDown="false" showErrorMessage="true" showInputMessage="false" sqref="T5:T300" type="list">
      <formula1>lst_fin</formula1>
      <formula2>0</formula2>
    </dataValidation>
    <dataValidation allowBlank="true" error="Pick a value from the list (edit the Lists tab to change options)." errorStyle="stop" errorTitle="Invalid entry" operator="between" showDropDown="false" showErrorMessage="true" showInputMessage="false" sqref="W5:W300" type="list">
      <formula1>lst_scr</formula1>
      <formula2>0</formula2>
    </dataValidation>
    <dataValidation allowBlank="true" error="Enter a date (yyyy-mm-dd)." errorStyle="stop" operator="greaterThan" showDropDown="false" showErrorMessage="true" showInputMessage="false" sqref="Q5:Q300" type="date">
      <formula1>DATE(2020,1,1)</formula1>
      <formula2>0</formula2>
    </dataValidation>
  </dataValidations>
  <hyperlinks>
    <hyperlink ref="I5" r:id="rId2" display="https://www.hitachienergy.com/us/en"/>
    <hyperlink ref="I6" r:id="rId3" display="https://siemens-energy.com/us/en/home.html"/>
    <hyperlink ref="K6" r:id="rId4" display="https://siemens-energy.com/us/en/home/products-services/product/dead-tank.html"/>
    <hyperlink ref="I7" r:id="rId5" display="https://www.gevernova.com/grid-solutions/equipment/circuit-breakers/dead-tank-circuit-breakers"/>
    <hyperlink ref="I8" r:id="rId6" display="https://www.meppi.com"/>
    <hyperlink ref="K8" r:id="rId7" display="https://www.meppi.com/contact-us"/>
    <hyperlink ref="I9" r:id="rId8" display="https://www.hyosungheavyindustries.com/en/business/power-products/P010104"/>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9"/>
  <legacyDrawing r:id="rId1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false"/>
  </sheetPr>
  <dimension ref="A1:W30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40"/>
    <col collapsed="false" customWidth="true" hidden="false" outlineLevel="0" max="4" min="4" style="0" width="15"/>
    <col collapsed="false" customWidth="true" hidden="false" outlineLevel="0" max="5" min="5" style="0" width="11"/>
    <col collapsed="false" customWidth="true" hidden="false" outlineLevel="0" max="6" min="6" style="0" width="13"/>
    <col collapsed="false" customWidth="true" hidden="false" outlineLevel="0" max="7" min="7" style="0" width="18"/>
    <col collapsed="false" customWidth="true" hidden="false" outlineLevel="0" max="9" min="8" style="0" width="28"/>
    <col collapsed="false" customWidth="true" hidden="false" outlineLevel="0" max="10" min="10" style="0" width="18"/>
    <col collapsed="false" customWidth="true" hidden="false" outlineLevel="0" max="11" min="11" style="0" width="28"/>
    <col collapsed="false" customWidth="true" hidden="false" outlineLevel="0" max="12" min="12" style="0" width="20"/>
    <col collapsed="false" customWidth="true" hidden="false" outlineLevel="0" max="13" min="13" style="0" width="18"/>
    <col collapsed="false" customWidth="true" hidden="false" outlineLevel="0" max="14" min="14" style="0" width="24"/>
    <col collapsed="false" customWidth="true" hidden="false" outlineLevel="0" max="16" min="15" style="0" width="15"/>
    <col collapsed="false" customWidth="true" hidden="false" outlineLevel="0" max="17" min="17" style="0" width="12"/>
    <col collapsed="false" customWidth="true" hidden="false" outlineLevel="0" max="18" min="18" style="0" width="14"/>
    <col collapsed="false" customWidth="true" hidden="false" outlineLevel="0" max="19" min="19" style="0" width="24"/>
    <col collapsed="false" customWidth="true" hidden="false" outlineLevel="0" max="20" min="20" style="0" width="13"/>
    <col collapsed="false" customWidth="true" hidden="false" outlineLevel="0" max="22" min="21" style="0" width="45"/>
    <col collapsed="false" customWidth="true" hidden="false" outlineLevel="0" max="23" min="23" style="0" width="13"/>
  </cols>
  <sheetData>
    <row r="1" customFormat="false" ht="17.35" hidden="false" customHeight="false" outlineLevel="0" collapsed="false">
      <c r="A1" s="16" t="s">
        <v>821</v>
      </c>
    </row>
    <row r="2" customFormat="false" ht="15" hidden="false" customHeight="false" outlineLevel="0" collapsed="false">
      <c r="A2" s="2" t="s">
        <v>87</v>
      </c>
    </row>
    <row r="3" customFormat="false" ht="15" hidden="false" customHeight="false" outlineLevel="0" collapsed="false">
      <c r="A3" s="22" t="s">
        <v>58</v>
      </c>
      <c r="B3" s="22"/>
      <c r="C3" s="22"/>
      <c r="D3" s="23" t="s">
        <v>60</v>
      </c>
      <c r="E3" s="23"/>
      <c r="F3" s="23"/>
      <c r="G3" s="23"/>
      <c r="H3" s="23"/>
      <c r="I3" s="24" t="s">
        <v>61</v>
      </c>
      <c r="J3" s="24"/>
      <c r="K3" s="24"/>
      <c r="L3" s="24"/>
      <c r="M3" s="24"/>
      <c r="N3" s="24"/>
      <c r="O3" s="24"/>
      <c r="P3" s="25" t="s">
        <v>62</v>
      </c>
      <c r="Q3" s="25"/>
      <c r="R3" s="25"/>
      <c r="S3" s="26" t="s">
        <v>32</v>
      </c>
      <c r="T3" s="26"/>
      <c r="U3" s="26"/>
      <c r="V3" s="27" t="s">
        <v>34</v>
      </c>
      <c r="W3" s="27"/>
    </row>
    <row r="4" customFormat="false" ht="31.5" hidden="false" customHeight="true" outlineLevel="0" collapsed="false">
      <c r="A4" s="28" t="s">
        <v>88</v>
      </c>
      <c r="B4" s="28" t="s">
        <v>89</v>
      </c>
      <c r="C4" s="28" t="s">
        <v>569</v>
      </c>
      <c r="D4" s="28" t="s">
        <v>91</v>
      </c>
      <c r="E4" s="28" t="s">
        <v>92</v>
      </c>
      <c r="F4" s="28" t="s">
        <v>93</v>
      </c>
      <c r="G4" s="28" t="s">
        <v>94</v>
      </c>
      <c r="H4" s="28" t="s">
        <v>95</v>
      </c>
      <c r="I4" s="28" t="s">
        <v>96</v>
      </c>
      <c r="J4" s="28" t="s">
        <v>97</v>
      </c>
      <c r="K4" s="28" t="s">
        <v>98</v>
      </c>
      <c r="L4" s="28" t="s">
        <v>99</v>
      </c>
      <c r="M4" s="28" t="s">
        <v>100</v>
      </c>
      <c r="N4" s="28" t="s">
        <v>101</v>
      </c>
      <c r="O4" s="28" t="s">
        <v>102</v>
      </c>
      <c r="P4" s="28" t="s">
        <v>103</v>
      </c>
      <c r="Q4" s="28" t="s">
        <v>104</v>
      </c>
      <c r="R4" s="28" t="s">
        <v>105</v>
      </c>
      <c r="S4" s="28" t="s">
        <v>106</v>
      </c>
      <c r="T4" s="28" t="s">
        <v>41</v>
      </c>
      <c r="U4" s="28" t="s">
        <v>107</v>
      </c>
      <c r="V4" s="28" t="s">
        <v>670</v>
      </c>
      <c r="W4" s="28" t="s">
        <v>109</v>
      </c>
    </row>
    <row r="5" customFormat="false" ht="32.8" hidden="false" customHeight="false" outlineLevel="0" collapsed="false">
      <c r="A5" s="29" t="s">
        <v>822</v>
      </c>
      <c r="B5" s="29" t="s">
        <v>682</v>
      </c>
      <c r="C5" s="29" t="s">
        <v>823</v>
      </c>
      <c r="D5" s="29" t="s">
        <v>684</v>
      </c>
      <c r="E5" s="29"/>
      <c r="F5" s="29" t="s">
        <v>685</v>
      </c>
      <c r="G5" s="29" t="s">
        <v>686</v>
      </c>
      <c r="H5" s="29"/>
      <c r="I5" s="30" t="s">
        <v>688</v>
      </c>
      <c r="J5" s="29"/>
      <c r="K5" s="29"/>
      <c r="L5" s="31"/>
      <c r="M5" s="31"/>
      <c r="N5" s="31"/>
      <c r="O5" s="31"/>
      <c r="P5" s="29" t="s">
        <v>19</v>
      </c>
      <c r="Q5" s="32" t="n">
        <v>46300</v>
      </c>
      <c r="R5" s="29" t="s">
        <v>117</v>
      </c>
      <c r="S5" s="29" t="s">
        <v>689</v>
      </c>
      <c r="T5" s="29" t="s">
        <v>119</v>
      </c>
      <c r="U5" s="29" t="s">
        <v>824</v>
      </c>
      <c r="V5" s="29" t="s">
        <v>825</v>
      </c>
      <c r="W5" s="29" t="s">
        <v>119</v>
      </c>
    </row>
    <row r="6" customFormat="false" ht="32.8" hidden="false" customHeight="false" outlineLevel="0" collapsed="false">
      <c r="A6" s="29" t="s">
        <v>826</v>
      </c>
      <c r="B6" s="29" t="s">
        <v>827</v>
      </c>
      <c r="C6" s="29" t="s">
        <v>828</v>
      </c>
      <c r="D6" s="29" t="s">
        <v>829</v>
      </c>
      <c r="E6" s="29"/>
      <c r="F6" s="29" t="s">
        <v>830</v>
      </c>
      <c r="G6" s="29" t="s">
        <v>831</v>
      </c>
      <c r="H6" s="29"/>
      <c r="I6" s="30" t="s">
        <v>832</v>
      </c>
      <c r="J6" s="29"/>
      <c r="K6" s="29"/>
      <c r="L6" s="31"/>
      <c r="M6" s="31"/>
      <c r="N6" s="31"/>
      <c r="O6" s="31"/>
      <c r="P6" s="29" t="s">
        <v>19</v>
      </c>
      <c r="Q6" s="32" t="n">
        <v>46300</v>
      </c>
      <c r="R6" s="29" t="s">
        <v>117</v>
      </c>
      <c r="S6" s="29" t="s">
        <v>833</v>
      </c>
      <c r="T6" s="29" t="s">
        <v>119</v>
      </c>
      <c r="U6" s="29" t="s">
        <v>834</v>
      </c>
      <c r="V6" s="29" t="s">
        <v>835</v>
      </c>
      <c r="W6" s="29" t="s">
        <v>119</v>
      </c>
    </row>
    <row r="7" customFormat="false" ht="32.8" hidden="false" customHeight="false" outlineLevel="0" collapsed="false">
      <c r="A7" s="29" t="s">
        <v>836</v>
      </c>
      <c r="B7" s="29" t="s">
        <v>837</v>
      </c>
      <c r="C7" s="29" t="s">
        <v>838</v>
      </c>
      <c r="D7" s="29" t="s">
        <v>674</v>
      </c>
      <c r="E7" s="29"/>
      <c r="F7" s="29" t="s">
        <v>675</v>
      </c>
      <c r="G7" s="29" t="s">
        <v>839</v>
      </c>
      <c r="H7" s="29"/>
      <c r="I7" s="30" t="s">
        <v>840</v>
      </c>
      <c r="J7" s="29"/>
      <c r="K7" s="29"/>
      <c r="L7" s="31"/>
      <c r="M7" s="31"/>
      <c r="N7" s="31"/>
      <c r="O7" s="31"/>
      <c r="P7" s="29" t="s">
        <v>19</v>
      </c>
      <c r="Q7" s="32" t="n">
        <v>46300</v>
      </c>
      <c r="R7" s="29" t="s">
        <v>117</v>
      </c>
      <c r="S7" s="29" t="s">
        <v>841</v>
      </c>
      <c r="T7" s="29" t="s">
        <v>119</v>
      </c>
      <c r="U7" s="29" t="s">
        <v>842</v>
      </c>
      <c r="V7" s="29" t="s">
        <v>843</v>
      </c>
      <c r="W7" s="29" t="s">
        <v>119</v>
      </c>
    </row>
    <row r="8" customFormat="false" ht="32.8" hidden="false" customHeight="false" outlineLevel="0" collapsed="false">
      <c r="A8" s="29" t="s">
        <v>844</v>
      </c>
      <c r="B8" s="29" t="s">
        <v>845</v>
      </c>
      <c r="C8" s="29" t="s">
        <v>846</v>
      </c>
      <c r="D8" s="29" t="s">
        <v>780</v>
      </c>
      <c r="E8" s="29"/>
      <c r="F8" s="29" t="s">
        <v>781</v>
      </c>
      <c r="G8" s="29"/>
      <c r="H8" s="29" t="s">
        <v>847</v>
      </c>
      <c r="I8" s="30" t="s">
        <v>848</v>
      </c>
      <c r="J8" s="29" t="s">
        <v>849</v>
      </c>
      <c r="K8" s="29"/>
      <c r="L8" s="31"/>
      <c r="M8" s="31"/>
      <c r="N8" s="31"/>
      <c r="O8" s="31"/>
      <c r="P8" s="29" t="s">
        <v>19</v>
      </c>
      <c r="Q8" s="32" t="n">
        <v>46300</v>
      </c>
      <c r="R8" s="29" t="s">
        <v>117</v>
      </c>
      <c r="S8" s="29" t="s">
        <v>850</v>
      </c>
      <c r="T8" s="29" t="s">
        <v>119</v>
      </c>
      <c r="U8" s="29" t="s">
        <v>851</v>
      </c>
      <c r="V8" s="29" t="s">
        <v>852</v>
      </c>
      <c r="W8" s="29" t="s">
        <v>119</v>
      </c>
    </row>
    <row r="9" customFormat="false" ht="32.8" hidden="false" customHeight="false" outlineLevel="0" collapsed="false">
      <c r="A9" s="29" t="s">
        <v>853</v>
      </c>
      <c r="B9" s="29" t="s">
        <v>854</v>
      </c>
      <c r="C9" s="29" t="s">
        <v>855</v>
      </c>
      <c r="D9" s="29" t="s">
        <v>271</v>
      </c>
      <c r="E9" s="29" t="s">
        <v>184</v>
      </c>
      <c r="F9" s="29" t="s">
        <v>127</v>
      </c>
      <c r="G9" s="29"/>
      <c r="H9" s="29" t="s">
        <v>856</v>
      </c>
      <c r="I9" s="30" t="s">
        <v>857</v>
      </c>
      <c r="J9" s="29"/>
      <c r="K9" s="30" t="s">
        <v>858</v>
      </c>
      <c r="L9" s="31"/>
      <c r="M9" s="31"/>
      <c r="N9" s="31"/>
      <c r="O9" s="31"/>
      <c r="P9" s="29" t="s">
        <v>19</v>
      </c>
      <c r="Q9" s="32" t="n">
        <v>46300</v>
      </c>
      <c r="R9" s="29" t="s">
        <v>117</v>
      </c>
      <c r="S9" s="29" t="s">
        <v>859</v>
      </c>
      <c r="T9" s="29" t="s">
        <v>119</v>
      </c>
      <c r="U9" s="29" t="s">
        <v>860</v>
      </c>
      <c r="V9" s="29" t="s">
        <v>861</v>
      </c>
      <c r="W9" s="29" t="s">
        <v>119</v>
      </c>
    </row>
    <row r="10" customFormat="false" ht="32.8" hidden="false" customHeight="false" outlineLevel="0" collapsed="false">
      <c r="A10" s="29" t="s">
        <v>862</v>
      </c>
      <c r="B10" s="29" t="s">
        <v>863</v>
      </c>
      <c r="C10" s="29" t="s">
        <v>864</v>
      </c>
      <c r="D10" s="29" t="s">
        <v>281</v>
      </c>
      <c r="E10" s="29" t="s">
        <v>282</v>
      </c>
      <c r="F10" s="29" t="s">
        <v>127</v>
      </c>
      <c r="G10" s="29"/>
      <c r="H10" s="29"/>
      <c r="I10" s="30" t="s">
        <v>865</v>
      </c>
      <c r="J10" s="29"/>
      <c r="K10" s="29"/>
      <c r="L10" s="31"/>
      <c r="M10" s="31"/>
      <c r="N10" s="31"/>
      <c r="O10" s="31"/>
      <c r="P10" s="29" t="s">
        <v>19</v>
      </c>
      <c r="Q10" s="32" t="n">
        <v>46300</v>
      </c>
      <c r="R10" s="29" t="s">
        <v>117</v>
      </c>
      <c r="S10" s="29" t="s">
        <v>214</v>
      </c>
      <c r="T10" s="29" t="s">
        <v>119</v>
      </c>
      <c r="U10" s="29" t="s">
        <v>866</v>
      </c>
      <c r="V10" s="29" t="s">
        <v>867</v>
      </c>
      <c r="W10" s="29" t="s">
        <v>119</v>
      </c>
    </row>
    <row r="11" customFormat="false" ht="32.8" hidden="false" customHeight="false" outlineLevel="0" collapsed="false">
      <c r="A11" s="29" t="s">
        <v>868</v>
      </c>
      <c r="B11" s="29" t="s">
        <v>869</v>
      </c>
      <c r="C11" s="29" t="s">
        <v>870</v>
      </c>
      <c r="D11" s="29" t="s">
        <v>871</v>
      </c>
      <c r="E11" s="29" t="s">
        <v>282</v>
      </c>
      <c r="F11" s="29" t="s">
        <v>127</v>
      </c>
      <c r="G11" s="29"/>
      <c r="H11" s="29"/>
      <c r="I11" s="30" t="s">
        <v>872</v>
      </c>
      <c r="J11" s="29"/>
      <c r="K11" s="29"/>
      <c r="L11" s="31"/>
      <c r="M11" s="31"/>
      <c r="N11" s="31"/>
      <c r="O11" s="31"/>
      <c r="P11" s="29" t="s">
        <v>19</v>
      </c>
      <c r="Q11" s="32" t="n">
        <v>46300</v>
      </c>
      <c r="R11" s="29" t="s">
        <v>117</v>
      </c>
      <c r="S11" s="29" t="s">
        <v>873</v>
      </c>
      <c r="T11" s="29" t="s">
        <v>119</v>
      </c>
      <c r="U11" s="29" t="s">
        <v>874</v>
      </c>
      <c r="V11" s="29" t="s">
        <v>875</v>
      </c>
      <c r="W11" s="29" t="s">
        <v>119</v>
      </c>
    </row>
    <row r="12" customFormat="false" ht="15" hidden="false" customHeight="false" outlineLevel="0" collapsed="false">
      <c r="A12" s="29"/>
      <c r="B12" s="29"/>
      <c r="C12" s="29"/>
      <c r="D12" s="29"/>
      <c r="E12" s="29"/>
      <c r="F12" s="29"/>
      <c r="G12" s="29"/>
      <c r="H12" s="29"/>
      <c r="I12" s="29"/>
      <c r="J12" s="29"/>
      <c r="K12" s="29"/>
      <c r="L12" s="31"/>
      <c r="M12" s="31"/>
      <c r="N12" s="31"/>
      <c r="O12" s="31"/>
      <c r="P12" s="29"/>
      <c r="Q12" s="32"/>
      <c r="R12" s="29"/>
      <c r="S12" s="29"/>
      <c r="T12" s="29"/>
      <c r="U12" s="29"/>
      <c r="V12" s="29"/>
      <c r="W12" s="29"/>
    </row>
    <row r="13" customFormat="false" ht="15" hidden="false" customHeight="false" outlineLevel="0" collapsed="false">
      <c r="A13" s="29"/>
      <c r="B13" s="29"/>
      <c r="C13" s="29"/>
      <c r="D13" s="29"/>
      <c r="E13" s="29"/>
      <c r="F13" s="29"/>
      <c r="G13" s="29"/>
      <c r="H13" s="29"/>
      <c r="I13" s="29"/>
      <c r="J13" s="29"/>
      <c r="K13" s="29"/>
      <c r="L13" s="31"/>
      <c r="M13" s="31"/>
      <c r="N13" s="31"/>
      <c r="O13" s="31"/>
      <c r="P13" s="29"/>
      <c r="Q13" s="32"/>
      <c r="R13" s="29"/>
      <c r="S13" s="29"/>
      <c r="T13" s="29"/>
      <c r="U13" s="29"/>
      <c r="V13" s="29"/>
      <c r="W13" s="29"/>
    </row>
    <row r="14" customFormat="false" ht="15" hidden="false" customHeight="false" outlineLevel="0" collapsed="false">
      <c r="A14" s="29"/>
      <c r="B14" s="29"/>
      <c r="C14" s="29"/>
      <c r="D14" s="29"/>
      <c r="E14" s="29"/>
      <c r="F14" s="29"/>
      <c r="G14" s="29"/>
      <c r="H14" s="29"/>
      <c r="I14" s="29"/>
      <c r="J14" s="29"/>
      <c r="K14" s="29"/>
      <c r="L14" s="31"/>
      <c r="M14" s="31"/>
      <c r="N14" s="31"/>
      <c r="O14" s="31"/>
      <c r="P14" s="29"/>
      <c r="Q14" s="32"/>
      <c r="R14" s="29"/>
      <c r="S14" s="29"/>
      <c r="T14" s="29"/>
      <c r="U14" s="29"/>
      <c r="V14" s="29"/>
      <c r="W14" s="29"/>
    </row>
    <row r="15" customFormat="false" ht="15" hidden="false" customHeight="false" outlineLevel="0" collapsed="false">
      <c r="A15" s="29"/>
      <c r="B15" s="29"/>
      <c r="C15" s="29"/>
      <c r="D15" s="29"/>
      <c r="E15" s="29"/>
      <c r="F15" s="29"/>
      <c r="G15" s="29"/>
      <c r="H15" s="29"/>
      <c r="I15" s="29"/>
      <c r="J15" s="29"/>
      <c r="K15" s="29"/>
      <c r="L15" s="31"/>
      <c r="M15" s="31"/>
      <c r="N15" s="31"/>
      <c r="O15" s="31"/>
      <c r="P15" s="29"/>
      <c r="Q15" s="32"/>
      <c r="R15" s="29"/>
      <c r="S15" s="29"/>
      <c r="T15" s="29"/>
      <c r="U15" s="29"/>
      <c r="V15" s="29"/>
      <c r="W15" s="29"/>
    </row>
    <row r="16" customFormat="false" ht="15" hidden="false" customHeight="false" outlineLevel="0" collapsed="false">
      <c r="A16" s="29"/>
      <c r="B16" s="29"/>
      <c r="C16" s="29"/>
      <c r="D16" s="29"/>
      <c r="E16" s="29"/>
      <c r="F16" s="29"/>
      <c r="G16" s="29"/>
      <c r="H16" s="29"/>
      <c r="I16" s="29"/>
      <c r="J16" s="29"/>
      <c r="K16" s="29"/>
      <c r="L16" s="31"/>
      <c r="M16" s="31"/>
      <c r="N16" s="31"/>
      <c r="O16" s="31"/>
      <c r="P16" s="29"/>
      <c r="Q16" s="32"/>
      <c r="R16" s="29"/>
      <c r="S16" s="29"/>
      <c r="T16" s="29"/>
      <c r="U16" s="29"/>
      <c r="V16" s="29"/>
      <c r="W16" s="29"/>
    </row>
    <row r="17" customFormat="false" ht="15" hidden="false" customHeight="false" outlineLevel="0" collapsed="false">
      <c r="A17" s="29"/>
      <c r="B17" s="29"/>
      <c r="C17" s="29"/>
      <c r="D17" s="29"/>
      <c r="E17" s="29"/>
      <c r="F17" s="29"/>
      <c r="G17" s="29"/>
      <c r="H17" s="29"/>
      <c r="I17" s="29"/>
      <c r="J17" s="29"/>
      <c r="K17" s="29"/>
      <c r="L17" s="31"/>
      <c r="M17" s="31"/>
      <c r="N17" s="31"/>
      <c r="O17" s="31"/>
      <c r="P17" s="29"/>
      <c r="Q17" s="32"/>
      <c r="R17" s="29"/>
      <c r="S17" s="29"/>
      <c r="T17" s="29"/>
      <c r="U17" s="29"/>
      <c r="V17" s="29"/>
      <c r="W17" s="29"/>
    </row>
    <row r="18" customFormat="false" ht="15" hidden="false" customHeight="false" outlineLevel="0" collapsed="false">
      <c r="A18" s="29"/>
      <c r="B18" s="29"/>
      <c r="C18" s="29"/>
      <c r="D18" s="29"/>
      <c r="E18" s="29"/>
      <c r="F18" s="29"/>
      <c r="G18" s="29"/>
      <c r="H18" s="29"/>
      <c r="I18" s="29"/>
      <c r="J18" s="29"/>
      <c r="K18" s="29"/>
      <c r="L18" s="31"/>
      <c r="M18" s="31"/>
      <c r="N18" s="31"/>
      <c r="O18" s="31"/>
      <c r="P18" s="29"/>
      <c r="Q18" s="32"/>
      <c r="R18" s="29"/>
      <c r="S18" s="29"/>
      <c r="T18" s="29"/>
      <c r="U18" s="29"/>
      <c r="V18" s="29"/>
      <c r="W18" s="29"/>
    </row>
    <row r="19" customFormat="false" ht="15" hidden="false" customHeight="false" outlineLevel="0" collapsed="false">
      <c r="A19" s="29"/>
      <c r="B19" s="29"/>
      <c r="C19" s="29"/>
      <c r="D19" s="29"/>
      <c r="E19" s="29"/>
      <c r="F19" s="29"/>
      <c r="G19" s="29"/>
      <c r="H19" s="29"/>
      <c r="I19" s="29"/>
      <c r="J19" s="29"/>
      <c r="K19" s="29"/>
      <c r="L19" s="31"/>
      <c r="M19" s="31"/>
      <c r="N19" s="31"/>
      <c r="O19" s="31"/>
      <c r="P19" s="29"/>
      <c r="Q19" s="32"/>
      <c r="R19" s="29"/>
      <c r="S19" s="29"/>
      <c r="T19" s="29"/>
      <c r="U19" s="29"/>
      <c r="V19" s="29"/>
      <c r="W19" s="29"/>
    </row>
    <row r="20" customFormat="false" ht="15" hidden="false" customHeight="false" outlineLevel="0" collapsed="false">
      <c r="A20" s="29"/>
      <c r="B20" s="29"/>
      <c r="C20" s="29"/>
      <c r="D20" s="29"/>
      <c r="E20" s="29"/>
      <c r="F20" s="29"/>
      <c r="G20" s="29"/>
      <c r="H20" s="29"/>
      <c r="I20" s="29"/>
      <c r="J20" s="29"/>
      <c r="K20" s="29"/>
      <c r="L20" s="31"/>
      <c r="M20" s="31"/>
      <c r="N20" s="31"/>
      <c r="O20" s="31"/>
      <c r="P20" s="29"/>
      <c r="Q20" s="32"/>
      <c r="R20" s="29"/>
      <c r="S20" s="29"/>
      <c r="T20" s="29"/>
      <c r="U20" s="29"/>
      <c r="V20" s="29"/>
      <c r="W20" s="29"/>
    </row>
    <row r="21" customFormat="false" ht="15" hidden="false" customHeight="false" outlineLevel="0" collapsed="false">
      <c r="A21" s="29"/>
      <c r="B21" s="29"/>
      <c r="C21" s="29"/>
      <c r="D21" s="29"/>
      <c r="E21" s="29"/>
      <c r="F21" s="29"/>
      <c r="G21" s="29"/>
      <c r="H21" s="29"/>
      <c r="I21" s="29"/>
      <c r="J21" s="29"/>
      <c r="K21" s="29"/>
      <c r="L21" s="31"/>
      <c r="M21" s="31"/>
      <c r="N21" s="31"/>
      <c r="O21" s="31"/>
      <c r="P21" s="29"/>
      <c r="Q21" s="32"/>
      <c r="R21" s="29"/>
      <c r="S21" s="29"/>
      <c r="T21" s="29"/>
      <c r="U21" s="29"/>
      <c r="V21" s="29"/>
      <c r="W21" s="29"/>
    </row>
    <row r="22" customFormat="false" ht="15" hidden="false" customHeight="false" outlineLevel="0" collapsed="false">
      <c r="A22" s="29"/>
      <c r="B22" s="29"/>
      <c r="C22" s="29"/>
      <c r="D22" s="29"/>
      <c r="E22" s="29"/>
      <c r="F22" s="29"/>
      <c r="G22" s="29"/>
      <c r="H22" s="29"/>
      <c r="I22" s="29"/>
      <c r="J22" s="29"/>
      <c r="K22" s="29"/>
      <c r="L22" s="31"/>
      <c r="M22" s="31"/>
      <c r="N22" s="31"/>
      <c r="O22" s="31"/>
      <c r="P22" s="29"/>
      <c r="Q22" s="32"/>
      <c r="R22" s="29"/>
      <c r="S22" s="29"/>
      <c r="T22" s="29"/>
      <c r="U22" s="29"/>
      <c r="V22" s="29"/>
      <c r="W22" s="29"/>
    </row>
    <row r="23" customFormat="false" ht="15" hidden="false" customHeight="false" outlineLevel="0" collapsed="false">
      <c r="A23" s="29"/>
      <c r="B23" s="29"/>
      <c r="C23" s="29"/>
      <c r="D23" s="29"/>
      <c r="E23" s="29"/>
      <c r="F23" s="29"/>
      <c r="G23" s="29"/>
      <c r="H23" s="29"/>
      <c r="I23" s="29"/>
      <c r="J23" s="29"/>
      <c r="K23" s="29"/>
      <c r="L23" s="31"/>
      <c r="M23" s="31"/>
      <c r="N23" s="31"/>
      <c r="O23" s="31"/>
      <c r="P23" s="29"/>
      <c r="Q23" s="32"/>
      <c r="R23" s="29"/>
      <c r="S23" s="29"/>
      <c r="T23" s="29"/>
      <c r="U23" s="29"/>
      <c r="V23" s="29"/>
      <c r="W23" s="29"/>
    </row>
    <row r="24" customFormat="false" ht="15" hidden="false" customHeight="false" outlineLevel="0" collapsed="false">
      <c r="A24" s="29"/>
      <c r="B24" s="29"/>
      <c r="C24" s="29"/>
      <c r="D24" s="29"/>
      <c r="E24" s="29"/>
      <c r="F24" s="29"/>
      <c r="G24" s="29"/>
      <c r="H24" s="29"/>
      <c r="I24" s="29"/>
      <c r="J24" s="29"/>
      <c r="K24" s="29"/>
      <c r="L24" s="31"/>
      <c r="M24" s="31"/>
      <c r="N24" s="31"/>
      <c r="O24" s="31"/>
      <c r="P24" s="29"/>
      <c r="Q24" s="32"/>
      <c r="R24" s="29"/>
      <c r="S24" s="29"/>
      <c r="T24" s="29"/>
      <c r="U24" s="29"/>
      <c r="V24" s="29"/>
      <c r="W24" s="29"/>
    </row>
    <row r="25" customFormat="false" ht="15" hidden="false" customHeight="false" outlineLevel="0" collapsed="false">
      <c r="A25" s="29"/>
      <c r="B25" s="29"/>
      <c r="C25" s="29"/>
      <c r="D25" s="29"/>
      <c r="E25" s="29"/>
      <c r="F25" s="29"/>
      <c r="G25" s="29"/>
      <c r="H25" s="29"/>
      <c r="I25" s="29"/>
      <c r="J25" s="29"/>
      <c r="K25" s="29"/>
      <c r="L25" s="31"/>
      <c r="M25" s="31"/>
      <c r="N25" s="31"/>
      <c r="O25" s="31"/>
      <c r="P25" s="29"/>
      <c r="Q25" s="32"/>
      <c r="R25" s="29"/>
      <c r="S25" s="29"/>
      <c r="T25" s="29"/>
      <c r="U25" s="29"/>
      <c r="V25" s="29"/>
      <c r="W25" s="29"/>
    </row>
    <row r="26" customFormat="false" ht="15" hidden="false" customHeight="false" outlineLevel="0" collapsed="false">
      <c r="A26" s="29"/>
      <c r="B26" s="29"/>
      <c r="C26" s="29"/>
      <c r="D26" s="29"/>
      <c r="E26" s="29"/>
      <c r="F26" s="29"/>
      <c r="G26" s="29"/>
      <c r="H26" s="29"/>
      <c r="I26" s="29"/>
      <c r="J26" s="29"/>
      <c r="K26" s="29"/>
      <c r="L26" s="31"/>
      <c r="M26" s="31"/>
      <c r="N26" s="31"/>
      <c r="O26" s="31"/>
      <c r="P26" s="29"/>
      <c r="Q26" s="32"/>
      <c r="R26" s="29"/>
      <c r="S26" s="29"/>
      <c r="T26" s="29"/>
      <c r="U26" s="29"/>
      <c r="V26" s="29"/>
      <c r="W26" s="29"/>
    </row>
    <row r="27" customFormat="false" ht="15" hidden="false" customHeight="false" outlineLevel="0" collapsed="false">
      <c r="A27" s="33"/>
      <c r="B27" s="33"/>
      <c r="C27" s="33"/>
      <c r="D27" s="33"/>
      <c r="E27" s="33"/>
      <c r="F27" s="33"/>
      <c r="G27" s="33"/>
      <c r="H27" s="33"/>
      <c r="I27" s="33"/>
      <c r="J27" s="33"/>
      <c r="K27" s="33"/>
      <c r="L27" s="34"/>
      <c r="M27" s="34"/>
      <c r="N27" s="34"/>
      <c r="O27" s="34"/>
      <c r="P27" s="33"/>
      <c r="Q27" s="35"/>
      <c r="R27" s="33"/>
      <c r="S27" s="33"/>
      <c r="T27" s="33"/>
      <c r="U27" s="33"/>
      <c r="V27" s="33"/>
      <c r="W27" s="33"/>
    </row>
    <row r="28" customFormat="false" ht="15" hidden="false" customHeight="false" outlineLevel="0" collapsed="false">
      <c r="A28" s="33"/>
      <c r="B28" s="33"/>
      <c r="C28" s="33"/>
      <c r="D28" s="33"/>
      <c r="E28" s="33"/>
      <c r="F28" s="33"/>
      <c r="G28" s="33"/>
      <c r="H28" s="33"/>
      <c r="I28" s="33"/>
      <c r="J28" s="33"/>
      <c r="K28" s="33"/>
      <c r="L28" s="34"/>
      <c r="M28" s="34"/>
      <c r="N28" s="34"/>
      <c r="O28" s="34"/>
      <c r="P28" s="33"/>
      <c r="Q28" s="35"/>
      <c r="R28" s="33"/>
      <c r="S28" s="33"/>
      <c r="T28" s="33"/>
      <c r="U28" s="33"/>
      <c r="V28" s="33"/>
      <c r="W28" s="33"/>
    </row>
    <row r="29" customFormat="false" ht="15" hidden="false" customHeight="false" outlineLevel="0" collapsed="false">
      <c r="A29" s="33"/>
      <c r="B29" s="33"/>
      <c r="C29" s="33"/>
      <c r="D29" s="33"/>
      <c r="E29" s="33"/>
      <c r="F29" s="33"/>
      <c r="G29" s="33"/>
      <c r="H29" s="33"/>
      <c r="I29" s="33"/>
      <c r="J29" s="33"/>
      <c r="K29" s="33"/>
      <c r="L29" s="34"/>
      <c r="M29" s="34"/>
      <c r="N29" s="34"/>
      <c r="O29" s="34"/>
      <c r="P29" s="33"/>
      <c r="Q29" s="35"/>
      <c r="R29" s="33"/>
      <c r="S29" s="33"/>
      <c r="T29" s="33"/>
      <c r="U29" s="33"/>
      <c r="V29" s="33"/>
      <c r="W29" s="33"/>
    </row>
    <row r="30" customFormat="false" ht="15" hidden="false" customHeight="false" outlineLevel="0" collapsed="false">
      <c r="A30" s="33"/>
      <c r="B30" s="33"/>
      <c r="C30" s="33"/>
      <c r="D30" s="33"/>
      <c r="E30" s="33"/>
      <c r="F30" s="33"/>
      <c r="G30" s="33"/>
      <c r="H30" s="33"/>
      <c r="I30" s="33"/>
      <c r="J30" s="33"/>
      <c r="K30" s="33"/>
      <c r="L30" s="34"/>
      <c r="M30" s="34"/>
      <c r="N30" s="34"/>
      <c r="O30" s="34"/>
      <c r="P30" s="33"/>
      <c r="Q30" s="35"/>
      <c r="R30" s="33"/>
      <c r="S30" s="33"/>
      <c r="T30" s="33"/>
      <c r="U30" s="33"/>
      <c r="V30" s="33"/>
      <c r="W30" s="33"/>
    </row>
    <row r="31" customFormat="false" ht="15" hidden="false" customHeight="false" outlineLevel="0" collapsed="false">
      <c r="A31" s="33"/>
      <c r="B31" s="33"/>
      <c r="C31" s="33"/>
      <c r="D31" s="33"/>
      <c r="E31" s="33"/>
      <c r="F31" s="33"/>
      <c r="G31" s="33"/>
      <c r="H31" s="33"/>
      <c r="I31" s="33"/>
      <c r="J31" s="33"/>
      <c r="K31" s="33"/>
      <c r="L31" s="34"/>
      <c r="M31" s="34"/>
      <c r="N31" s="34"/>
      <c r="O31" s="34"/>
      <c r="P31" s="33"/>
      <c r="Q31" s="35"/>
      <c r="R31" s="33"/>
      <c r="S31" s="33"/>
      <c r="T31" s="33"/>
      <c r="U31" s="33"/>
      <c r="V31" s="33"/>
      <c r="W31" s="33"/>
    </row>
    <row r="32" customFormat="false" ht="15" hidden="false" customHeight="false" outlineLevel="0" collapsed="false">
      <c r="A32" s="33"/>
      <c r="B32" s="33"/>
      <c r="C32" s="33"/>
      <c r="D32" s="33"/>
      <c r="E32" s="33"/>
      <c r="F32" s="33"/>
      <c r="G32" s="33"/>
      <c r="H32" s="33"/>
      <c r="I32" s="33"/>
      <c r="J32" s="33"/>
      <c r="K32" s="33"/>
      <c r="L32" s="34"/>
      <c r="M32" s="34"/>
      <c r="N32" s="34"/>
      <c r="O32" s="34"/>
      <c r="P32" s="33"/>
      <c r="Q32" s="35"/>
      <c r="R32" s="33"/>
      <c r="S32" s="33"/>
      <c r="T32" s="33"/>
      <c r="U32" s="33"/>
      <c r="V32" s="33"/>
      <c r="W32" s="33"/>
    </row>
    <row r="33" customFormat="false" ht="15" hidden="false" customHeight="false" outlineLevel="0" collapsed="false">
      <c r="A33" s="33"/>
      <c r="B33" s="33"/>
      <c r="C33" s="33"/>
      <c r="D33" s="33"/>
      <c r="E33" s="33"/>
      <c r="F33" s="33"/>
      <c r="G33" s="33"/>
      <c r="H33" s="33"/>
      <c r="I33" s="33"/>
      <c r="J33" s="33"/>
      <c r="K33" s="33"/>
      <c r="L33" s="34"/>
      <c r="M33" s="34"/>
      <c r="N33" s="34"/>
      <c r="O33" s="34"/>
      <c r="P33" s="33"/>
      <c r="Q33" s="35"/>
      <c r="R33" s="33"/>
      <c r="S33" s="33"/>
      <c r="T33" s="33"/>
      <c r="U33" s="33"/>
      <c r="V33" s="33"/>
      <c r="W33" s="33"/>
    </row>
    <row r="34" customFormat="false" ht="15" hidden="false" customHeight="false" outlineLevel="0" collapsed="false">
      <c r="A34" s="33"/>
      <c r="B34" s="33"/>
      <c r="C34" s="33"/>
      <c r="D34" s="33"/>
      <c r="E34" s="33"/>
      <c r="F34" s="33"/>
      <c r="G34" s="33"/>
      <c r="H34" s="33"/>
      <c r="I34" s="33"/>
      <c r="J34" s="33"/>
      <c r="K34" s="33"/>
      <c r="L34" s="34"/>
      <c r="M34" s="34"/>
      <c r="N34" s="34"/>
      <c r="O34" s="34"/>
      <c r="P34" s="33"/>
      <c r="Q34" s="35"/>
      <c r="R34" s="33"/>
      <c r="S34" s="33"/>
      <c r="T34" s="33"/>
      <c r="U34" s="33"/>
      <c r="V34" s="33"/>
      <c r="W34" s="33"/>
    </row>
    <row r="35" customFormat="false" ht="15" hidden="false" customHeight="false" outlineLevel="0" collapsed="false">
      <c r="A35" s="33"/>
      <c r="B35" s="33"/>
      <c r="C35" s="33"/>
      <c r="D35" s="33"/>
      <c r="E35" s="33"/>
      <c r="F35" s="33"/>
      <c r="G35" s="33"/>
      <c r="H35" s="33"/>
      <c r="I35" s="33"/>
      <c r="J35" s="33"/>
      <c r="K35" s="33"/>
      <c r="L35" s="34"/>
      <c r="M35" s="34"/>
      <c r="N35" s="34"/>
      <c r="O35" s="34"/>
      <c r="P35" s="33"/>
      <c r="Q35" s="35"/>
      <c r="R35" s="33"/>
      <c r="S35" s="33"/>
      <c r="T35" s="33"/>
      <c r="U35" s="33"/>
      <c r="V35" s="33"/>
      <c r="W35" s="33"/>
    </row>
    <row r="36" customFormat="false" ht="15" hidden="false" customHeight="false" outlineLevel="0" collapsed="false">
      <c r="A36" s="33"/>
      <c r="B36" s="33"/>
      <c r="C36" s="33"/>
      <c r="D36" s="33"/>
      <c r="E36" s="33"/>
      <c r="F36" s="33"/>
      <c r="G36" s="33"/>
      <c r="H36" s="33"/>
      <c r="I36" s="33"/>
      <c r="J36" s="33"/>
      <c r="K36" s="33"/>
      <c r="L36" s="34"/>
      <c r="M36" s="34"/>
      <c r="N36" s="34"/>
      <c r="O36" s="34"/>
      <c r="P36" s="33"/>
      <c r="Q36" s="35"/>
      <c r="R36" s="33"/>
      <c r="S36" s="33"/>
      <c r="T36" s="33"/>
      <c r="U36" s="33"/>
      <c r="V36" s="33"/>
      <c r="W36" s="33"/>
    </row>
    <row r="37" customFormat="false" ht="15" hidden="false" customHeight="false" outlineLevel="0" collapsed="false">
      <c r="A37" s="33"/>
      <c r="B37" s="33"/>
      <c r="C37" s="33"/>
      <c r="D37" s="33"/>
      <c r="E37" s="33"/>
      <c r="F37" s="33"/>
      <c r="G37" s="33"/>
      <c r="H37" s="33"/>
      <c r="I37" s="33"/>
      <c r="J37" s="33"/>
      <c r="K37" s="33"/>
      <c r="L37" s="34"/>
      <c r="M37" s="34"/>
      <c r="N37" s="34"/>
      <c r="O37" s="34"/>
      <c r="P37" s="33"/>
      <c r="Q37" s="35"/>
      <c r="R37" s="33"/>
      <c r="S37" s="33"/>
      <c r="T37" s="33"/>
      <c r="U37" s="33"/>
      <c r="V37" s="33"/>
      <c r="W37" s="33"/>
    </row>
    <row r="38" customFormat="false" ht="15" hidden="false" customHeight="false" outlineLevel="0" collapsed="false">
      <c r="A38" s="33"/>
      <c r="B38" s="33"/>
      <c r="C38" s="33"/>
      <c r="D38" s="33"/>
      <c r="E38" s="33"/>
      <c r="F38" s="33"/>
      <c r="G38" s="33"/>
      <c r="H38" s="33"/>
      <c r="I38" s="33"/>
      <c r="J38" s="33"/>
      <c r="K38" s="33"/>
      <c r="L38" s="34"/>
      <c r="M38" s="34"/>
      <c r="N38" s="34"/>
      <c r="O38" s="34"/>
      <c r="P38" s="33"/>
      <c r="Q38" s="35"/>
      <c r="R38" s="33"/>
      <c r="S38" s="33"/>
      <c r="T38" s="33"/>
      <c r="U38" s="33"/>
      <c r="V38" s="33"/>
      <c r="W38" s="33"/>
    </row>
    <row r="39" customFormat="false" ht="15" hidden="false" customHeight="false" outlineLevel="0" collapsed="false">
      <c r="A39" s="33"/>
      <c r="B39" s="33"/>
      <c r="C39" s="33"/>
      <c r="D39" s="33"/>
      <c r="E39" s="33"/>
      <c r="F39" s="33"/>
      <c r="G39" s="33"/>
      <c r="H39" s="33"/>
      <c r="I39" s="33"/>
      <c r="J39" s="33"/>
      <c r="K39" s="33"/>
      <c r="L39" s="34"/>
      <c r="M39" s="34"/>
      <c r="N39" s="34"/>
      <c r="O39" s="34"/>
      <c r="P39" s="33"/>
      <c r="Q39" s="35"/>
      <c r="R39" s="33"/>
      <c r="S39" s="33"/>
      <c r="T39" s="33"/>
      <c r="U39" s="33"/>
      <c r="V39" s="33"/>
      <c r="W39" s="33"/>
    </row>
    <row r="40" customFormat="false" ht="15" hidden="false" customHeight="false" outlineLevel="0" collapsed="false">
      <c r="A40" s="33"/>
      <c r="B40" s="33"/>
      <c r="C40" s="33"/>
      <c r="D40" s="33"/>
      <c r="E40" s="33"/>
      <c r="F40" s="33"/>
      <c r="G40" s="33"/>
      <c r="H40" s="33"/>
      <c r="I40" s="33"/>
      <c r="J40" s="33"/>
      <c r="K40" s="33"/>
      <c r="L40" s="34"/>
      <c r="M40" s="34"/>
      <c r="N40" s="34"/>
      <c r="O40" s="34"/>
      <c r="P40" s="33"/>
      <c r="Q40" s="35"/>
      <c r="R40" s="33"/>
      <c r="S40" s="33"/>
      <c r="T40" s="33"/>
      <c r="U40" s="33"/>
      <c r="V40" s="33"/>
      <c r="W40" s="33"/>
    </row>
    <row r="41" customFormat="false" ht="15" hidden="false" customHeight="false" outlineLevel="0" collapsed="false">
      <c r="A41" s="33"/>
      <c r="B41" s="33"/>
      <c r="C41" s="33"/>
      <c r="D41" s="33"/>
      <c r="E41" s="33"/>
      <c r="F41" s="33"/>
      <c r="G41" s="33"/>
      <c r="H41" s="33"/>
      <c r="I41" s="33"/>
      <c r="J41" s="33"/>
      <c r="K41" s="33"/>
      <c r="L41" s="34"/>
      <c r="M41" s="34"/>
      <c r="N41" s="34"/>
      <c r="O41" s="34"/>
      <c r="P41" s="33"/>
      <c r="Q41" s="35"/>
      <c r="R41" s="33"/>
      <c r="S41" s="33"/>
      <c r="T41" s="33"/>
      <c r="U41" s="33"/>
      <c r="V41" s="33"/>
      <c r="W41" s="33"/>
    </row>
    <row r="42" customFormat="false" ht="15" hidden="false" customHeight="false" outlineLevel="0" collapsed="false">
      <c r="A42" s="33"/>
      <c r="B42" s="33"/>
      <c r="C42" s="33"/>
      <c r="D42" s="33"/>
      <c r="E42" s="33"/>
      <c r="F42" s="33"/>
      <c r="G42" s="33"/>
      <c r="H42" s="33"/>
      <c r="I42" s="33"/>
      <c r="J42" s="33"/>
      <c r="K42" s="33"/>
      <c r="L42" s="34"/>
      <c r="M42" s="34"/>
      <c r="N42" s="34"/>
      <c r="O42" s="34"/>
      <c r="P42" s="33"/>
      <c r="Q42" s="35"/>
      <c r="R42" s="33"/>
      <c r="S42" s="33"/>
      <c r="T42" s="33"/>
      <c r="U42" s="33"/>
      <c r="V42" s="33"/>
      <c r="W42" s="33"/>
    </row>
    <row r="43" customFormat="false" ht="15" hidden="false" customHeight="false" outlineLevel="0" collapsed="false">
      <c r="A43" s="33"/>
      <c r="B43" s="33"/>
      <c r="C43" s="33"/>
      <c r="D43" s="33"/>
      <c r="E43" s="33"/>
      <c r="F43" s="33"/>
      <c r="G43" s="33"/>
      <c r="H43" s="33"/>
      <c r="I43" s="33"/>
      <c r="J43" s="33"/>
      <c r="K43" s="33"/>
      <c r="L43" s="34"/>
      <c r="M43" s="34"/>
      <c r="N43" s="34"/>
      <c r="O43" s="34"/>
      <c r="P43" s="33"/>
      <c r="Q43" s="35"/>
      <c r="R43" s="33"/>
      <c r="S43" s="33"/>
      <c r="T43" s="33"/>
      <c r="U43" s="33"/>
      <c r="V43" s="33"/>
      <c r="W43" s="33"/>
    </row>
    <row r="44" customFormat="false" ht="15" hidden="false" customHeight="false" outlineLevel="0" collapsed="false">
      <c r="A44" s="33"/>
      <c r="B44" s="33"/>
      <c r="C44" s="33"/>
      <c r="D44" s="33"/>
      <c r="E44" s="33"/>
      <c r="F44" s="33"/>
      <c r="G44" s="33"/>
      <c r="H44" s="33"/>
      <c r="I44" s="33"/>
      <c r="J44" s="33"/>
      <c r="K44" s="33"/>
      <c r="L44" s="34"/>
      <c r="M44" s="34"/>
      <c r="N44" s="34"/>
      <c r="O44" s="34"/>
      <c r="P44" s="33"/>
      <c r="Q44" s="35"/>
      <c r="R44" s="33"/>
      <c r="S44" s="33"/>
      <c r="T44" s="33"/>
      <c r="U44" s="33"/>
      <c r="V44" s="33"/>
      <c r="W44" s="33"/>
    </row>
    <row r="45" customFormat="false" ht="15" hidden="false" customHeight="false" outlineLevel="0" collapsed="false">
      <c r="A45" s="33"/>
      <c r="B45" s="33"/>
      <c r="C45" s="33"/>
      <c r="D45" s="33"/>
      <c r="E45" s="33"/>
      <c r="F45" s="33"/>
      <c r="G45" s="33"/>
      <c r="H45" s="33"/>
      <c r="I45" s="33"/>
      <c r="J45" s="33"/>
      <c r="K45" s="33"/>
      <c r="L45" s="34"/>
      <c r="M45" s="34"/>
      <c r="N45" s="34"/>
      <c r="O45" s="34"/>
      <c r="P45" s="33"/>
      <c r="Q45" s="35"/>
      <c r="R45" s="33"/>
      <c r="S45" s="33"/>
      <c r="T45" s="33"/>
      <c r="U45" s="33"/>
      <c r="V45" s="33"/>
      <c r="W45" s="33"/>
    </row>
    <row r="46" customFormat="false" ht="15" hidden="false" customHeight="false" outlineLevel="0" collapsed="false">
      <c r="A46" s="33"/>
      <c r="B46" s="33"/>
      <c r="C46" s="33"/>
      <c r="D46" s="33"/>
      <c r="E46" s="33"/>
      <c r="F46" s="33"/>
      <c r="G46" s="33"/>
      <c r="H46" s="33"/>
      <c r="I46" s="33"/>
      <c r="J46" s="33"/>
      <c r="K46" s="33"/>
      <c r="L46" s="34"/>
      <c r="M46" s="34"/>
      <c r="N46" s="34"/>
      <c r="O46" s="34"/>
      <c r="P46" s="33"/>
      <c r="Q46" s="35"/>
      <c r="R46" s="33"/>
      <c r="S46" s="33"/>
      <c r="T46" s="33"/>
      <c r="U46" s="33"/>
      <c r="V46" s="33"/>
      <c r="W46" s="33"/>
    </row>
    <row r="47" customFormat="false" ht="15" hidden="false" customHeight="false" outlineLevel="0" collapsed="false">
      <c r="A47" s="33"/>
      <c r="B47" s="33"/>
      <c r="C47" s="33"/>
      <c r="D47" s="33"/>
      <c r="E47" s="33"/>
      <c r="F47" s="33"/>
      <c r="G47" s="33"/>
      <c r="H47" s="33"/>
      <c r="I47" s="33"/>
      <c r="J47" s="33"/>
      <c r="K47" s="33"/>
      <c r="L47" s="34"/>
      <c r="M47" s="34"/>
      <c r="N47" s="34"/>
      <c r="O47" s="34"/>
      <c r="P47" s="33"/>
      <c r="Q47" s="35"/>
      <c r="R47" s="33"/>
      <c r="S47" s="33"/>
      <c r="T47" s="33"/>
      <c r="U47" s="33"/>
      <c r="V47" s="33"/>
      <c r="W47" s="33"/>
    </row>
    <row r="48" customFormat="false" ht="15" hidden="false" customHeight="false" outlineLevel="0" collapsed="false">
      <c r="A48" s="33"/>
      <c r="B48" s="33"/>
      <c r="C48" s="33"/>
      <c r="D48" s="33"/>
      <c r="E48" s="33"/>
      <c r="F48" s="33"/>
      <c r="G48" s="33"/>
      <c r="H48" s="33"/>
      <c r="I48" s="33"/>
      <c r="J48" s="33"/>
      <c r="K48" s="33"/>
      <c r="L48" s="34"/>
      <c r="M48" s="34"/>
      <c r="N48" s="34"/>
      <c r="O48" s="34"/>
      <c r="P48" s="33"/>
      <c r="Q48" s="35"/>
      <c r="R48" s="33"/>
      <c r="S48" s="33"/>
      <c r="T48" s="33"/>
      <c r="U48" s="33"/>
      <c r="V48" s="33"/>
      <c r="W48" s="33"/>
    </row>
    <row r="49" customFormat="false" ht="15" hidden="false" customHeight="false" outlineLevel="0" collapsed="false">
      <c r="A49" s="33"/>
      <c r="B49" s="33"/>
      <c r="C49" s="33"/>
      <c r="D49" s="33"/>
      <c r="E49" s="33"/>
      <c r="F49" s="33"/>
      <c r="G49" s="33"/>
      <c r="H49" s="33"/>
      <c r="I49" s="33"/>
      <c r="J49" s="33"/>
      <c r="K49" s="33"/>
      <c r="L49" s="34"/>
      <c r="M49" s="34"/>
      <c r="N49" s="34"/>
      <c r="O49" s="34"/>
      <c r="P49" s="33"/>
      <c r="Q49" s="35"/>
      <c r="R49" s="33"/>
      <c r="S49" s="33"/>
      <c r="T49" s="33"/>
      <c r="U49" s="33"/>
      <c r="V49" s="33"/>
      <c r="W49" s="33"/>
    </row>
    <row r="50" customFormat="false" ht="15" hidden="false" customHeight="false" outlineLevel="0" collapsed="false">
      <c r="A50" s="33"/>
      <c r="B50" s="33"/>
      <c r="C50" s="33"/>
      <c r="D50" s="33"/>
      <c r="E50" s="33"/>
      <c r="F50" s="33"/>
      <c r="G50" s="33"/>
      <c r="H50" s="33"/>
      <c r="I50" s="33"/>
      <c r="J50" s="33"/>
      <c r="K50" s="33"/>
      <c r="L50" s="34"/>
      <c r="M50" s="34"/>
      <c r="N50" s="34"/>
      <c r="O50" s="34"/>
      <c r="P50" s="33"/>
      <c r="Q50" s="35"/>
      <c r="R50" s="33"/>
      <c r="S50" s="33"/>
      <c r="T50" s="33"/>
      <c r="U50" s="33"/>
      <c r="V50" s="33"/>
      <c r="W50" s="33"/>
    </row>
    <row r="51" customFormat="false" ht="15" hidden="false" customHeight="false" outlineLevel="0" collapsed="false">
      <c r="A51" s="33"/>
      <c r="B51" s="33"/>
      <c r="C51" s="33"/>
      <c r="D51" s="33"/>
      <c r="E51" s="33"/>
      <c r="F51" s="33"/>
      <c r="G51" s="33"/>
      <c r="H51" s="33"/>
      <c r="I51" s="33"/>
      <c r="J51" s="33"/>
      <c r="K51" s="33"/>
      <c r="L51" s="34"/>
      <c r="M51" s="34"/>
      <c r="N51" s="34"/>
      <c r="O51" s="34"/>
      <c r="P51" s="33"/>
      <c r="Q51" s="35"/>
      <c r="R51" s="33"/>
      <c r="S51" s="33"/>
      <c r="T51" s="33"/>
      <c r="U51" s="33"/>
      <c r="V51" s="33"/>
      <c r="W51" s="33"/>
    </row>
    <row r="52" customFormat="false" ht="15" hidden="false" customHeight="false" outlineLevel="0" collapsed="false">
      <c r="A52" s="33"/>
      <c r="B52" s="33"/>
      <c r="C52" s="33"/>
      <c r="D52" s="33"/>
      <c r="E52" s="33"/>
      <c r="F52" s="33"/>
      <c r="G52" s="33"/>
      <c r="H52" s="33"/>
      <c r="I52" s="33"/>
      <c r="J52" s="33"/>
      <c r="K52" s="33"/>
      <c r="L52" s="34"/>
      <c r="M52" s="34"/>
      <c r="N52" s="34"/>
      <c r="O52" s="34"/>
      <c r="P52" s="33"/>
      <c r="Q52" s="35"/>
      <c r="R52" s="33"/>
      <c r="S52" s="33"/>
      <c r="T52" s="33"/>
      <c r="U52" s="33"/>
      <c r="V52" s="33"/>
      <c r="W52" s="33"/>
    </row>
    <row r="53" customFormat="false" ht="15" hidden="false" customHeight="false" outlineLevel="0" collapsed="false">
      <c r="A53" s="33"/>
      <c r="B53" s="33"/>
      <c r="C53" s="33"/>
      <c r="D53" s="33"/>
      <c r="E53" s="33"/>
      <c r="F53" s="33"/>
      <c r="G53" s="33"/>
      <c r="H53" s="33"/>
      <c r="I53" s="33"/>
      <c r="J53" s="33"/>
      <c r="K53" s="33"/>
      <c r="L53" s="34"/>
      <c r="M53" s="34"/>
      <c r="N53" s="34"/>
      <c r="O53" s="34"/>
      <c r="P53" s="33"/>
      <c r="Q53" s="35"/>
      <c r="R53" s="33"/>
      <c r="S53" s="33"/>
      <c r="T53" s="33"/>
      <c r="U53" s="33"/>
      <c r="V53" s="33"/>
      <c r="W53" s="33"/>
    </row>
    <row r="54" customFormat="false" ht="15" hidden="false" customHeight="false" outlineLevel="0" collapsed="false">
      <c r="A54" s="33"/>
      <c r="B54" s="33"/>
      <c r="C54" s="33"/>
      <c r="D54" s="33"/>
      <c r="E54" s="33"/>
      <c r="F54" s="33"/>
      <c r="G54" s="33"/>
      <c r="H54" s="33"/>
      <c r="I54" s="33"/>
      <c r="J54" s="33"/>
      <c r="K54" s="33"/>
      <c r="L54" s="34"/>
      <c r="M54" s="34"/>
      <c r="N54" s="34"/>
      <c r="O54" s="34"/>
      <c r="P54" s="33"/>
      <c r="Q54" s="35"/>
      <c r="R54" s="33"/>
      <c r="S54" s="33"/>
      <c r="T54" s="33"/>
      <c r="U54" s="33"/>
      <c r="V54" s="33"/>
      <c r="W54" s="33"/>
    </row>
    <row r="55" customFormat="false" ht="15" hidden="false" customHeight="false" outlineLevel="0" collapsed="false">
      <c r="A55" s="33"/>
      <c r="B55" s="33"/>
      <c r="C55" s="33"/>
      <c r="D55" s="33"/>
      <c r="E55" s="33"/>
      <c r="F55" s="33"/>
      <c r="G55" s="33"/>
      <c r="H55" s="33"/>
      <c r="I55" s="33"/>
      <c r="J55" s="33"/>
      <c r="K55" s="33"/>
      <c r="L55" s="34"/>
      <c r="M55" s="34"/>
      <c r="N55" s="34"/>
      <c r="O55" s="34"/>
      <c r="P55" s="33"/>
      <c r="Q55" s="35"/>
      <c r="R55" s="33"/>
      <c r="S55" s="33"/>
      <c r="T55" s="33"/>
      <c r="U55" s="33"/>
      <c r="V55" s="33"/>
      <c r="W55" s="33"/>
    </row>
    <row r="56" customFormat="false" ht="15" hidden="false" customHeight="false" outlineLevel="0" collapsed="false">
      <c r="A56" s="33"/>
      <c r="B56" s="33"/>
      <c r="C56" s="33"/>
      <c r="D56" s="33"/>
      <c r="E56" s="33"/>
      <c r="F56" s="33"/>
      <c r="G56" s="33"/>
      <c r="H56" s="33"/>
      <c r="I56" s="33"/>
      <c r="J56" s="33"/>
      <c r="K56" s="33"/>
      <c r="L56" s="34"/>
      <c r="M56" s="34"/>
      <c r="N56" s="34"/>
      <c r="O56" s="34"/>
      <c r="P56" s="33"/>
      <c r="Q56" s="35"/>
      <c r="R56" s="33"/>
      <c r="S56" s="33"/>
      <c r="T56" s="33"/>
      <c r="U56" s="33"/>
      <c r="V56" s="33"/>
      <c r="W56" s="33"/>
    </row>
    <row r="57" customFormat="false" ht="15" hidden="false" customHeight="false" outlineLevel="0" collapsed="false">
      <c r="A57" s="33"/>
      <c r="B57" s="33"/>
      <c r="C57" s="33"/>
      <c r="D57" s="33"/>
      <c r="E57" s="33"/>
      <c r="F57" s="33"/>
      <c r="G57" s="33"/>
      <c r="H57" s="33"/>
      <c r="I57" s="33"/>
      <c r="J57" s="33"/>
      <c r="K57" s="33"/>
      <c r="L57" s="34"/>
      <c r="M57" s="34"/>
      <c r="N57" s="34"/>
      <c r="O57" s="34"/>
      <c r="P57" s="33"/>
      <c r="Q57" s="35"/>
      <c r="R57" s="33"/>
      <c r="S57" s="33"/>
      <c r="T57" s="33"/>
      <c r="U57" s="33"/>
      <c r="V57" s="33"/>
      <c r="W57" s="33"/>
    </row>
    <row r="58" customFormat="false" ht="15" hidden="false" customHeight="false" outlineLevel="0" collapsed="false">
      <c r="A58" s="33"/>
      <c r="B58" s="33"/>
      <c r="C58" s="33"/>
      <c r="D58" s="33"/>
      <c r="E58" s="33"/>
      <c r="F58" s="33"/>
      <c r="G58" s="33"/>
      <c r="H58" s="33"/>
      <c r="I58" s="33"/>
      <c r="J58" s="33"/>
      <c r="K58" s="33"/>
      <c r="L58" s="34"/>
      <c r="M58" s="34"/>
      <c r="N58" s="34"/>
      <c r="O58" s="34"/>
      <c r="P58" s="33"/>
      <c r="Q58" s="35"/>
      <c r="R58" s="33"/>
      <c r="S58" s="33"/>
      <c r="T58" s="33"/>
      <c r="U58" s="33"/>
      <c r="V58" s="33"/>
      <c r="W58" s="33"/>
    </row>
    <row r="59" customFormat="false" ht="15" hidden="false" customHeight="false" outlineLevel="0" collapsed="false">
      <c r="A59" s="33"/>
      <c r="B59" s="33"/>
      <c r="C59" s="33"/>
      <c r="D59" s="33"/>
      <c r="E59" s="33"/>
      <c r="F59" s="33"/>
      <c r="G59" s="33"/>
      <c r="H59" s="33"/>
      <c r="I59" s="33"/>
      <c r="J59" s="33"/>
      <c r="K59" s="33"/>
      <c r="L59" s="34"/>
      <c r="M59" s="34"/>
      <c r="N59" s="34"/>
      <c r="O59" s="34"/>
      <c r="P59" s="33"/>
      <c r="Q59" s="35"/>
      <c r="R59" s="33"/>
      <c r="S59" s="33"/>
      <c r="T59" s="33"/>
      <c r="U59" s="33"/>
      <c r="V59" s="33"/>
      <c r="W59" s="33"/>
    </row>
    <row r="60" customFormat="false" ht="15" hidden="false" customHeight="false" outlineLevel="0" collapsed="false">
      <c r="A60" s="33"/>
      <c r="B60" s="33"/>
      <c r="C60" s="33"/>
      <c r="D60" s="33"/>
      <c r="E60" s="33"/>
      <c r="F60" s="33"/>
      <c r="G60" s="33"/>
      <c r="H60" s="33"/>
      <c r="I60" s="33"/>
      <c r="J60" s="33"/>
      <c r="K60" s="33"/>
      <c r="L60" s="34"/>
      <c r="M60" s="34"/>
      <c r="N60" s="34"/>
      <c r="O60" s="34"/>
      <c r="P60" s="33"/>
      <c r="Q60" s="35"/>
      <c r="R60" s="33"/>
      <c r="S60" s="33"/>
      <c r="T60" s="33"/>
      <c r="U60" s="33"/>
      <c r="V60" s="33"/>
      <c r="W60" s="33"/>
    </row>
    <row r="61" customFormat="false" ht="15" hidden="false" customHeight="false" outlineLevel="0" collapsed="false">
      <c r="A61" s="33"/>
      <c r="B61" s="33"/>
      <c r="C61" s="33"/>
      <c r="D61" s="33"/>
      <c r="E61" s="33"/>
      <c r="F61" s="33"/>
      <c r="G61" s="33"/>
      <c r="H61" s="33"/>
      <c r="I61" s="33"/>
      <c r="J61" s="33"/>
      <c r="K61" s="33"/>
      <c r="L61" s="34"/>
      <c r="M61" s="34"/>
      <c r="N61" s="34"/>
      <c r="O61" s="34"/>
      <c r="P61" s="33"/>
      <c r="Q61" s="35"/>
      <c r="R61" s="33"/>
      <c r="S61" s="33"/>
      <c r="T61" s="33"/>
      <c r="U61" s="33"/>
      <c r="V61" s="33"/>
      <c r="W61" s="33"/>
    </row>
    <row r="62" customFormat="false" ht="15" hidden="false" customHeight="false" outlineLevel="0" collapsed="false">
      <c r="A62" s="33"/>
      <c r="B62" s="33"/>
      <c r="C62" s="33"/>
      <c r="D62" s="33"/>
      <c r="E62" s="33"/>
      <c r="F62" s="33"/>
      <c r="G62" s="33"/>
      <c r="H62" s="33"/>
      <c r="I62" s="33"/>
      <c r="J62" s="33"/>
      <c r="K62" s="33"/>
      <c r="L62" s="34"/>
      <c r="M62" s="34"/>
      <c r="N62" s="34"/>
      <c r="O62" s="34"/>
      <c r="P62" s="33"/>
      <c r="Q62" s="35"/>
      <c r="R62" s="33"/>
      <c r="S62" s="33"/>
      <c r="T62" s="33"/>
      <c r="U62" s="33"/>
      <c r="V62" s="33"/>
      <c r="W62" s="33"/>
    </row>
    <row r="63" customFormat="false" ht="15" hidden="false" customHeight="false" outlineLevel="0" collapsed="false">
      <c r="A63" s="33"/>
      <c r="B63" s="33"/>
      <c r="C63" s="33"/>
      <c r="D63" s="33"/>
      <c r="E63" s="33"/>
      <c r="F63" s="33"/>
      <c r="G63" s="33"/>
      <c r="H63" s="33"/>
      <c r="I63" s="33"/>
      <c r="J63" s="33"/>
      <c r="K63" s="33"/>
      <c r="L63" s="34"/>
      <c r="M63" s="34"/>
      <c r="N63" s="34"/>
      <c r="O63" s="34"/>
      <c r="P63" s="33"/>
      <c r="Q63" s="35"/>
      <c r="R63" s="33"/>
      <c r="S63" s="33"/>
      <c r="T63" s="33"/>
      <c r="U63" s="33"/>
      <c r="V63" s="33"/>
      <c r="W63" s="33"/>
    </row>
    <row r="64" customFormat="false" ht="15" hidden="false" customHeight="false" outlineLevel="0" collapsed="false">
      <c r="A64" s="33"/>
      <c r="B64" s="33"/>
      <c r="C64" s="33"/>
      <c r="D64" s="33"/>
      <c r="E64" s="33"/>
      <c r="F64" s="33"/>
      <c r="G64" s="33"/>
      <c r="H64" s="33"/>
      <c r="I64" s="33"/>
      <c r="J64" s="33"/>
      <c r="K64" s="33"/>
      <c r="L64" s="34"/>
      <c r="M64" s="34"/>
      <c r="N64" s="34"/>
      <c r="O64" s="34"/>
      <c r="P64" s="33"/>
      <c r="Q64" s="35"/>
      <c r="R64" s="33"/>
      <c r="S64" s="33"/>
      <c r="T64" s="33"/>
      <c r="U64" s="33"/>
      <c r="V64" s="33"/>
      <c r="W64" s="33"/>
    </row>
    <row r="65" customFormat="false" ht="15" hidden="false" customHeight="false" outlineLevel="0" collapsed="false">
      <c r="A65" s="33"/>
      <c r="B65" s="33"/>
      <c r="C65" s="33"/>
      <c r="D65" s="33"/>
      <c r="E65" s="33"/>
      <c r="F65" s="33"/>
      <c r="G65" s="33"/>
      <c r="H65" s="33"/>
      <c r="I65" s="33"/>
      <c r="J65" s="33"/>
      <c r="K65" s="33"/>
      <c r="L65" s="34"/>
      <c r="M65" s="34"/>
      <c r="N65" s="34"/>
      <c r="O65" s="34"/>
      <c r="P65" s="33"/>
      <c r="Q65" s="35"/>
      <c r="R65" s="33"/>
      <c r="S65" s="33"/>
      <c r="T65" s="33"/>
      <c r="U65" s="33"/>
      <c r="V65" s="33"/>
      <c r="W65" s="33"/>
    </row>
    <row r="66" customFormat="false" ht="15" hidden="false" customHeight="false" outlineLevel="0" collapsed="false">
      <c r="A66" s="33"/>
      <c r="B66" s="33"/>
      <c r="C66" s="33"/>
      <c r="D66" s="33"/>
      <c r="E66" s="33"/>
      <c r="F66" s="33"/>
      <c r="G66" s="33"/>
      <c r="H66" s="33"/>
      <c r="I66" s="33"/>
      <c r="J66" s="33"/>
      <c r="K66" s="33"/>
      <c r="L66" s="34"/>
      <c r="M66" s="34"/>
      <c r="N66" s="34"/>
      <c r="O66" s="34"/>
      <c r="P66" s="33"/>
      <c r="Q66" s="35"/>
      <c r="R66" s="33"/>
      <c r="S66" s="33"/>
      <c r="T66" s="33"/>
      <c r="U66" s="33"/>
      <c r="V66" s="33"/>
      <c r="W66" s="33"/>
    </row>
    <row r="67" customFormat="false" ht="15" hidden="false" customHeight="false" outlineLevel="0" collapsed="false">
      <c r="A67" s="33"/>
      <c r="B67" s="33"/>
      <c r="C67" s="33"/>
      <c r="D67" s="33"/>
      <c r="E67" s="33"/>
      <c r="F67" s="33"/>
      <c r="G67" s="33"/>
      <c r="H67" s="33"/>
      <c r="I67" s="33"/>
      <c r="J67" s="33"/>
      <c r="K67" s="33"/>
      <c r="L67" s="34"/>
      <c r="M67" s="34"/>
      <c r="N67" s="34"/>
      <c r="O67" s="34"/>
      <c r="P67" s="33"/>
      <c r="Q67" s="35"/>
      <c r="R67" s="33"/>
      <c r="S67" s="33"/>
      <c r="T67" s="33"/>
      <c r="U67" s="33"/>
      <c r="V67" s="33"/>
      <c r="W67" s="33"/>
    </row>
    <row r="68" customFormat="false" ht="15" hidden="false" customHeight="false" outlineLevel="0" collapsed="false">
      <c r="A68" s="33"/>
      <c r="B68" s="33"/>
      <c r="C68" s="33"/>
      <c r="D68" s="33"/>
      <c r="E68" s="33"/>
      <c r="F68" s="33"/>
      <c r="G68" s="33"/>
      <c r="H68" s="33"/>
      <c r="I68" s="33"/>
      <c r="J68" s="33"/>
      <c r="K68" s="33"/>
      <c r="L68" s="34"/>
      <c r="M68" s="34"/>
      <c r="N68" s="34"/>
      <c r="O68" s="34"/>
      <c r="P68" s="33"/>
      <c r="Q68" s="35"/>
      <c r="R68" s="33"/>
      <c r="S68" s="33"/>
      <c r="T68" s="33"/>
      <c r="U68" s="33"/>
      <c r="V68" s="33"/>
      <c r="W68" s="33"/>
    </row>
    <row r="69" customFormat="false" ht="15" hidden="false" customHeight="false" outlineLevel="0" collapsed="false">
      <c r="A69" s="33"/>
      <c r="B69" s="33"/>
      <c r="C69" s="33"/>
      <c r="D69" s="33"/>
      <c r="E69" s="33"/>
      <c r="F69" s="33"/>
      <c r="G69" s="33"/>
      <c r="H69" s="33"/>
      <c r="I69" s="33"/>
      <c r="J69" s="33"/>
      <c r="K69" s="33"/>
      <c r="L69" s="34"/>
      <c r="M69" s="34"/>
      <c r="N69" s="34"/>
      <c r="O69" s="34"/>
      <c r="P69" s="33"/>
      <c r="Q69" s="35"/>
      <c r="R69" s="33"/>
      <c r="S69" s="33"/>
      <c r="T69" s="33"/>
      <c r="U69" s="33"/>
      <c r="V69" s="33"/>
      <c r="W69" s="33"/>
    </row>
    <row r="70" customFormat="false" ht="15" hidden="false" customHeight="false" outlineLevel="0" collapsed="false">
      <c r="A70" s="33"/>
      <c r="B70" s="33"/>
      <c r="C70" s="33"/>
      <c r="D70" s="33"/>
      <c r="E70" s="33"/>
      <c r="F70" s="33"/>
      <c r="G70" s="33"/>
      <c r="H70" s="33"/>
      <c r="I70" s="33"/>
      <c r="J70" s="33"/>
      <c r="K70" s="33"/>
      <c r="L70" s="34"/>
      <c r="M70" s="34"/>
      <c r="N70" s="34"/>
      <c r="O70" s="34"/>
      <c r="P70" s="33"/>
      <c r="Q70" s="35"/>
      <c r="R70" s="33"/>
      <c r="S70" s="33"/>
      <c r="T70" s="33"/>
      <c r="U70" s="33"/>
      <c r="V70" s="33"/>
      <c r="W70" s="33"/>
    </row>
    <row r="71" customFormat="false" ht="15" hidden="false" customHeight="false" outlineLevel="0" collapsed="false">
      <c r="A71" s="33"/>
      <c r="B71" s="33"/>
      <c r="C71" s="33"/>
      <c r="D71" s="33"/>
      <c r="E71" s="33"/>
      <c r="F71" s="33"/>
      <c r="G71" s="33"/>
      <c r="H71" s="33"/>
      <c r="I71" s="33"/>
      <c r="J71" s="33"/>
      <c r="K71" s="33"/>
      <c r="L71" s="34"/>
      <c r="M71" s="34"/>
      <c r="N71" s="34"/>
      <c r="O71" s="34"/>
      <c r="P71" s="33"/>
      <c r="Q71" s="35"/>
      <c r="R71" s="33"/>
      <c r="S71" s="33"/>
      <c r="T71" s="33"/>
      <c r="U71" s="33"/>
      <c r="V71" s="33"/>
      <c r="W71" s="33"/>
    </row>
    <row r="72" customFormat="false" ht="15" hidden="false" customHeight="false" outlineLevel="0" collapsed="false">
      <c r="A72" s="33"/>
      <c r="B72" s="33"/>
      <c r="C72" s="33"/>
      <c r="D72" s="33"/>
      <c r="E72" s="33"/>
      <c r="F72" s="33"/>
      <c r="G72" s="33"/>
      <c r="H72" s="33"/>
      <c r="I72" s="33"/>
      <c r="J72" s="33"/>
      <c r="K72" s="33"/>
      <c r="L72" s="34"/>
      <c r="M72" s="34"/>
      <c r="N72" s="34"/>
      <c r="O72" s="34"/>
      <c r="P72" s="33"/>
      <c r="Q72" s="35"/>
      <c r="R72" s="33"/>
      <c r="S72" s="33"/>
      <c r="T72" s="33"/>
      <c r="U72" s="33"/>
      <c r="V72" s="33"/>
      <c r="W72" s="33"/>
    </row>
    <row r="73" customFormat="false" ht="15" hidden="false" customHeight="false" outlineLevel="0" collapsed="false">
      <c r="A73" s="33"/>
      <c r="B73" s="33"/>
      <c r="C73" s="33"/>
      <c r="D73" s="33"/>
      <c r="E73" s="33"/>
      <c r="F73" s="33"/>
      <c r="G73" s="33"/>
      <c r="H73" s="33"/>
      <c r="I73" s="33"/>
      <c r="J73" s="33"/>
      <c r="K73" s="33"/>
      <c r="L73" s="34"/>
      <c r="M73" s="34"/>
      <c r="N73" s="34"/>
      <c r="O73" s="34"/>
      <c r="P73" s="33"/>
      <c r="Q73" s="35"/>
      <c r="R73" s="33"/>
      <c r="S73" s="33"/>
      <c r="T73" s="33"/>
      <c r="U73" s="33"/>
      <c r="V73" s="33"/>
      <c r="W73" s="33"/>
    </row>
    <row r="74" customFormat="false" ht="15" hidden="false" customHeight="false" outlineLevel="0" collapsed="false">
      <c r="A74" s="33"/>
      <c r="B74" s="33"/>
      <c r="C74" s="33"/>
      <c r="D74" s="33"/>
      <c r="E74" s="33"/>
      <c r="F74" s="33"/>
      <c r="G74" s="33"/>
      <c r="H74" s="33"/>
      <c r="I74" s="33"/>
      <c r="J74" s="33"/>
      <c r="K74" s="33"/>
      <c r="L74" s="34"/>
      <c r="M74" s="34"/>
      <c r="N74" s="34"/>
      <c r="O74" s="34"/>
      <c r="P74" s="33"/>
      <c r="Q74" s="35"/>
      <c r="R74" s="33"/>
      <c r="S74" s="33"/>
      <c r="T74" s="33"/>
      <c r="U74" s="33"/>
      <c r="V74" s="33"/>
      <c r="W74" s="33"/>
    </row>
    <row r="75" customFormat="false" ht="15" hidden="false" customHeight="false" outlineLevel="0" collapsed="false">
      <c r="A75" s="33"/>
      <c r="B75" s="33"/>
      <c r="C75" s="33"/>
      <c r="D75" s="33"/>
      <c r="E75" s="33"/>
      <c r="F75" s="33"/>
      <c r="G75" s="33"/>
      <c r="H75" s="33"/>
      <c r="I75" s="33"/>
      <c r="J75" s="33"/>
      <c r="K75" s="33"/>
      <c r="L75" s="34"/>
      <c r="M75" s="34"/>
      <c r="N75" s="34"/>
      <c r="O75" s="34"/>
      <c r="P75" s="33"/>
      <c r="Q75" s="35"/>
      <c r="R75" s="33"/>
      <c r="S75" s="33"/>
      <c r="T75" s="33"/>
      <c r="U75" s="33"/>
      <c r="V75" s="33"/>
      <c r="W75" s="33"/>
    </row>
    <row r="76" customFormat="false" ht="15" hidden="false" customHeight="false" outlineLevel="0" collapsed="false">
      <c r="A76" s="33"/>
      <c r="B76" s="33"/>
      <c r="C76" s="33"/>
      <c r="D76" s="33"/>
      <c r="E76" s="33"/>
      <c r="F76" s="33"/>
      <c r="G76" s="33"/>
      <c r="H76" s="33"/>
      <c r="I76" s="33"/>
      <c r="J76" s="33"/>
      <c r="K76" s="33"/>
      <c r="L76" s="34"/>
      <c r="M76" s="34"/>
      <c r="N76" s="34"/>
      <c r="O76" s="34"/>
      <c r="P76" s="33"/>
      <c r="Q76" s="35"/>
      <c r="R76" s="33"/>
      <c r="S76" s="33"/>
      <c r="T76" s="33"/>
      <c r="U76" s="33"/>
      <c r="V76" s="33"/>
      <c r="W76" s="33"/>
    </row>
    <row r="77" customFormat="false" ht="15" hidden="false" customHeight="false" outlineLevel="0" collapsed="false">
      <c r="A77" s="33"/>
      <c r="B77" s="33"/>
      <c r="C77" s="33"/>
      <c r="D77" s="33"/>
      <c r="E77" s="33"/>
      <c r="F77" s="33"/>
      <c r="G77" s="33"/>
      <c r="H77" s="33"/>
      <c r="I77" s="33"/>
      <c r="J77" s="33"/>
      <c r="K77" s="33"/>
      <c r="L77" s="34"/>
      <c r="M77" s="34"/>
      <c r="N77" s="34"/>
      <c r="O77" s="34"/>
      <c r="P77" s="33"/>
      <c r="Q77" s="35"/>
      <c r="R77" s="33"/>
      <c r="S77" s="33"/>
      <c r="T77" s="33"/>
      <c r="U77" s="33"/>
      <c r="V77" s="33"/>
      <c r="W77" s="33"/>
    </row>
    <row r="78" customFormat="false" ht="15" hidden="false" customHeight="false" outlineLevel="0" collapsed="false">
      <c r="A78" s="33"/>
      <c r="B78" s="33"/>
      <c r="C78" s="33"/>
      <c r="D78" s="33"/>
      <c r="E78" s="33"/>
      <c r="F78" s="33"/>
      <c r="G78" s="33"/>
      <c r="H78" s="33"/>
      <c r="I78" s="33"/>
      <c r="J78" s="33"/>
      <c r="K78" s="33"/>
      <c r="L78" s="34"/>
      <c r="M78" s="34"/>
      <c r="N78" s="34"/>
      <c r="O78" s="34"/>
      <c r="P78" s="33"/>
      <c r="Q78" s="35"/>
      <c r="R78" s="33"/>
      <c r="S78" s="33"/>
      <c r="T78" s="33"/>
      <c r="U78" s="33"/>
      <c r="V78" s="33"/>
      <c r="W78" s="33"/>
    </row>
    <row r="79" customFormat="false" ht="15" hidden="false" customHeight="false" outlineLevel="0" collapsed="false">
      <c r="A79" s="33"/>
      <c r="B79" s="33"/>
      <c r="C79" s="33"/>
      <c r="D79" s="33"/>
      <c r="E79" s="33"/>
      <c r="F79" s="33"/>
      <c r="G79" s="33"/>
      <c r="H79" s="33"/>
      <c r="I79" s="33"/>
      <c r="J79" s="33"/>
      <c r="K79" s="33"/>
      <c r="L79" s="34"/>
      <c r="M79" s="34"/>
      <c r="N79" s="34"/>
      <c r="O79" s="34"/>
      <c r="P79" s="33"/>
      <c r="Q79" s="35"/>
      <c r="R79" s="33"/>
      <c r="S79" s="33"/>
      <c r="T79" s="33"/>
      <c r="U79" s="33"/>
      <c r="V79" s="33"/>
      <c r="W79" s="33"/>
    </row>
    <row r="80" customFormat="false" ht="15" hidden="false" customHeight="false" outlineLevel="0" collapsed="false">
      <c r="A80" s="33"/>
      <c r="B80" s="33"/>
      <c r="C80" s="33"/>
      <c r="D80" s="33"/>
      <c r="E80" s="33"/>
      <c r="F80" s="33"/>
      <c r="G80" s="33"/>
      <c r="H80" s="33"/>
      <c r="I80" s="33"/>
      <c r="J80" s="33"/>
      <c r="K80" s="33"/>
      <c r="L80" s="34"/>
      <c r="M80" s="34"/>
      <c r="N80" s="34"/>
      <c r="O80" s="34"/>
      <c r="P80" s="33"/>
      <c r="Q80" s="35"/>
      <c r="R80" s="33"/>
      <c r="S80" s="33"/>
      <c r="T80" s="33"/>
      <c r="U80" s="33"/>
      <c r="V80" s="33"/>
      <c r="W80" s="33"/>
    </row>
    <row r="81" customFormat="false" ht="15" hidden="false" customHeight="false" outlineLevel="0" collapsed="false">
      <c r="A81" s="33"/>
      <c r="B81" s="33"/>
      <c r="C81" s="33"/>
      <c r="D81" s="33"/>
      <c r="E81" s="33"/>
      <c r="F81" s="33"/>
      <c r="G81" s="33"/>
      <c r="H81" s="33"/>
      <c r="I81" s="33"/>
      <c r="J81" s="33"/>
      <c r="K81" s="33"/>
      <c r="L81" s="34"/>
      <c r="M81" s="34"/>
      <c r="N81" s="34"/>
      <c r="O81" s="34"/>
      <c r="P81" s="33"/>
      <c r="Q81" s="35"/>
      <c r="R81" s="33"/>
      <c r="S81" s="33"/>
      <c r="T81" s="33"/>
      <c r="U81" s="33"/>
      <c r="V81" s="33"/>
      <c r="W81" s="33"/>
    </row>
    <row r="82" customFormat="false" ht="15" hidden="false" customHeight="false" outlineLevel="0" collapsed="false">
      <c r="A82" s="33"/>
      <c r="B82" s="33"/>
      <c r="C82" s="33"/>
      <c r="D82" s="33"/>
      <c r="E82" s="33"/>
      <c r="F82" s="33"/>
      <c r="G82" s="33"/>
      <c r="H82" s="33"/>
      <c r="I82" s="33"/>
      <c r="J82" s="33"/>
      <c r="K82" s="33"/>
      <c r="L82" s="34"/>
      <c r="M82" s="34"/>
      <c r="N82" s="34"/>
      <c r="O82" s="34"/>
      <c r="P82" s="33"/>
      <c r="Q82" s="35"/>
      <c r="R82" s="33"/>
      <c r="S82" s="33"/>
      <c r="T82" s="33"/>
      <c r="U82" s="33"/>
      <c r="V82" s="33"/>
      <c r="W82" s="33"/>
    </row>
    <row r="83" customFormat="false" ht="15" hidden="false" customHeight="false" outlineLevel="0" collapsed="false">
      <c r="A83" s="33"/>
      <c r="B83" s="33"/>
      <c r="C83" s="33"/>
      <c r="D83" s="33"/>
      <c r="E83" s="33"/>
      <c r="F83" s="33"/>
      <c r="G83" s="33"/>
      <c r="H83" s="33"/>
      <c r="I83" s="33"/>
      <c r="J83" s="33"/>
      <c r="K83" s="33"/>
      <c r="L83" s="34"/>
      <c r="M83" s="34"/>
      <c r="N83" s="34"/>
      <c r="O83" s="34"/>
      <c r="P83" s="33"/>
      <c r="Q83" s="35"/>
      <c r="R83" s="33"/>
      <c r="S83" s="33"/>
      <c r="T83" s="33"/>
      <c r="U83" s="33"/>
      <c r="V83" s="33"/>
      <c r="W83" s="33"/>
    </row>
    <row r="84" customFormat="false" ht="15" hidden="false" customHeight="false" outlineLevel="0" collapsed="false">
      <c r="A84" s="33"/>
      <c r="B84" s="33"/>
      <c r="C84" s="33"/>
      <c r="D84" s="33"/>
      <c r="E84" s="33"/>
      <c r="F84" s="33"/>
      <c r="G84" s="33"/>
      <c r="H84" s="33"/>
      <c r="I84" s="33"/>
      <c r="J84" s="33"/>
      <c r="K84" s="33"/>
      <c r="L84" s="34"/>
      <c r="M84" s="34"/>
      <c r="N84" s="34"/>
      <c r="O84" s="34"/>
      <c r="P84" s="33"/>
      <c r="Q84" s="35"/>
      <c r="R84" s="33"/>
      <c r="S84" s="33"/>
      <c r="T84" s="33"/>
      <c r="U84" s="33"/>
      <c r="V84" s="33"/>
      <c r="W84" s="33"/>
    </row>
    <row r="85" customFormat="false" ht="15" hidden="false" customHeight="false" outlineLevel="0" collapsed="false">
      <c r="A85" s="33"/>
      <c r="B85" s="33"/>
      <c r="C85" s="33"/>
      <c r="D85" s="33"/>
      <c r="E85" s="33"/>
      <c r="F85" s="33"/>
      <c r="G85" s="33"/>
      <c r="H85" s="33"/>
      <c r="I85" s="33"/>
      <c r="J85" s="33"/>
      <c r="K85" s="33"/>
      <c r="L85" s="34"/>
      <c r="M85" s="34"/>
      <c r="N85" s="34"/>
      <c r="O85" s="34"/>
      <c r="P85" s="33"/>
      <c r="Q85" s="35"/>
      <c r="R85" s="33"/>
      <c r="S85" s="33"/>
      <c r="T85" s="33"/>
      <c r="U85" s="33"/>
      <c r="V85" s="33"/>
      <c r="W85" s="33"/>
    </row>
    <row r="86" customFormat="false" ht="15" hidden="false" customHeight="false" outlineLevel="0" collapsed="false">
      <c r="A86" s="33"/>
      <c r="B86" s="33"/>
      <c r="C86" s="33"/>
      <c r="D86" s="33"/>
      <c r="E86" s="33"/>
      <c r="F86" s="33"/>
      <c r="G86" s="33"/>
      <c r="H86" s="33"/>
      <c r="I86" s="33"/>
      <c r="J86" s="33"/>
      <c r="K86" s="33"/>
      <c r="L86" s="34"/>
      <c r="M86" s="34"/>
      <c r="N86" s="34"/>
      <c r="O86" s="34"/>
      <c r="P86" s="33"/>
      <c r="Q86" s="35"/>
      <c r="R86" s="33"/>
      <c r="S86" s="33"/>
      <c r="T86" s="33"/>
      <c r="U86" s="33"/>
      <c r="V86" s="33"/>
      <c r="W86" s="33"/>
    </row>
    <row r="87" customFormat="false" ht="15" hidden="false" customHeight="false" outlineLevel="0" collapsed="false">
      <c r="A87" s="33"/>
      <c r="B87" s="33"/>
      <c r="C87" s="33"/>
      <c r="D87" s="33"/>
      <c r="E87" s="33"/>
      <c r="F87" s="33"/>
      <c r="G87" s="33"/>
      <c r="H87" s="33"/>
      <c r="I87" s="33"/>
      <c r="J87" s="33"/>
      <c r="K87" s="33"/>
      <c r="L87" s="34"/>
      <c r="M87" s="34"/>
      <c r="N87" s="34"/>
      <c r="O87" s="34"/>
      <c r="P87" s="33"/>
      <c r="Q87" s="35"/>
      <c r="R87" s="33"/>
      <c r="S87" s="33"/>
      <c r="T87" s="33"/>
      <c r="U87" s="33"/>
      <c r="V87" s="33"/>
      <c r="W87" s="33"/>
    </row>
    <row r="88" customFormat="false" ht="15" hidden="false" customHeight="false" outlineLevel="0" collapsed="false">
      <c r="A88" s="33"/>
      <c r="B88" s="33"/>
      <c r="C88" s="33"/>
      <c r="D88" s="33"/>
      <c r="E88" s="33"/>
      <c r="F88" s="33"/>
      <c r="G88" s="33"/>
      <c r="H88" s="33"/>
      <c r="I88" s="33"/>
      <c r="J88" s="33"/>
      <c r="K88" s="33"/>
      <c r="L88" s="34"/>
      <c r="M88" s="34"/>
      <c r="N88" s="34"/>
      <c r="O88" s="34"/>
      <c r="P88" s="33"/>
      <c r="Q88" s="35"/>
      <c r="R88" s="33"/>
      <c r="S88" s="33"/>
      <c r="T88" s="33"/>
      <c r="U88" s="33"/>
      <c r="V88" s="33"/>
      <c r="W88" s="33"/>
    </row>
    <row r="89" customFormat="false" ht="15" hidden="false" customHeight="false" outlineLevel="0" collapsed="false">
      <c r="A89" s="33"/>
      <c r="B89" s="33"/>
      <c r="C89" s="33"/>
      <c r="D89" s="33"/>
      <c r="E89" s="33"/>
      <c r="F89" s="33"/>
      <c r="G89" s="33"/>
      <c r="H89" s="33"/>
      <c r="I89" s="33"/>
      <c r="J89" s="33"/>
      <c r="K89" s="33"/>
      <c r="L89" s="34"/>
      <c r="M89" s="34"/>
      <c r="N89" s="34"/>
      <c r="O89" s="34"/>
      <c r="P89" s="33"/>
      <c r="Q89" s="35"/>
      <c r="R89" s="33"/>
      <c r="S89" s="33"/>
      <c r="T89" s="33"/>
      <c r="U89" s="33"/>
      <c r="V89" s="33"/>
      <c r="W89" s="33"/>
    </row>
    <row r="90" customFormat="false" ht="15" hidden="false" customHeight="false" outlineLevel="0" collapsed="false">
      <c r="A90" s="33"/>
      <c r="B90" s="33"/>
      <c r="C90" s="33"/>
      <c r="D90" s="33"/>
      <c r="E90" s="33"/>
      <c r="F90" s="33"/>
      <c r="G90" s="33"/>
      <c r="H90" s="33"/>
      <c r="I90" s="33"/>
      <c r="J90" s="33"/>
      <c r="K90" s="33"/>
      <c r="L90" s="34"/>
      <c r="M90" s="34"/>
      <c r="N90" s="34"/>
      <c r="O90" s="34"/>
      <c r="P90" s="33"/>
      <c r="Q90" s="35"/>
      <c r="R90" s="33"/>
      <c r="S90" s="33"/>
      <c r="T90" s="33"/>
      <c r="U90" s="33"/>
      <c r="V90" s="33"/>
      <c r="W90" s="33"/>
    </row>
    <row r="91" customFormat="false" ht="15" hidden="false" customHeight="false" outlineLevel="0" collapsed="false">
      <c r="A91" s="33"/>
      <c r="B91" s="33"/>
      <c r="C91" s="33"/>
      <c r="D91" s="33"/>
      <c r="E91" s="33"/>
      <c r="F91" s="33"/>
      <c r="G91" s="33"/>
      <c r="H91" s="33"/>
      <c r="I91" s="33"/>
      <c r="J91" s="33"/>
      <c r="K91" s="33"/>
      <c r="L91" s="34"/>
      <c r="M91" s="34"/>
      <c r="N91" s="34"/>
      <c r="O91" s="34"/>
      <c r="P91" s="33"/>
      <c r="Q91" s="35"/>
      <c r="R91" s="33"/>
      <c r="S91" s="33"/>
      <c r="T91" s="33"/>
      <c r="U91" s="33"/>
      <c r="V91" s="33"/>
      <c r="W91" s="33"/>
    </row>
    <row r="92" customFormat="false" ht="15" hidden="false" customHeight="false" outlineLevel="0" collapsed="false">
      <c r="A92" s="33"/>
      <c r="B92" s="33"/>
      <c r="C92" s="33"/>
      <c r="D92" s="33"/>
      <c r="E92" s="33"/>
      <c r="F92" s="33"/>
      <c r="G92" s="33"/>
      <c r="H92" s="33"/>
      <c r="I92" s="33"/>
      <c r="J92" s="33"/>
      <c r="K92" s="33"/>
      <c r="L92" s="34"/>
      <c r="M92" s="34"/>
      <c r="N92" s="34"/>
      <c r="O92" s="34"/>
      <c r="P92" s="33"/>
      <c r="Q92" s="35"/>
      <c r="R92" s="33"/>
      <c r="S92" s="33"/>
      <c r="T92" s="33"/>
      <c r="U92" s="33"/>
      <c r="V92" s="33"/>
      <c r="W92" s="33"/>
    </row>
    <row r="93" customFormat="false" ht="15" hidden="false" customHeight="false" outlineLevel="0" collapsed="false">
      <c r="A93" s="33"/>
      <c r="B93" s="33"/>
      <c r="C93" s="33"/>
      <c r="D93" s="33"/>
      <c r="E93" s="33"/>
      <c r="F93" s="33"/>
      <c r="G93" s="33"/>
      <c r="H93" s="33"/>
      <c r="I93" s="33"/>
      <c r="J93" s="33"/>
      <c r="K93" s="33"/>
      <c r="L93" s="34"/>
      <c r="M93" s="34"/>
      <c r="N93" s="34"/>
      <c r="O93" s="34"/>
      <c r="P93" s="33"/>
      <c r="Q93" s="35"/>
      <c r="R93" s="33"/>
      <c r="S93" s="33"/>
      <c r="T93" s="33"/>
      <c r="U93" s="33"/>
      <c r="V93" s="33"/>
      <c r="W93" s="33"/>
    </row>
    <row r="94" customFormat="false" ht="15" hidden="false" customHeight="false" outlineLevel="0" collapsed="false">
      <c r="A94" s="33"/>
      <c r="B94" s="33"/>
      <c r="C94" s="33"/>
      <c r="D94" s="33"/>
      <c r="E94" s="33"/>
      <c r="F94" s="33"/>
      <c r="G94" s="33"/>
      <c r="H94" s="33"/>
      <c r="I94" s="33"/>
      <c r="J94" s="33"/>
      <c r="K94" s="33"/>
      <c r="L94" s="34"/>
      <c r="M94" s="34"/>
      <c r="N94" s="34"/>
      <c r="O94" s="34"/>
      <c r="P94" s="33"/>
      <c r="Q94" s="35"/>
      <c r="R94" s="33"/>
      <c r="S94" s="33"/>
      <c r="T94" s="33"/>
      <c r="U94" s="33"/>
      <c r="V94" s="33"/>
      <c r="W94" s="33"/>
    </row>
    <row r="95" customFormat="false" ht="15" hidden="false" customHeight="false" outlineLevel="0" collapsed="false">
      <c r="A95" s="33"/>
      <c r="B95" s="33"/>
      <c r="C95" s="33"/>
      <c r="D95" s="33"/>
      <c r="E95" s="33"/>
      <c r="F95" s="33"/>
      <c r="G95" s="33"/>
      <c r="H95" s="33"/>
      <c r="I95" s="33"/>
      <c r="J95" s="33"/>
      <c r="K95" s="33"/>
      <c r="L95" s="34"/>
      <c r="M95" s="34"/>
      <c r="N95" s="34"/>
      <c r="O95" s="34"/>
      <c r="P95" s="33"/>
      <c r="Q95" s="35"/>
      <c r="R95" s="33"/>
      <c r="S95" s="33"/>
      <c r="T95" s="33"/>
      <c r="U95" s="33"/>
      <c r="V95" s="33"/>
      <c r="W95" s="33"/>
    </row>
    <row r="96" customFormat="false" ht="15" hidden="false" customHeight="false" outlineLevel="0" collapsed="false">
      <c r="A96" s="33"/>
      <c r="B96" s="33"/>
      <c r="C96" s="33"/>
      <c r="D96" s="33"/>
      <c r="E96" s="33"/>
      <c r="F96" s="33"/>
      <c r="G96" s="33"/>
      <c r="H96" s="33"/>
      <c r="I96" s="33"/>
      <c r="J96" s="33"/>
      <c r="K96" s="33"/>
      <c r="L96" s="34"/>
      <c r="M96" s="34"/>
      <c r="N96" s="34"/>
      <c r="O96" s="34"/>
      <c r="P96" s="33"/>
      <c r="Q96" s="35"/>
      <c r="R96" s="33"/>
      <c r="S96" s="33"/>
      <c r="T96" s="33"/>
      <c r="U96" s="33"/>
      <c r="V96" s="33"/>
      <c r="W96" s="33"/>
    </row>
    <row r="97" customFormat="false" ht="15" hidden="false" customHeight="false" outlineLevel="0" collapsed="false">
      <c r="A97" s="33"/>
      <c r="B97" s="33"/>
      <c r="C97" s="33"/>
      <c r="D97" s="33"/>
      <c r="E97" s="33"/>
      <c r="F97" s="33"/>
      <c r="G97" s="33"/>
      <c r="H97" s="33"/>
      <c r="I97" s="33"/>
      <c r="J97" s="33"/>
      <c r="K97" s="33"/>
      <c r="L97" s="34"/>
      <c r="M97" s="34"/>
      <c r="N97" s="34"/>
      <c r="O97" s="34"/>
      <c r="P97" s="33"/>
      <c r="Q97" s="35"/>
      <c r="R97" s="33"/>
      <c r="S97" s="33"/>
      <c r="T97" s="33"/>
      <c r="U97" s="33"/>
      <c r="V97" s="33"/>
      <c r="W97" s="33"/>
    </row>
    <row r="98" customFormat="false" ht="15" hidden="false" customHeight="false" outlineLevel="0" collapsed="false">
      <c r="A98" s="33"/>
      <c r="B98" s="33"/>
      <c r="C98" s="33"/>
      <c r="D98" s="33"/>
      <c r="E98" s="33"/>
      <c r="F98" s="33"/>
      <c r="G98" s="33"/>
      <c r="H98" s="33"/>
      <c r="I98" s="33"/>
      <c r="J98" s="33"/>
      <c r="K98" s="33"/>
      <c r="L98" s="34"/>
      <c r="M98" s="34"/>
      <c r="N98" s="34"/>
      <c r="O98" s="34"/>
      <c r="P98" s="33"/>
      <c r="Q98" s="35"/>
      <c r="R98" s="33"/>
      <c r="S98" s="33"/>
      <c r="T98" s="33"/>
      <c r="U98" s="33"/>
      <c r="V98" s="33"/>
      <c r="W98" s="33"/>
    </row>
    <row r="99" customFormat="false" ht="15" hidden="false" customHeight="false" outlineLevel="0" collapsed="false">
      <c r="A99" s="33"/>
      <c r="B99" s="33"/>
      <c r="C99" s="33"/>
      <c r="D99" s="33"/>
      <c r="E99" s="33"/>
      <c r="F99" s="33"/>
      <c r="G99" s="33"/>
      <c r="H99" s="33"/>
      <c r="I99" s="33"/>
      <c r="J99" s="33"/>
      <c r="K99" s="33"/>
      <c r="L99" s="34"/>
      <c r="M99" s="34"/>
      <c r="N99" s="34"/>
      <c r="O99" s="34"/>
      <c r="P99" s="33"/>
      <c r="Q99" s="35"/>
      <c r="R99" s="33"/>
      <c r="S99" s="33"/>
      <c r="T99" s="33"/>
      <c r="U99" s="33"/>
      <c r="V99" s="33"/>
      <c r="W99" s="33"/>
    </row>
    <row r="100" customFormat="false" ht="15" hidden="false" customHeight="false" outlineLevel="0" collapsed="false">
      <c r="A100" s="33"/>
      <c r="B100" s="33"/>
      <c r="C100" s="33"/>
      <c r="D100" s="33"/>
      <c r="E100" s="33"/>
      <c r="F100" s="33"/>
      <c r="G100" s="33"/>
      <c r="H100" s="33"/>
      <c r="I100" s="33"/>
      <c r="J100" s="33"/>
      <c r="K100" s="33"/>
      <c r="L100" s="34"/>
      <c r="M100" s="34"/>
      <c r="N100" s="34"/>
      <c r="O100" s="34"/>
      <c r="P100" s="33"/>
      <c r="Q100" s="35"/>
      <c r="R100" s="33"/>
      <c r="S100" s="33"/>
      <c r="T100" s="33"/>
      <c r="U100" s="33"/>
      <c r="V100" s="33"/>
      <c r="W100" s="33"/>
    </row>
    <row r="101" customFormat="false" ht="15" hidden="false" customHeight="false" outlineLevel="0" collapsed="false">
      <c r="A101" s="33"/>
      <c r="B101" s="33"/>
      <c r="C101" s="33"/>
      <c r="D101" s="33"/>
      <c r="E101" s="33"/>
      <c r="F101" s="33"/>
      <c r="G101" s="33"/>
      <c r="H101" s="33"/>
      <c r="I101" s="33"/>
      <c r="J101" s="33"/>
      <c r="K101" s="33"/>
      <c r="L101" s="34"/>
      <c r="M101" s="34"/>
      <c r="N101" s="34"/>
      <c r="O101" s="34"/>
      <c r="P101" s="33"/>
      <c r="Q101" s="35"/>
      <c r="R101" s="33"/>
      <c r="S101" s="33"/>
      <c r="T101" s="33"/>
      <c r="U101" s="33"/>
      <c r="V101" s="33"/>
      <c r="W101" s="33"/>
    </row>
    <row r="102" customFormat="false" ht="15" hidden="false" customHeight="false" outlineLevel="0" collapsed="false">
      <c r="A102" s="33"/>
      <c r="B102" s="33"/>
      <c r="C102" s="33"/>
      <c r="D102" s="33"/>
      <c r="E102" s="33"/>
      <c r="F102" s="33"/>
      <c r="G102" s="33"/>
      <c r="H102" s="33"/>
      <c r="I102" s="33"/>
      <c r="J102" s="33"/>
      <c r="K102" s="33"/>
      <c r="L102" s="34"/>
      <c r="M102" s="34"/>
      <c r="N102" s="34"/>
      <c r="O102" s="34"/>
      <c r="P102" s="33"/>
      <c r="Q102" s="35"/>
      <c r="R102" s="33"/>
      <c r="S102" s="33"/>
      <c r="T102" s="33"/>
      <c r="U102" s="33"/>
      <c r="V102" s="33"/>
      <c r="W102" s="33"/>
    </row>
    <row r="103" customFormat="false" ht="15" hidden="false" customHeight="false" outlineLevel="0" collapsed="false">
      <c r="A103" s="33"/>
      <c r="B103" s="33"/>
      <c r="C103" s="33"/>
      <c r="D103" s="33"/>
      <c r="E103" s="33"/>
      <c r="F103" s="33"/>
      <c r="G103" s="33"/>
      <c r="H103" s="33"/>
      <c r="I103" s="33"/>
      <c r="J103" s="33"/>
      <c r="K103" s="33"/>
      <c r="L103" s="34"/>
      <c r="M103" s="34"/>
      <c r="N103" s="34"/>
      <c r="O103" s="34"/>
      <c r="P103" s="33"/>
      <c r="Q103" s="35"/>
      <c r="R103" s="33"/>
      <c r="S103" s="33"/>
      <c r="T103" s="33"/>
      <c r="U103" s="33"/>
      <c r="V103" s="33"/>
      <c r="W103" s="33"/>
    </row>
    <row r="104" customFormat="false" ht="15" hidden="false" customHeight="false" outlineLevel="0" collapsed="false">
      <c r="A104" s="33"/>
      <c r="B104" s="33"/>
      <c r="C104" s="33"/>
      <c r="D104" s="33"/>
      <c r="E104" s="33"/>
      <c r="F104" s="33"/>
      <c r="G104" s="33"/>
      <c r="H104" s="33"/>
      <c r="I104" s="33"/>
      <c r="J104" s="33"/>
      <c r="K104" s="33"/>
      <c r="L104" s="34"/>
      <c r="M104" s="34"/>
      <c r="N104" s="34"/>
      <c r="O104" s="34"/>
      <c r="P104" s="33"/>
      <c r="Q104" s="35"/>
      <c r="R104" s="33"/>
      <c r="S104" s="33"/>
      <c r="T104" s="33"/>
      <c r="U104" s="33"/>
      <c r="V104" s="33"/>
      <c r="W104" s="33"/>
    </row>
    <row r="105" customFormat="false" ht="15" hidden="false" customHeight="false" outlineLevel="0" collapsed="false">
      <c r="A105" s="33"/>
      <c r="B105" s="33"/>
      <c r="C105" s="33"/>
      <c r="D105" s="33"/>
      <c r="E105" s="33"/>
      <c r="F105" s="33"/>
      <c r="G105" s="33"/>
      <c r="H105" s="33"/>
      <c r="I105" s="33"/>
      <c r="J105" s="33"/>
      <c r="K105" s="33"/>
      <c r="L105" s="34"/>
      <c r="M105" s="34"/>
      <c r="N105" s="34"/>
      <c r="O105" s="34"/>
      <c r="P105" s="33"/>
      <c r="Q105" s="35"/>
      <c r="R105" s="33"/>
      <c r="S105" s="33"/>
      <c r="T105" s="33"/>
      <c r="U105" s="33"/>
      <c r="V105" s="33"/>
      <c r="W105" s="33"/>
    </row>
    <row r="106" customFormat="false" ht="15" hidden="false" customHeight="false" outlineLevel="0" collapsed="false">
      <c r="A106" s="33"/>
      <c r="B106" s="33"/>
      <c r="C106" s="33"/>
      <c r="D106" s="33"/>
      <c r="E106" s="33"/>
      <c r="F106" s="33"/>
      <c r="G106" s="33"/>
      <c r="H106" s="33"/>
      <c r="I106" s="33"/>
      <c r="J106" s="33"/>
      <c r="K106" s="33"/>
      <c r="L106" s="34"/>
      <c r="M106" s="34"/>
      <c r="N106" s="34"/>
      <c r="O106" s="34"/>
      <c r="P106" s="33"/>
      <c r="Q106" s="35"/>
      <c r="R106" s="33"/>
      <c r="S106" s="33"/>
      <c r="T106" s="33"/>
      <c r="U106" s="33"/>
      <c r="V106" s="33"/>
      <c r="W106" s="33"/>
    </row>
    <row r="107" customFormat="false" ht="15" hidden="false" customHeight="false" outlineLevel="0" collapsed="false">
      <c r="A107" s="33"/>
      <c r="B107" s="33"/>
      <c r="C107" s="33"/>
      <c r="D107" s="33"/>
      <c r="E107" s="33"/>
      <c r="F107" s="33"/>
      <c r="G107" s="33"/>
      <c r="H107" s="33"/>
      <c r="I107" s="33"/>
      <c r="J107" s="33"/>
      <c r="K107" s="33"/>
      <c r="L107" s="34"/>
      <c r="M107" s="34"/>
      <c r="N107" s="34"/>
      <c r="O107" s="34"/>
      <c r="P107" s="33"/>
      <c r="Q107" s="35"/>
      <c r="R107" s="33"/>
      <c r="S107" s="33"/>
      <c r="T107" s="33"/>
      <c r="U107" s="33"/>
      <c r="V107" s="33"/>
      <c r="W107" s="33"/>
    </row>
    <row r="108" customFormat="false" ht="15" hidden="false" customHeight="false" outlineLevel="0" collapsed="false">
      <c r="A108" s="33"/>
      <c r="B108" s="33"/>
      <c r="C108" s="33"/>
      <c r="D108" s="33"/>
      <c r="E108" s="33"/>
      <c r="F108" s="33"/>
      <c r="G108" s="33"/>
      <c r="H108" s="33"/>
      <c r="I108" s="33"/>
      <c r="J108" s="33"/>
      <c r="K108" s="33"/>
      <c r="L108" s="34"/>
      <c r="M108" s="34"/>
      <c r="N108" s="34"/>
      <c r="O108" s="34"/>
      <c r="P108" s="33"/>
      <c r="Q108" s="35"/>
      <c r="R108" s="33"/>
      <c r="S108" s="33"/>
      <c r="T108" s="33"/>
      <c r="U108" s="33"/>
      <c r="V108" s="33"/>
      <c r="W108" s="33"/>
    </row>
    <row r="109" customFormat="false" ht="15" hidden="false" customHeight="false" outlineLevel="0" collapsed="false">
      <c r="A109" s="33"/>
      <c r="B109" s="33"/>
      <c r="C109" s="33"/>
      <c r="D109" s="33"/>
      <c r="E109" s="33"/>
      <c r="F109" s="33"/>
      <c r="G109" s="33"/>
      <c r="H109" s="33"/>
      <c r="I109" s="33"/>
      <c r="J109" s="33"/>
      <c r="K109" s="33"/>
      <c r="L109" s="34"/>
      <c r="M109" s="34"/>
      <c r="N109" s="34"/>
      <c r="O109" s="34"/>
      <c r="P109" s="33"/>
      <c r="Q109" s="35"/>
      <c r="R109" s="33"/>
      <c r="S109" s="33"/>
      <c r="T109" s="33"/>
      <c r="U109" s="33"/>
      <c r="V109" s="33"/>
      <c r="W109" s="33"/>
    </row>
    <row r="110" customFormat="false" ht="15" hidden="false" customHeight="false" outlineLevel="0" collapsed="false">
      <c r="A110" s="33"/>
      <c r="B110" s="33"/>
      <c r="C110" s="33"/>
      <c r="D110" s="33"/>
      <c r="E110" s="33"/>
      <c r="F110" s="33"/>
      <c r="G110" s="33"/>
      <c r="H110" s="33"/>
      <c r="I110" s="33"/>
      <c r="J110" s="33"/>
      <c r="K110" s="33"/>
      <c r="L110" s="34"/>
      <c r="M110" s="34"/>
      <c r="N110" s="34"/>
      <c r="O110" s="34"/>
      <c r="P110" s="33"/>
      <c r="Q110" s="35"/>
      <c r="R110" s="33"/>
      <c r="S110" s="33"/>
      <c r="T110" s="33"/>
      <c r="U110" s="33"/>
      <c r="V110" s="33"/>
      <c r="W110" s="33"/>
    </row>
    <row r="111" customFormat="false" ht="15" hidden="false" customHeight="false" outlineLevel="0" collapsed="false">
      <c r="A111" s="33"/>
      <c r="B111" s="33"/>
      <c r="C111" s="33"/>
      <c r="D111" s="33"/>
      <c r="E111" s="33"/>
      <c r="F111" s="33"/>
      <c r="G111" s="33"/>
      <c r="H111" s="33"/>
      <c r="I111" s="33"/>
      <c r="J111" s="33"/>
      <c r="K111" s="33"/>
      <c r="L111" s="34"/>
      <c r="M111" s="34"/>
      <c r="N111" s="34"/>
      <c r="O111" s="34"/>
      <c r="P111" s="33"/>
      <c r="Q111" s="35"/>
      <c r="R111" s="33"/>
      <c r="S111" s="33"/>
      <c r="T111" s="33"/>
      <c r="U111" s="33"/>
      <c r="V111" s="33"/>
      <c r="W111" s="33"/>
    </row>
    <row r="112" customFormat="false" ht="15" hidden="false" customHeight="false" outlineLevel="0" collapsed="false">
      <c r="A112" s="33"/>
      <c r="B112" s="33"/>
      <c r="C112" s="33"/>
      <c r="D112" s="33"/>
      <c r="E112" s="33"/>
      <c r="F112" s="33"/>
      <c r="G112" s="33"/>
      <c r="H112" s="33"/>
      <c r="I112" s="33"/>
      <c r="J112" s="33"/>
      <c r="K112" s="33"/>
      <c r="L112" s="34"/>
      <c r="M112" s="34"/>
      <c r="N112" s="34"/>
      <c r="O112" s="34"/>
      <c r="P112" s="33"/>
      <c r="Q112" s="35"/>
      <c r="R112" s="33"/>
      <c r="S112" s="33"/>
      <c r="T112" s="33"/>
      <c r="U112" s="33"/>
      <c r="V112" s="33"/>
      <c r="W112" s="33"/>
    </row>
    <row r="113" customFormat="false" ht="15" hidden="false" customHeight="false" outlineLevel="0" collapsed="false">
      <c r="A113" s="33"/>
      <c r="B113" s="33"/>
      <c r="C113" s="33"/>
      <c r="D113" s="33"/>
      <c r="E113" s="33"/>
      <c r="F113" s="33"/>
      <c r="G113" s="33"/>
      <c r="H113" s="33"/>
      <c r="I113" s="33"/>
      <c r="J113" s="33"/>
      <c r="K113" s="33"/>
      <c r="L113" s="34"/>
      <c r="M113" s="34"/>
      <c r="N113" s="34"/>
      <c r="O113" s="34"/>
      <c r="P113" s="33"/>
      <c r="Q113" s="35"/>
      <c r="R113" s="33"/>
      <c r="S113" s="33"/>
      <c r="T113" s="33"/>
      <c r="U113" s="33"/>
      <c r="V113" s="33"/>
      <c r="W113" s="33"/>
    </row>
    <row r="114" customFormat="false" ht="15" hidden="false" customHeight="false" outlineLevel="0" collapsed="false">
      <c r="A114" s="33"/>
      <c r="B114" s="33"/>
      <c r="C114" s="33"/>
      <c r="D114" s="33"/>
      <c r="E114" s="33"/>
      <c r="F114" s="33"/>
      <c r="G114" s="33"/>
      <c r="H114" s="33"/>
      <c r="I114" s="33"/>
      <c r="J114" s="33"/>
      <c r="K114" s="33"/>
      <c r="L114" s="34"/>
      <c r="M114" s="34"/>
      <c r="N114" s="34"/>
      <c r="O114" s="34"/>
      <c r="P114" s="33"/>
      <c r="Q114" s="35"/>
      <c r="R114" s="33"/>
      <c r="S114" s="33"/>
      <c r="T114" s="33"/>
      <c r="U114" s="33"/>
      <c r="V114" s="33"/>
      <c r="W114" s="33"/>
    </row>
    <row r="115" customFormat="false" ht="15" hidden="false" customHeight="false" outlineLevel="0" collapsed="false">
      <c r="A115" s="33"/>
      <c r="B115" s="33"/>
      <c r="C115" s="33"/>
      <c r="D115" s="33"/>
      <c r="E115" s="33"/>
      <c r="F115" s="33"/>
      <c r="G115" s="33"/>
      <c r="H115" s="33"/>
      <c r="I115" s="33"/>
      <c r="J115" s="33"/>
      <c r="K115" s="33"/>
      <c r="L115" s="34"/>
      <c r="M115" s="34"/>
      <c r="N115" s="34"/>
      <c r="O115" s="34"/>
      <c r="P115" s="33"/>
      <c r="Q115" s="35"/>
      <c r="R115" s="33"/>
      <c r="S115" s="33"/>
      <c r="T115" s="33"/>
      <c r="U115" s="33"/>
      <c r="V115" s="33"/>
      <c r="W115" s="33"/>
    </row>
    <row r="116" customFormat="false" ht="15" hidden="false" customHeight="false" outlineLevel="0" collapsed="false">
      <c r="A116" s="33"/>
      <c r="B116" s="33"/>
      <c r="C116" s="33"/>
      <c r="D116" s="33"/>
      <c r="E116" s="33"/>
      <c r="F116" s="33"/>
      <c r="G116" s="33"/>
      <c r="H116" s="33"/>
      <c r="I116" s="33"/>
      <c r="J116" s="33"/>
      <c r="K116" s="33"/>
      <c r="L116" s="34"/>
      <c r="M116" s="34"/>
      <c r="N116" s="34"/>
      <c r="O116" s="34"/>
      <c r="P116" s="33"/>
      <c r="Q116" s="35"/>
      <c r="R116" s="33"/>
      <c r="S116" s="33"/>
      <c r="T116" s="33"/>
      <c r="U116" s="33"/>
      <c r="V116" s="33"/>
      <c r="W116" s="33"/>
    </row>
    <row r="117" customFormat="false" ht="15" hidden="false" customHeight="false" outlineLevel="0" collapsed="false">
      <c r="A117" s="33"/>
      <c r="B117" s="33"/>
      <c r="C117" s="33"/>
      <c r="D117" s="33"/>
      <c r="E117" s="33"/>
      <c r="F117" s="33"/>
      <c r="G117" s="33"/>
      <c r="H117" s="33"/>
      <c r="I117" s="33"/>
      <c r="J117" s="33"/>
      <c r="K117" s="33"/>
      <c r="L117" s="34"/>
      <c r="M117" s="34"/>
      <c r="N117" s="34"/>
      <c r="O117" s="34"/>
      <c r="P117" s="33"/>
      <c r="Q117" s="35"/>
      <c r="R117" s="33"/>
      <c r="S117" s="33"/>
      <c r="T117" s="33"/>
      <c r="U117" s="33"/>
      <c r="V117" s="33"/>
      <c r="W117" s="33"/>
    </row>
    <row r="118" customFormat="false" ht="15" hidden="false" customHeight="false" outlineLevel="0" collapsed="false">
      <c r="A118" s="33"/>
      <c r="B118" s="33"/>
      <c r="C118" s="33"/>
      <c r="D118" s="33"/>
      <c r="E118" s="33"/>
      <c r="F118" s="33"/>
      <c r="G118" s="33"/>
      <c r="H118" s="33"/>
      <c r="I118" s="33"/>
      <c r="J118" s="33"/>
      <c r="K118" s="33"/>
      <c r="L118" s="34"/>
      <c r="M118" s="34"/>
      <c r="N118" s="34"/>
      <c r="O118" s="34"/>
      <c r="P118" s="33"/>
      <c r="Q118" s="35"/>
      <c r="R118" s="33"/>
      <c r="S118" s="33"/>
      <c r="T118" s="33"/>
      <c r="U118" s="33"/>
      <c r="V118" s="33"/>
      <c r="W118" s="33"/>
    </row>
    <row r="119" customFormat="false" ht="15" hidden="false" customHeight="false" outlineLevel="0" collapsed="false">
      <c r="A119" s="33"/>
      <c r="B119" s="33"/>
      <c r="C119" s="33"/>
      <c r="D119" s="33"/>
      <c r="E119" s="33"/>
      <c r="F119" s="33"/>
      <c r="G119" s="33"/>
      <c r="H119" s="33"/>
      <c r="I119" s="33"/>
      <c r="J119" s="33"/>
      <c r="K119" s="33"/>
      <c r="L119" s="34"/>
      <c r="M119" s="34"/>
      <c r="N119" s="34"/>
      <c r="O119" s="34"/>
      <c r="P119" s="33"/>
      <c r="Q119" s="35"/>
      <c r="R119" s="33"/>
      <c r="S119" s="33"/>
      <c r="T119" s="33"/>
      <c r="U119" s="33"/>
      <c r="V119" s="33"/>
      <c r="W119" s="33"/>
    </row>
    <row r="120" customFormat="false" ht="15" hidden="false" customHeight="false" outlineLevel="0" collapsed="false">
      <c r="A120" s="33"/>
      <c r="B120" s="33"/>
      <c r="C120" s="33"/>
      <c r="D120" s="33"/>
      <c r="E120" s="33"/>
      <c r="F120" s="33"/>
      <c r="G120" s="33"/>
      <c r="H120" s="33"/>
      <c r="I120" s="33"/>
      <c r="J120" s="33"/>
      <c r="K120" s="33"/>
      <c r="L120" s="34"/>
      <c r="M120" s="34"/>
      <c r="N120" s="34"/>
      <c r="O120" s="34"/>
      <c r="P120" s="33"/>
      <c r="Q120" s="35"/>
      <c r="R120" s="33"/>
      <c r="S120" s="33"/>
      <c r="T120" s="33"/>
      <c r="U120" s="33"/>
      <c r="V120" s="33"/>
      <c r="W120" s="33"/>
    </row>
    <row r="121" customFormat="false" ht="15" hidden="false" customHeight="false" outlineLevel="0" collapsed="false">
      <c r="A121" s="33"/>
      <c r="B121" s="33"/>
      <c r="C121" s="33"/>
      <c r="D121" s="33"/>
      <c r="E121" s="33"/>
      <c r="F121" s="33"/>
      <c r="G121" s="33"/>
      <c r="H121" s="33"/>
      <c r="I121" s="33"/>
      <c r="J121" s="33"/>
      <c r="K121" s="33"/>
      <c r="L121" s="34"/>
      <c r="M121" s="34"/>
      <c r="N121" s="34"/>
      <c r="O121" s="34"/>
      <c r="P121" s="33"/>
      <c r="Q121" s="35"/>
      <c r="R121" s="33"/>
      <c r="S121" s="33"/>
      <c r="T121" s="33"/>
      <c r="U121" s="33"/>
      <c r="V121" s="33"/>
      <c r="W121" s="33"/>
    </row>
    <row r="122" customFormat="false" ht="15" hidden="false" customHeight="false" outlineLevel="0" collapsed="false">
      <c r="A122" s="33"/>
      <c r="B122" s="33"/>
      <c r="C122" s="33"/>
      <c r="D122" s="33"/>
      <c r="E122" s="33"/>
      <c r="F122" s="33"/>
      <c r="G122" s="33"/>
      <c r="H122" s="33"/>
      <c r="I122" s="33"/>
      <c r="J122" s="33"/>
      <c r="K122" s="33"/>
      <c r="L122" s="34"/>
      <c r="M122" s="34"/>
      <c r="N122" s="34"/>
      <c r="O122" s="34"/>
      <c r="P122" s="33"/>
      <c r="Q122" s="35"/>
      <c r="R122" s="33"/>
      <c r="S122" s="33"/>
      <c r="T122" s="33"/>
      <c r="U122" s="33"/>
      <c r="V122" s="33"/>
      <c r="W122" s="33"/>
    </row>
    <row r="123" customFormat="false" ht="15" hidden="false" customHeight="false" outlineLevel="0" collapsed="false">
      <c r="A123" s="33"/>
      <c r="B123" s="33"/>
      <c r="C123" s="33"/>
      <c r="D123" s="33"/>
      <c r="E123" s="33"/>
      <c r="F123" s="33"/>
      <c r="G123" s="33"/>
      <c r="H123" s="33"/>
      <c r="I123" s="33"/>
      <c r="J123" s="33"/>
      <c r="K123" s="33"/>
      <c r="L123" s="34"/>
      <c r="M123" s="34"/>
      <c r="N123" s="34"/>
      <c r="O123" s="34"/>
      <c r="P123" s="33"/>
      <c r="Q123" s="35"/>
      <c r="R123" s="33"/>
      <c r="S123" s="33"/>
      <c r="T123" s="33"/>
      <c r="U123" s="33"/>
      <c r="V123" s="33"/>
      <c r="W123" s="33"/>
    </row>
    <row r="124" customFormat="false" ht="15" hidden="false" customHeight="false" outlineLevel="0" collapsed="false">
      <c r="A124" s="33"/>
      <c r="B124" s="33"/>
      <c r="C124" s="33"/>
      <c r="D124" s="33"/>
      <c r="E124" s="33"/>
      <c r="F124" s="33"/>
      <c r="G124" s="33"/>
      <c r="H124" s="33"/>
      <c r="I124" s="33"/>
      <c r="J124" s="33"/>
      <c r="K124" s="33"/>
      <c r="L124" s="34"/>
      <c r="M124" s="34"/>
      <c r="N124" s="34"/>
      <c r="O124" s="34"/>
      <c r="P124" s="33"/>
      <c r="Q124" s="35"/>
      <c r="R124" s="33"/>
      <c r="S124" s="33"/>
      <c r="T124" s="33"/>
      <c r="U124" s="33"/>
      <c r="V124" s="33"/>
      <c r="W124" s="33"/>
    </row>
    <row r="125" customFormat="false" ht="15" hidden="false" customHeight="false" outlineLevel="0" collapsed="false">
      <c r="A125" s="33"/>
      <c r="B125" s="33"/>
      <c r="C125" s="33"/>
      <c r="D125" s="33"/>
      <c r="E125" s="33"/>
      <c r="F125" s="33"/>
      <c r="G125" s="33"/>
      <c r="H125" s="33"/>
      <c r="I125" s="33"/>
      <c r="J125" s="33"/>
      <c r="K125" s="33"/>
      <c r="L125" s="34"/>
      <c r="M125" s="34"/>
      <c r="N125" s="34"/>
      <c r="O125" s="34"/>
      <c r="P125" s="33"/>
      <c r="Q125" s="35"/>
      <c r="R125" s="33"/>
      <c r="S125" s="33"/>
      <c r="T125" s="33"/>
      <c r="U125" s="33"/>
      <c r="V125" s="33"/>
      <c r="W125" s="33"/>
    </row>
    <row r="126" customFormat="false" ht="15" hidden="false" customHeight="false" outlineLevel="0" collapsed="false">
      <c r="A126" s="33"/>
      <c r="B126" s="33"/>
      <c r="C126" s="33"/>
      <c r="D126" s="33"/>
      <c r="E126" s="33"/>
      <c r="F126" s="33"/>
      <c r="G126" s="33"/>
      <c r="H126" s="33"/>
      <c r="I126" s="33"/>
      <c r="J126" s="33"/>
      <c r="K126" s="33"/>
      <c r="L126" s="34"/>
      <c r="M126" s="34"/>
      <c r="N126" s="34"/>
      <c r="O126" s="34"/>
      <c r="P126" s="33"/>
      <c r="Q126" s="35"/>
      <c r="R126" s="33"/>
      <c r="S126" s="33"/>
      <c r="T126" s="33"/>
      <c r="U126" s="33"/>
      <c r="V126" s="33"/>
      <c r="W126" s="33"/>
    </row>
    <row r="127" customFormat="false" ht="15" hidden="false" customHeight="false" outlineLevel="0" collapsed="false">
      <c r="A127" s="33"/>
      <c r="B127" s="33"/>
      <c r="C127" s="33"/>
      <c r="D127" s="33"/>
      <c r="E127" s="33"/>
      <c r="F127" s="33"/>
      <c r="G127" s="33"/>
      <c r="H127" s="33"/>
      <c r="I127" s="33"/>
      <c r="J127" s="33"/>
      <c r="K127" s="33"/>
      <c r="L127" s="34"/>
      <c r="M127" s="34"/>
      <c r="N127" s="34"/>
      <c r="O127" s="34"/>
      <c r="P127" s="33"/>
      <c r="Q127" s="35"/>
      <c r="R127" s="33"/>
      <c r="S127" s="33"/>
      <c r="T127" s="33"/>
      <c r="U127" s="33"/>
      <c r="V127" s="33"/>
      <c r="W127" s="33"/>
    </row>
    <row r="128" customFormat="false" ht="15" hidden="false" customHeight="false" outlineLevel="0" collapsed="false">
      <c r="A128" s="33"/>
      <c r="B128" s="33"/>
      <c r="C128" s="33"/>
      <c r="D128" s="33"/>
      <c r="E128" s="33"/>
      <c r="F128" s="33"/>
      <c r="G128" s="33"/>
      <c r="H128" s="33"/>
      <c r="I128" s="33"/>
      <c r="J128" s="33"/>
      <c r="K128" s="33"/>
      <c r="L128" s="34"/>
      <c r="M128" s="34"/>
      <c r="N128" s="34"/>
      <c r="O128" s="34"/>
      <c r="P128" s="33"/>
      <c r="Q128" s="35"/>
      <c r="R128" s="33"/>
      <c r="S128" s="33"/>
      <c r="T128" s="33"/>
      <c r="U128" s="33"/>
      <c r="V128" s="33"/>
      <c r="W128" s="33"/>
    </row>
    <row r="129" customFormat="false" ht="15" hidden="false" customHeight="false" outlineLevel="0" collapsed="false">
      <c r="A129" s="33"/>
      <c r="B129" s="33"/>
      <c r="C129" s="33"/>
      <c r="D129" s="33"/>
      <c r="E129" s="33"/>
      <c r="F129" s="33"/>
      <c r="G129" s="33"/>
      <c r="H129" s="33"/>
      <c r="I129" s="33"/>
      <c r="J129" s="33"/>
      <c r="K129" s="33"/>
      <c r="L129" s="34"/>
      <c r="M129" s="34"/>
      <c r="N129" s="34"/>
      <c r="O129" s="34"/>
      <c r="P129" s="33"/>
      <c r="Q129" s="35"/>
      <c r="R129" s="33"/>
      <c r="S129" s="33"/>
      <c r="T129" s="33"/>
      <c r="U129" s="33"/>
      <c r="V129" s="33"/>
      <c r="W129" s="33"/>
    </row>
    <row r="130" customFormat="false" ht="15" hidden="false" customHeight="false" outlineLevel="0" collapsed="false">
      <c r="A130" s="33"/>
      <c r="B130" s="33"/>
      <c r="C130" s="33"/>
      <c r="D130" s="33"/>
      <c r="E130" s="33"/>
      <c r="F130" s="33"/>
      <c r="G130" s="33"/>
      <c r="H130" s="33"/>
      <c r="I130" s="33"/>
      <c r="J130" s="33"/>
      <c r="K130" s="33"/>
      <c r="L130" s="34"/>
      <c r="M130" s="34"/>
      <c r="N130" s="34"/>
      <c r="O130" s="34"/>
      <c r="P130" s="33"/>
      <c r="Q130" s="35"/>
      <c r="R130" s="33"/>
      <c r="S130" s="33"/>
      <c r="T130" s="33"/>
      <c r="U130" s="33"/>
      <c r="V130" s="33"/>
      <c r="W130" s="33"/>
    </row>
    <row r="131" customFormat="false" ht="15" hidden="false" customHeight="false" outlineLevel="0" collapsed="false">
      <c r="A131" s="33"/>
      <c r="B131" s="33"/>
      <c r="C131" s="33"/>
      <c r="D131" s="33"/>
      <c r="E131" s="33"/>
      <c r="F131" s="33"/>
      <c r="G131" s="33"/>
      <c r="H131" s="33"/>
      <c r="I131" s="33"/>
      <c r="J131" s="33"/>
      <c r="K131" s="33"/>
      <c r="L131" s="34"/>
      <c r="M131" s="34"/>
      <c r="N131" s="34"/>
      <c r="O131" s="34"/>
      <c r="P131" s="33"/>
      <c r="Q131" s="35"/>
      <c r="R131" s="33"/>
      <c r="S131" s="33"/>
      <c r="T131" s="33"/>
      <c r="U131" s="33"/>
      <c r="V131" s="33"/>
      <c r="W131" s="33"/>
    </row>
    <row r="132" customFormat="false" ht="15" hidden="false" customHeight="false" outlineLevel="0" collapsed="false">
      <c r="A132" s="33"/>
      <c r="B132" s="33"/>
      <c r="C132" s="33"/>
      <c r="D132" s="33"/>
      <c r="E132" s="33"/>
      <c r="F132" s="33"/>
      <c r="G132" s="33"/>
      <c r="H132" s="33"/>
      <c r="I132" s="33"/>
      <c r="J132" s="33"/>
      <c r="K132" s="33"/>
      <c r="L132" s="34"/>
      <c r="M132" s="34"/>
      <c r="N132" s="34"/>
      <c r="O132" s="34"/>
      <c r="P132" s="33"/>
      <c r="Q132" s="35"/>
      <c r="R132" s="33"/>
      <c r="S132" s="33"/>
      <c r="T132" s="33"/>
      <c r="U132" s="33"/>
      <c r="V132" s="33"/>
      <c r="W132" s="33"/>
    </row>
    <row r="133" customFormat="false" ht="15" hidden="false" customHeight="false" outlineLevel="0" collapsed="false">
      <c r="A133" s="33"/>
      <c r="B133" s="33"/>
      <c r="C133" s="33"/>
      <c r="D133" s="33"/>
      <c r="E133" s="33"/>
      <c r="F133" s="33"/>
      <c r="G133" s="33"/>
      <c r="H133" s="33"/>
      <c r="I133" s="33"/>
      <c r="J133" s="33"/>
      <c r="K133" s="33"/>
      <c r="L133" s="34"/>
      <c r="M133" s="34"/>
      <c r="N133" s="34"/>
      <c r="O133" s="34"/>
      <c r="P133" s="33"/>
      <c r="Q133" s="35"/>
      <c r="R133" s="33"/>
      <c r="S133" s="33"/>
      <c r="T133" s="33"/>
      <c r="U133" s="33"/>
      <c r="V133" s="33"/>
      <c r="W133" s="33"/>
    </row>
    <row r="134" customFormat="false" ht="15" hidden="false" customHeight="false" outlineLevel="0" collapsed="false">
      <c r="A134" s="33"/>
      <c r="B134" s="33"/>
      <c r="C134" s="33"/>
      <c r="D134" s="33"/>
      <c r="E134" s="33"/>
      <c r="F134" s="33"/>
      <c r="G134" s="33"/>
      <c r="H134" s="33"/>
      <c r="I134" s="33"/>
      <c r="J134" s="33"/>
      <c r="K134" s="33"/>
      <c r="L134" s="34"/>
      <c r="M134" s="34"/>
      <c r="N134" s="34"/>
      <c r="O134" s="34"/>
      <c r="P134" s="33"/>
      <c r="Q134" s="35"/>
      <c r="R134" s="33"/>
      <c r="S134" s="33"/>
      <c r="T134" s="33"/>
      <c r="U134" s="33"/>
      <c r="V134" s="33"/>
      <c r="W134" s="33"/>
    </row>
    <row r="135" customFormat="false" ht="15" hidden="false" customHeight="false" outlineLevel="0" collapsed="false">
      <c r="A135" s="33"/>
      <c r="B135" s="33"/>
      <c r="C135" s="33"/>
      <c r="D135" s="33"/>
      <c r="E135" s="33"/>
      <c r="F135" s="33"/>
      <c r="G135" s="33"/>
      <c r="H135" s="33"/>
      <c r="I135" s="33"/>
      <c r="J135" s="33"/>
      <c r="K135" s="33"/>
      <c r="L135" s="34"/>
      <c r="M135" s="34"/>
      <c r="N135" s="34"/>
      <c r="O135" s="34"/>
      <c r="P135" s="33"/>
      <c r="Q135" s="35"/>
      <c r="R135" s="33"/>
      <c r="S135" s="33"/>
      <c r="T135" s="33"/>
      <c r="U135" s="33"/>
      <c r="V135" s="33"/>
      <c r="W135" s="33"/>
    </row>
    <row r="136" customFormat="false" ht="15" hidden="false" customHeight="false" outlineLevel="0" collapsed="false">
      <c r="A136" s="33"/>
      <c r="B136" s="33"/>
      <c r="C136" s="33"/>
      <c r="D136" s="33"/>
      <c r="E136" s="33"/>
      <c r="F136" s="33"/>
      <c r="G136" s="33"/>
      <c r="H136" s="33"/>
      <c r="I136" s="33"/>
      <c r="J136" s="33"/>
      <c r="K136" s="33"/>
      <c r="L136" s="34"/>
      <c r="M136" s="34"/>
      <c r="N136" s="34"/>
      <c r="O136" s="34"/>
      <c r="P136" s="33"/>
      <c r="Q136" s="35"/>
      <c r="R136" s="33"/>
      <c r="S136" s="33"/>
      <c r="T136" s="33"/>
      <c r="U136" s="33"/>
      <c r="V136" s="33"/>
      <c r="W136" s="33"/>
    </row>
    <row r="137" customFormat="false" ht="15" hidden="false" customHeight="false" outlineLevel="0" collapsed="false">
      <c r="A137" s="33"/>
      <c r="B137" s="33"/>
      <c r="C137" s="33"/>
      <c r="D137" s="33"/>
      <c r="E137" s="33"/>
      <c r="F137" s="33"/>
      <c r="G137" s="33"/>
      <c r="H137" s="33"/>
      <c r="I137" s="33"/>
      <c r="J137" s="33"/>
      <c r="K137" s="33"/>
      <c r="L137" s="34"/>
      <c r="M137" s="34"/>
      <c r="N137" s="34"/>
      <c r="O137" s="34"/>
      <c r="P137" s="33"/>
      <c r="Q137" s="35"/>
      <c r="R137" s="33"/>
      <c r="S137" s="33"/>
      <c r="T137" s="33"/>
      <c r="U137" s="33"/>
      <c r="V137" s="33"/>
      <c r="W137" s="33"/>
    </row>
    <row r="138" customFormat="false" ht="15" hidden="false" customHeight="false" outlineLevel="0" collapsed="false">
      <c r="A138" s="33"/>
      <c r="B138" s="33"/>
      <c r="C138" s="33"/>
      <c r="D138" s="33"/>
      <c r="E138" s="33"/>
      <c r="F138" s="33"/>
      <c r="G138" s="33"/>
      <c r="H138" s="33"/>
      <c r="I138" s="33"/>
      <c r="J138" s="33"/>
      <c r="K138" s="33"/>
      <c r="L138" s="34"/>
      <c r="M138" s="34"/>
      <c r="N138" s="34"/>
      <c r="O138" s="34"/>
      <c r="P138" s="33"/>
      <c r="Q138" s="35"/>
      <c r="R138" s="33"/>
      <c r="S138" s="33"/>
      <c r="T138" s="33"/>
      <c r="U138" s="33"/>
      <c r="V138" s="33"/>
      <c r="W138" s="33"/>
    </row>
    <row r="139" customFormat="false" ht="15" hidden="false" customHeight="false" outlineLevel="0" collapsed="false">
      <c r="A139" s="33"/>
      <c r="B139" s="33"/>
      <c r="C139" s="33"/>
      <c r="D139" s="33"/>
      <c r="E139" s="33"/>
      <c r="F139" s="33"/>
      <c r="G139" s="33"/>
      <c r="H139" s="33"/>
      <c r="I139" s="33"/>
      <c r="J139" s="33"/>
      <c r="K139" s="33"/>
      <c r="L139" s="34"/>
      <c r="M139" s="34"/>
      <c r="N139" s="34"/>
      <c r="O139" s="34"/>
      <c r="P139" s="33"/>
      <c r="Q139" s="35"/>
      <c r="R139" s="33"/>
      <c r="S139" s="33"/>
      <c r="T139" s="33"/>
      <c r="U139" s="33"/>
      <c r="V139" s="33"/>
      <c r="W139" s="33"/>
    </row>
    <row r="140" customFormat="false" ht="15" hidden="false" customHeight="false" outlineLevel="0" collapsed="false">
      <c r="A140" s="33"/>
      <c r="B140" s="33"/>
      <c r="C140" s="33"/>
      <c r="D140" s="33"/>
      <c r="E140" s="33"/>
      <c r="F140" s="33"/>
      <c r="G140" s="33"/>
      <c r="H140" s="33"/>
      <c r="I140" s="33"/>
      <c r="J140" s="33"/>
      <c r="K140" s="33"/>
      <c r="L140" s="34"/>
      <c r="M140" s="34"/>
      <c r="N140" s="34"/>
      <c r="O140" s="34"/>
      <c r="P140" s="33"/>
      <c r="Q140" s="35"/>
      <c r="R140" s="33"/>
      <c r="S140" s="33"/>
      <c r="T140" s="33"/>
      <c r="U140" s="33"/>
      <c r="V140" s="33"/>
      <c r="W140" s="33"/>
    </row>
    <row r="141" customFormat="false" ht="15" hidden="false" customHeight="false" outlineLevel="0" collapsed="false">
      <c r="A141" s="33"/>
      <c r="B141" s="33"/>
      <c r="C141" s="33"/>
      <c r="D141" s="33"/>
      <c r="E141" s="33"/>
      <c r="F141" s="33"/>
      <c r="G141" s="33"/>
      <c r="H141" s="33"/>
      <c r="I141" s="33"/>
      <c r="J141" s="33"/>
      <c r="K141" s="33"/>
      <c r="L141" s="34"/>
      <c r="M141" s="34"/>
      <c r="N141" s="34"/>
      <c r="O141" s="34"/>
      <c r="P141" s="33"/>
      <c r="Q141" s="35"/>
      <c r="R141" s="33"/>
      <c r="S141" s="33"/>
      <c r="T141" s="33"/>
      <c r="U141" s="33"/>
      <c r="V141" s="33"/>
      <c r="W141" s="33"/>
    </row>
    <row r="142" customFormat="false" ht="15" hidden="false" customHeight="false" outlineLevel="0" collapsed="false">
      <c r="A142" s="33"/>
      <c r="B142" s="33"/>
      <c r="C142" s="33"/>
      <c r="D142" s="33"/>
      <c r="E142" s="33"/>
      <c r="F142" s="33"/>
      <c r="G142" s="33"/>
      <c r="H142" s="33"/>
      <c r="I142" s="33"/>
      <c r="J142" s="33"/>
      <c r="K142" s="33"/>
      <c r="L142" s="34"/>
      <c r="M142" s="34"/>
      <c r="N142" s="34"/>
      <c r="O142" s="34"/>
      <c r="P142" s="33"/>
      <c r="Q142" s="35"/>
      <c r="R142" s="33"/>
      <c r="S142" s="33"/>
      <c r="T142" s="33"/>
      <c r="U142" s="33"/>
      <c r="V142" s="33"/>
      <c r="W142" s="33"/>
    </row>
    <row r="143" customFormat="false" ht="15" hidden="false" customHeight="false" outlineLevel="0" collapsed="false">
      <c r="A143" s="33"/>
      <c r="B143" s="33"/>
      <c r="C143" s="33"/>
      <c r="D143" s="33"/>
      <c r="E143" s="33"/>
      <c r="F143" s="33"/>
      <c r="G143" s="33"/>
      <c r="H143" s="33"/>
      <c r="I143" s="33"/>
      <c r="J143" s="33"/>
      <c r="K143" s="33"/>
      <c r="L143" s="34"/>
      <c r="M143" s="34"/>
      <c r="N143" s="34"/>
      <c r="O143" s="34"/>
      <c r="P143" s="33"/>
      <c r="Q143" s="35"/>
      <c r="R143" s="33"/>
      <c r="S143" s="33"/>
      <c r="T143" s="33"/>
      <c r="U143" s="33"/>
      <c r="V143" s="33"/>
      <c r="W143" s="33"/>
    </row>
    <row r="144" customFormat="false" ht="15" hidden="false" customHeight="false" outlineLevel="0" collapsed="false">
      <c r="A144" s="33"/>
      <c r="B144" s="33"/>
      <c r="C144" s="33"/>
      <c r="D144" s="33"/>
      <c r="E144" s="33"/>
      <c r="F144" s="33"/>
      <c r="G144" s="33"/>
      <c r="H144" s="33"/>
      <c r="I144" s="33"/>
      <c r="J144" s="33"/>
      <c r="K144" s="33"/>
      <c r="L144" s="34"/>
      <c r="M144" s="34"/>
      <c r="N144" s="34"/>
      <c r="O144" s="34"/>
      <c r="P144" s="33"/>
      <c r="Q144" s="35"/>
      <c r="R144" s="33"/>
      <c r="S144" s="33"/>
      <c r="T144" s="33"/>
      <c r="U144" s="33"/>
      <c r="V144" s="33"/>
      <c r="W144" s="33"/>
    </row>
    <row r="145" customFormat="false" ht="15" hidden="false" customHeight="false" outlineLevel="0" collapsed="false">
      <c r="A145" s="33"/>
      <c r="B145" s="33"/>
      <c r="C145" s="33"/>
      <c r="D145" s="33"/>
      <c r="E145" s="33"/>
      <c r="F145" s="33"/>
      <c r="G145" s="33"/>
      <c r="H145" s="33"/>
      <c r="I145" s="33"/>
      <c r="J145" s="33"/>
      <c r="K145" s="33"/>
      <c r="L145" s="34"/>
      <c r="M145" s="34"/>
      <c r="N145" s="34"/>
      <c r="O145" s="34"/>
      <c r="P145" s="33"/>
      <c r="Q145" s="35"/>
      <c r="R145" s="33"/>
      <c r="S145" s="33"/>
      <c r="T145" s="33"/>
      <c r="U145" s="33"/>
      <c r="V145" s="33"/>
      <c r="W145" s="33"/>
    </row>
    <row r="146" customFormat="false" ht="15" hidden="false" customHeight="false" outlineLevel="0" collapsed="false">
      <c r="A146" s="33"/>
      <c r="B146" s="33"/>
      <c r="C146" s="33"/>
      <c r="D146" s="33"/>
      <c r="E146" s="33"/>
      <c r="F146" s="33"/>
      <c r="G146" s="33"/>
      <c r="H146" s="33"/>
      <c r="I146" s="33"/>
      <c r="J146" s="33"/>
      <c r="K146" s="33"/>
      <c r="L146" s="34"/>
      <c r="M146" s="34"/>
      <c r="N146" s="34"/>
      <c r="O146" s="34"/>
      <c r="P146" s="33"/>
      <c r="Q146" s="35"/>
      <c r="R146" s="33"/>
      <c r="S146" s="33"/>
      <c r="T146" s="33"/>
      <c r="U146" s="33"/>
      <c r="V146" s="33"/>
      <c r="W146" s="33"/>
    </row>
    <row r="147" customFormat="false" ht="15" hidden="false" customHeight="false" outlineLevel="0" collapsed="false">
      <c r="A147" s="33"/>
      <c r="B147" s="33"/>
      <c r="C147" s="33"/>
      <c r="D147" s="33"/>
      <c r="E147" s="33"/>
      <c r="F147" s="33"/>
      <c r="G147" s="33"/>
      <c r="H147" s="33"/>
      <c r="I147" s="33"/>
      <c r="J147" s="33"/>
      <c r="K147" s="33"/>
      <c r="L147" s="34"/>
      <c r="M147" s="34"/>
      <c r="N147" s="34"/>
      <c r="O147" s="34"/>
      <c r="P147" s="33"/>
      <c r="Q147" s="35"/>
      <c r="R147" s="33"/>
      <c r="S147" s="33"/>
      <c r="T147" s="33"/>
      <c r="U147" s="33"/>
      <c r="V147" s="33"/>
      <c r="W147" s="33"/>
    </row>
    <row r="148" customFormat="false" ht="15" hidden="false" customHeight="false" outlineLevel="0" collapsed="false">
      <c r="A148" s="33"/>
      <c r="B148" s="33"/>
      <c r="C148" s="33"/>
      <c r="D148" s="33"/>
      <c r="E148" s="33"/>
      <c r="F148" s="33"/>
      <c r="G148" s="33"/>
      <c r="H148" s="33"/>
      <c r="I148" s="33"/>
      <c r="J148" s="33"/>
      <c r="K148" s="33"/>
      <c r="L148" s="34"/>
      <c r="M148" s="34"/>
      <c r="N148" s="34"/>
      <c r="O148" s="34"/>
      <c r="P148" s="33"/>
      <c r="Q148" s="35"/>
      <c r="R148" s="33"/>
      <c r="S148" s="33"/>
      <c r="T148" s="33"/>
      <c r="U148" s="33"/>
      <c r="V148" s="33"/>
      <c r="W148" s="33"/>
    </row>
    <row r="149" customFormat="false" ht="15" hidden="false" customHeight="false" outlineLevel="0" collapsed="false">
      <c r="A149" s="33"/>
      <c r="B149" s="33"/>
      <c r="C149" s="33"/>
      <c r="D149" s="33"/>
      <c r="E149" s="33"/>
      <c r="F149" s="33"/>
      <c r="G149" s="33"/>
      <c r="H149" s="33"/>
      <c r="I149" s="33"/>
      <c r="J149" s="33"/>
      <c r="K149" s="33"/>
      <c r="L149" s="34"/>
      <c r="M149" s="34"/>
      <c r="N149" s="34"/>
      <c r="O149" s="34"/>
      <c r="P149" s="33"/>
      <c r="Q149" s="35"/>
      <c r="R149" s="33"/>
      <c r="S149" s="33"/>
      <c r="T149" s="33"/>
      <c r="U149" s="33"/>
      <c r="V149" s="33"/>
      <c r="W149" s="33"/>
    </row>
    <row r="150" customFormat="false" ht="15" hidden="false" customHeight="false" outlineLevel="0" collapsed="false">
      <c r="A150" s="33"/>
      <c r="B150" s="33"/>
      <c r="C150" s="33"/>
      <c r="D150" s="33"/>
      <c r="E150" s="33"/>
      <c r="F150" s="33"/>
      <c r="G150" s="33"/>
      <c r="H150" s="33"/>
      <c r="I150" s="33"/>
      <c r="J150" s="33"/>
      <c r="K150" s="33"/>
      <c r="L150" s="34"/>
      <c r="M150" s="34"/>
      <c r="N150" s="34"/>
      <c r="O150" s="34"/>
      <c r="P150" s="33"/>
      <c r="Q150" s="35"/>
      <c r="R150" s="33"/>
      <c r="S150" s="33"/>
      <c r="T150" s="33"/>
      <c r="U150" s="33"/>
      <c r="V150" s="33"/>
      <c r="W150" s="33"/>
    </row>
    <row r="151" customFormat="false" ht="15" hidden="false" customHeight="false" outlineLevel="0" collapsed="false">
      <c r="A151" s="33"/>
      <c r="B151" s="33"/>
      <c r="C151" s="33"/>
      <c r="D151" s="33"/>
      <c r="E151" s="33"/>
      <c r="F151" s="33"/>
      <c r="G151" s="33"/>
      <c r="H151" s="33"/>
      <c r="I151" s="33"/>
      <c r="J151" s="33"/>
      <c r="K151" s="33"/>
      <c r="L151" s="34"/>
      <c r="M151" s="34"/>
      <c r="N151" s="34"/>
      <c r="O151" s="34"/>
      <c r="P151" s="33"/>
      <c r="Q151" s="35"/>
      <c r="R151" s="33"/>
      <c r="S151" s="33"/>
      <c r="T151" s="33"/>
      <c r="U151" s="33"/>
      <c r="V151" s="33"/>
      <c r="W151" s="33"/>
    </row>
    <row r="152" customFormat="false" ht="15" hidden="false" customHeight="false" outlineLevel="0" collapsed="false">
      <c r="A152" s="33"/>
      <c r="B152" s="33"/>
      <c r="C152" s="33"/>
      <c r="D152" s="33"/>
      <c r="E152" s="33"/>
      <c r="F152" s="33"/>
      <c r="G152" s="33"/>
      <c r="H152" s="33"/>
      <c r="I152" s="33"/>
      <c r="J152" s="33"/>
      <c r="K152" s="33"/>
      <c r="L152" s="34"/>
      <c r="M152" s="34"/>
      <c r="N152" s="34"/>
      <c r="O152" s="34"/>
      <c r="P152" s="33"/>
      <c r="Q152" s="35"/>
      <c r="R152" s="33"/>
      <c r="S152" s="33"/>
      <c r="T152" s="33"/>
      <c r="U152" s="33"/>
      <c r="V152" s="33"/>
      <c r="W152" s="33"/>
    </row>
    <row r="153" customFormat="false" ht="15" hidden="false" customHeight="false" outlineLevel="0" collapsed="false">
      <c r="A153" s="33"/>
      <c r="B153" s="33"/>
      <c r="C153" s="33"/>
      <c r="D153" s="33"/>
      <c r="E153" s="33"/>
      <c r="F153" s="33"/>
      <c r="G153" s="33"/>
      <c r="H153" s="33"/>
      <c r="I153" s="33"/>
      <c r="J153" s="33"/>
      <c r="K153" s="33"/>
      <c r="L153" s="34"/>
      <c r="M153" s="34"/>
      <c r="N153" s="34"/>
      <c r="O153" s="34"/>
      <c r="P153" s="33"/>
      <c r="Q153" s="35"/>
      <c r="R153" s="33"/>
      <c r="S153" s="33"/>
      <c r="T153" s="33"/>
      <c r="U153" s="33"/>
      <c r="V153" s="33"/>
      <c r="W153" s="33"/>
    </row>
    <row r="154" customFormat="false" ht="15" hidden="false" customHeight="false" outlineLevel="0" collapsed="false">
      <c r="A154" s="33"/>
      <c r="B154" s="33"/>
      <c r="C154" s="33"/>
      <c r="D154" s="33"/>
      <c r="E154" s="33"/>
      <c r="F154" s="33"/>
      <c r="G154" s="33"/>
      <c r="H154" s="33"/>
      <c r="I154" s="33"/>
      <c r="J154" s="33"/>
      <c r="K154" s="33"/>
      <c r="L154" s="34"/>
      <c r="M154" s="34"/>
      <c r="N154" s="34"/>
      <c r="O154" s="34"/>
      <c r="P154" s="33"/>
      <c r="Q154" s="35"/>
      <c r="R154" s="33"/>
      <c r="S154" s="33"/>
      <c r="T154" s="33"/>
      <c r="U154" s="33"/>
      <c r="V154" s="33"/>
      <c r="W154" s="33"/>
    </row>
    <row r="155" customFormat="false" ht="15" hidden="false" customHeight="false" outlineLevel="0" collapsed="false">
      <c r="A155" s="33"/>
      <c r="B155" s="33"/>
      <c r="C155" s="33"/>
      <c r="D155" s="33"/>
      <c r="E155" s="33"/>
      <c r="F155" s="33"/>
      <c r="G155" s="33"/>
      <c r="H155" s="33"/>
      <c r="I155" s="33"/>
      <c r="J155" s="33"/>
      <c r="K155" s="33"/>
      <c r="L155" s="34"/>
      <c r="M155" s="34"/>
      <c r="N155" s="34"/>
      <c r="O155" s="34"/>
      <c r="P155" s="33"/>
      <c r="Q155" s="35"/>
      <c r="R155" s="33"/>
      <c r="S155" s="33"/>
      <c r="T155" s="33"/>
      <c r="U155" s="33"/>
      <c r="V155" s="33"/>
      <c r="W155" s="33"/>
    </row>
    <row r="156" customFormat="false" ht="15" hidden="false" customHeight="false" outlineLevel="0" collapsed="false">
      <c r="A156" s="33"/>
      <c r="B156" s="33"/>
      <c r="C156" s="33"/>
      <c r="D156" s="33"/>
      <c r="E156" s="33"/>
      <c r="F156" s="33"/>
      <c r="G156" s="33"/>
      <c r="H156" s="33"/>
      <c r="I156" s="33"/>
      <c r="J156" s="33"/>
      <c r="K156" s="33"/>
      <c r="L156" s="34"/>
      <c r="M156" s="34"/>
      <c r="N156" s="34"/>
      <c r="O156" s="34"/>
      <c r="P156" s="33"/>
      <c r="Q156" s="35"/>
      <c r="R156" s="33"/>
      <c r="S156" s="33"/>
      <c r="T156" s="33"/>
      <c r="U156" s="33"/>
      <c r="V156" s="33"/>
      <c r="W156" s="33"/>
    </row>
    <row r="157" customFormat="false" ht="15" hidden="false" customHeight="false" outlineLevel="0" collapsed="false">
      <c r="A157" s="33"/>
      <c r="B157" s="33"/>
      <c r="C157" s="33"/>
      <c r="D157" s="33"/>
      <c r="E157" s="33"/>
      <c r="F157" s="33"/>
      <c r="G157" s="33"/>
      <c r="H157" s="33"/>
      <c r="I157" s="33"/>
      <c r="J157" s="33"/>
      <c r="K157" s="33"/>
      <c r="L157" s="34"/>
      <c r="M157" s="34"/>
      <c r="N157" s="34"/>
      <c r="O157" s="34"/>
      <c r="P157" s="33"/>
      <c r="Q157" s="35"/>
      <c r="R157" s="33"/>
      <c r="S157" s="33"/>
      <c r="T157" s="33"/>
      <c r="U157" s="33"/>
      <c r="V157" s="33"/>
      <c r="W157" s="33"/>
    </row>
    <row r="158" customFormat="false" ht="15" hidden="false" customHeight="false" outlineLevel="0" collapsed="false">
      <c r="A158" s="33"/>
      <c r="B158" s="33"/>
      <c r="C158" s="33"/>
      <c r="D158" s="33"/>
      <c r="E158" s="33"/>
      <c r="F158" s="33"/>
      <c r="G158" s="33"/>
      <c r="H158" s="33"/>
      <c r="I158" s="33"/>
      <c r="J158" s="33"/>
      <c r="K158" s="33"/>
      <c r="L158" s="34"/>
      <c r="M158" s="34"/>
      <c r="N158" s="34"/>
      <c r="O158" s="34"/>
      <c r="P158" s="33"/>
      <c r="Q158" s="35"/>
      <c r="R158" s="33"/>
      <c r="S158" s="33"/>
      <c r="T158" s="33"/>
      <c r="U158" s="33"/>
      <c r="V158" s="33"/>
      <c r="W158" s="33"/>
    </row>
    <row r="159" customFormat="false" ht="15" hidden="false" customHeight="false" outlineLevel="0" collapsed="false">
      <c r="A159" s="33"/>
      <c r="B159" s="33"/>
      <c r="C159" s="33"/>
      <c r="D159" s="33"/>
      <c r="E159" s="33"/>
      <c r="F159" s="33"/>
      <c r="G159" s="33"/>
      <c r="H159" s="33"/>
      <c r="I159" s="33"/>
      <c r="J159" s="33"/>
      <c r="K159" s="33"/>
      <c r="L159" s="34"/>
      <c r="M159" s="34"/>
      <c r="N159" s="34"/>
      <c r="O159" s="34"/>
      <c r="P159" s="33"/>
      <c r="Q159" s="35"/>
      <c r="R159" s="33"/>
      <c r="S159" s="33"/>
      <c r="T159" s="33"/>
      <c r="U159" s="33"/>
      <c r="V159" s="33"/>
      <c r="W159" s="33"/>
    </row>
    <row r="160" customFormat="false" ht="15" hidden="false" customHeight="false" outlineLevel="0" collapsed="false">
      <c r="A160" s="33"/>
      <c r="B160" s="33"/>
      <c r="C160" s="33"/>
      <c r="D160" s="33"/>
      <c r="E160" s="33"/>
      <c r="F160" s="33"/>
      <c r="G160" s="33"/>
      <c r="H160" s="33"/>
      <c r="I160" s="33"/>
      <c r="J160" s="33"/>
      <c r="K160" s="33"/>
      <c r="L160" s="34"/>
      <c r="M160" s="34"/>
      <c r="N160" s="34"/>
      <c r="O160" s="34"/>
      <c r="P160" s="33"/>
      <c r="Q160" s="35"/>
      <c r="R160" s="33"/>
      <c r="S160" s="33"/>
      <c r="T160" s="33"/>
      <c r="U160" s="33"/>
      <c r="V160" s="33"/>
      <c r="W160" s="33"/>
    </row>
    <row r="161" customFormat="false" ht="15" hidden="false" customHeight="false" outlineLevel="0" collapsed="false">
      <c r="A161" s="33"/>
      <c r="B161" s="33"/>
      <c r="C161" s="33"/>
      <c r="D161" s="33"/>
      <c r="E161" s="33"/>
      <c r="F161" s="33"/>
      <c r="G161" s="33"/>
      <c r="H161" s="33"/>
      <c r="I161" s="33"/>
      <c r="J161" s="33"/>
      <c r="K161" s="33"/>
      <c r="L161" s="34"/>
      <c r="M161" s="34"/>
      <c r="N161" s="34"/>
      <c r="O161" s="34"/>
      <c r="P161" s="33"/>
      <c r="Q161" s="35"/>
      <c r="R161" s="33"/>
      <c r="S161" s="33"/>
      <c r="T161" s="33"/>
      <c r="U161" s="33"/>
      <c r="V161" s="33"/>
      <c r="W161" s="33"/>
    </row>
    <row r="162" customFormat="false" ht="15" hidden="false" customHeight="false" outlineLevel="0" collapsed="false">
      <c r="A162" s="33"/>
      <c r="B162" s="33"/>
      <c r="C162" s="33"/>
      <c r="D162" s="33"/>
      <c r="E162" s="33"/>
      <c r="F162" s="33"/>
      <c r="G162" s="33"/>
      <c r="H162" s="33"/>
      <c r="I162" s="33"/>
      <c r="J162" s="33"/>
      <c r="K162" s="33"/>
      <c r="L162" s="34"/>
      <c r="M162" s="34"/>
      <c r="N162" s="34"/>
      <c r="O162" s="34"/>
      <c r="P162" s="33"/>
      <c r="Q162" s="35"/>
      <c r="R162" s="33"/>
      <c r="S162" s="33"/>
      <c r="T162" s="33"/>
      <c r="U162" s="33"/>
      <c r="V162" s="33"/>
      <c r="W162" s="33"/>
    </row>
    <row r="163" customFormat="false" ht="15" hidden="false" customHeight="false" outlineLevel="0" collapsed="false">
      <c r="A163" s="33"/>
      <c r="B163" s="33"/>
      <c r="C163" s="33"/>
      <c r="D163" s="33"/>
      <c r="E163" s="33"/>
      <c r="F163" s="33"/>
      <c r="G163" s="33"/>
      <c r="H163" s="33"/>
      <c r="I163" s="33"/>
      <c r="J163" s="33"/>
      <c r="K163" s="33"/>
      <c r="L163" s="34"/>
      <c r="M163" s="34"/>
      <c r="N163" s="34"/>
      <c r="O163" s="34"/>
      <c r="P163" s="33"/>
      <c r="Q163" s="35"/>
      <c r="R163" s="33"/>
      <c r="S163" s="33"/>
      <c r="T163" s="33"/>
      <c r="U163" s="33"/>
      <c r="V163" s="33"/>
      <c r="W163" s="33"/>
    </row>
    <row r="164" customFormat="false" ht="15" hidden="false" customHeight="false" outlineLevel="0" collapsed="false">
      <c r="A164" s="33"/>
      <c r="B164" s="33"/>
      <c r="C164" s="33"/>
      <c r="D164" s="33"/>
      <c r="E164" s="33"/>
      <c r="F164" s="33"/>
      <c r="G164" s="33"/>
      <c r="H164" s="33"/>
      <c r="I164" s="33"/>
      <c r="J164" s="33"/>
      <c r="K164" s="33"/>
      <c r="L164" s="34"/>
      <c r="M164" s="34"/>
      <c r="N164" s="34"/>
      <c r="O164" s="34"/>
      <c r="P164" s="33"/>
      <c r="Q164" s="35"/>
      <c r="R164" s="33"/>
      <c r="S164" s="33"/>
      <c r="T164" s="33"/>
      <c r="U164" s="33"/>
      <c r="V164" s="33"/>
      <c r="W164" s="33"/>
    </row>
    <row r="165" customFormat="false" ht="15" hidden="false" customHeight="false" outlineLevel="0" collapsed="false">
      <c r="A165" s="33"/>
      <c r="B165" s="33"/>
      <c r="C165" s="33"/>
      <c r="D165" s="33"/>
      <c r="E165" s="33"/>
      <c r="F165" s="33"/>
      <c r="G165" s="33"/>
      <c r="H165" s="33"/>
      <c r="I165" s="33"/>
      <c r="J165" s="33"/>
      <c r="K165" s="33"/>
      <c r="L165" s="34"/>
      <c r="M165" s="34"/>
      <c r="N165" s="34"/>
      <c r="O165" s="34"/>
      <c r="P165" s="33"/>
      <c r="Q165" s="35"/>
      <c r="R165" s="33"/>
      <c r="S165" s="33"/>
      <c r="T165" s="33"/>
      <c r="U165" s="33"/>
      <c r="V165" s="33"/>
      <c r="W165" s="33"/>
    </row>
    <row r="166" customFormat="false" ht="15" hidden="false" customHeight="false" outlineLevel="0" collapsed="false">
      <c r="A166" s="33"/>
      <c r="B166" s="33"/>
      <c r="C166" s="33"/>
      <c r="D166" s="33"/>
      <c r="E166" s="33"/>
      <c r="F166" s="33"/>
      <c r="G166" s="33"/>
      <c r="H166" s="33"/>
      <c r="I166" s="33"/>
      <c r="J166" s="33"/>
      <c r="K166" s="33"/>
      <c r="L166" s="34"/>
      <c r="M166" s="34"/>
      <c r="N166" s="34"/>
      <c r="O166" s="34"/>
      <c r="P166" s="33"/>
      <c r="Q166" s="35"/>
      <c r="R166" s="33"/>
      <c r="S166" s="33"/>
      <c r="T166" s="33"/>
      <c r="U166" s="33"/>
      <c r="V166" s="33"/>
      <c r="W166" s="33"/>
    </row>
    <row r="167" customFormat="false" ht="15" hidden="false" customHeight="false" outlineLevel="0" collapsed="false">
      <c r="A167" s="33"/>
      <c r="B167" s="33"/>
      <c r="C167" s="33"/>
      <c r="D167" s="33"/>
      <c r="E167" s="33"/>
      <c r="F167" s="33"/>
      <c r="G167" s="33"/>
      <c r="H167" s="33"/>
      <c r="I167" s="33"/>
      <c r="J167" s="33"/>
      <c r="K167" s="33"/>
      <c r="L167" s="34"/>
      <c r="M167" s="34"/>
      <c r="N167" s="34"/>
      <c r="O167" s="34"/>
      <c r="P167" s="33"/>
      <c r="Q167" s="35"/>
      <c r="R167" s="33"/>
      <c r="S167" s="33"/>
      <c r="T167" s="33"/>
      <c r="U167" s="33"/>
      <c r="V167" s="33"/>
      <c r="W167" s="33"/>
    </row>
    <row r="168" customFormat="false" ht="15" hidden="false" customHeight="false" outlineLevel="0" collapsed="false">
      <c r="A168" s="33"/>
      <c r="B168" s="33"/>
      <c r="C168" s="33"/>
      <c r="D168" s="33"/>
      <c r="E168" s="33"/>
      <c r="F168" s="33"/>
      <c r="G168" s="33"/>
      <c r="H168" s="33"/>
      <c r="I168" s="33"/>
      <c r="J168" s="33"/>
      <c r="K168" s="33"/>
      <c r="L168" s="34"/>
      <c r="M168" s="34"/>
      <c r="N168" s="34"/>
      <c r="O168" s="34"/>
      <c r="P168" s="33"/>
      <c r="Q168" s="35"/>
      <c r="R168" s="33"/>
      <c r="S168" s="33"/>
      <c r="T168" s="33"/>
      <c r="U168" s="33"/>
      <c r="V168" s="33"/>
      <c r="W168" s="33"/>
    </row>
    <row r="169" customFormat="false" ht="15" hidden="false" customHeight="false" outlineLevel="0" collapsed="false">
      <c r="A169" s="33"/>
      <c r="B169" s="33"/>
      <c r="C169" s="33"/>
      <c r="D169" s="33"/>
      <c r="E169" s="33"/>
      <c r="F169" s="33"/>
      <c r="G169" s="33"/>
      <c r="H169" s="33"/>
      <c r="I169" s="33"/>
      <c r="J169" s="33"/>
      <c r="K169" s="33"/>
      <c r="L169" s="34"/>
      <c r="M169" s="34"/>
      <c r="N169" s="34"/>
      <c r="O169" s="34"/>
      <c r="P169" s="33"/>
      <c r="Q169" s="35"/>
      <c r="R169" s="33"/>
      <c r="S169" s="33"/>
      <c r="T169" s="33"/>
      <c r="U169" s="33"/>
      <c r="V169" s="33"/>
      <c r="W169" s="33"/>
    </row>
    <row r="170" customFormat="false" ht="15" hidden="false" customHeight="false" outlineLevel="0" collapsed="false">
      <c r="A170" s="33"/>
      <c r="B170" s="33"/>
      <c r="C170" s="33"/>
      <c r="D170" s="33"/>
      <c r="E170" s="33"/>
      <c r="F170" s="33"/>
      <c r="G170" s="33"/>
      <c r="H170" s="33"/>
      <c r="I170" s="33"/>
      <c r="J170" s="33"/>
      <c r="K170" s="33"/>
      <c r="L170" s="34"/>
      <c r="M170" s="34"/>
      <c r="N170" s="34"/>
      <c r="O170" s="34"/>
      <c r="P170" s="33"/>
      <c r="Q170" s="35"/>
      <c r="R170" s="33"/>
      <c r="S170" s="33"/>
      <c r="T170" s="33"/>
      <c r="U170" s="33"/>
      <c r="V170" s="33"/>
      <c r="W170" s="33"/>
    </row>
    <row r="171" customFormat="false" ht="15" hidden="false" customHeight="false" outlineLevel="0" collapsed="false">
      <c r="A171" s="33"/>
      <c r="B171" s="33"/>
      <c r="C171" s="33"/>
      <c r="D171" s="33"/>
      <c r="E171" s="33"/>
      <c r="F171" s="33"/>
      <c r="G171" s="33"/>
      <c r="H171" s="33"/>
      <c r="I171" s="33"/>
      <c r="J171" s="33"/>
      <c r="K171" s="33"/>
      <c r="L171" s="34"/>
      <c r="M171" s="34"/>
      <c r="N171" s="34"/>
      <c r="O171" s="34"/>
      <c r="P171" s="33"/>
      <c r="Q171" s="35"/>
      <c r="R171" s="33"/>
      <c r="S171" s="33"/>
      <c r="T171" s="33"/>
      <c r="U171" s="33"/>
      <c r="V171" s="33"/>
      <c r="W171" s="33"/>
    </row>
    <row r="172" customFormat="false" ht="15" hidden="false" customHeight="false" outlineLevel="0" collapsed="false">
      <c r="A172" s="33"/>
      <c r="B172" s="33"/>
      <c r="C172" s="33"/>
      <c r="D172" s="33"/>
      <c r="E172" s="33"/>
      <c r="F172" s="33"/>
      <c r="G172" s="33"/>
      <c r="H172" s="33"/>
      <c r="I172" s="33"/>
      <c r="J172" s="33"/>
      <c r="K172" s="33"/>
      <c r="L172" s="34"/>
      <c r="M172" s="34"/>
      <c r="N172" s="34"/>
      <c r="O172" s="34"/>
      <c r="P172" s="33"/>
      <c r="Q172" s="35"/>
      <c r="R172" s="33"/>
      <c r="S172" s="33"/>
      <c r="T172" s="33"/>
      <c r="U172" s="33"/>
      <c r="V172" s="33"/>
      <c r="W172" s="33"/>
    </row>
    <row r="173" customFormat="false" ht="15" hidden="false" customHeight="false" outlineLevel="0" collapsed="false">
      <c r="A173" s="33"/>
      <c r="B173" s="33"/>
      <c r="C173" s="33"/>
      <c r="D173" s="33"/>
      <c r="E173" s="33"/>
      <c r="F173" s="33"/>
      <c r="G173" s="33"/>
      <c r="H173" s="33"/>
      <c r="I173" s="33"/>
      <c r="J173" s="33"/>
      <c r="K173" s="33"/>
      <c r="L173" s="34"/>
      <c r="M173" s="34"/>
      <c r="N173" s="34"/>
      <c r="O173" s="34"/>
      <c r="P173" s="33"/>
      <c r="Q173" s="35"/>
      <c r="R173" s="33"/>
      <c r="S173" s="33"/>
      <c r="T173" s="33"/>
      <c r="U173" s="33"/>
      <c r="V173" s="33"/>
      <c r="W173" s="33"/>
    </row>
    <row r="174" customFormat="false" ht="15" hidden="false" customHeight="false" outlineLevel="0" collapsed="false">
      <c r="A174" s="33"/>
      <c r="B174" s="33"/>
      <c r="C174" s="33"/>
      <c r="D174" s="33"/>
      <c r="E174" s="33"/>
      <c r="F174" s="33"/>
      <c r="G174" s="33"/>
      <c r="H174" s="33"/>
      <c r="I174" s="33"/>
      <c r="J174" s="33"/>
      <c r="K174" s="33"/>
      <c r="L174" s="34"/>
      <c r="M174" s="34"/>
      <c r="N174" s="34"/>
      <c r="O174" s="34"/>
      <c r="P174" s="33"/>
      <c r="Q174" s="35"/>
      <c r="R174" s="33"/>
      <c r="S174" s="33"/>
      <c r="T174" s="33"/>
      <c r="U174" s="33"/>
      <c r="V174" s="33"/>
      <c r="W174" s="33"/>
    </row>
    <row r="175" customFormat="false" ht="15" hidden="false" customHeight="false" outlineLevel="0" collapsed="false">
      <c r="A175" s="33"/>
      <c r="B175" s="33"/>
      <c r="C175" s="33"/>
      <c r="D175" s="33"/>
      <c r="E175" s="33"/>
      <c r="F175" s="33"/>
      <c r="G175" s="33"/>
      <c r="H175" s="33"/>
      <c r="I175" s="33"/>
      <c r="J175" s="33"/>
      <c r="K175" s="33"/>
      <c r="L175" s="34"/>
      <c r="M175" s="34"/>
      <c r="N175" s="34"/>
      <c r="O175" s="34"/>
      <c r="P175" s="33"/>
      <c r="Q175" s="35"/>
      <c r="R175" s="33"/>
      <c r="S175" s="33"/>
      <c r="T175" s="33"/>
      <c r="U175" s="33"/>
      <c r="V175" s="33"/>
      <c r="W175" s="33"/>
    </row>
    <row r="176" customFormat="false" ht="15" hidden="false" customHeight="false" outlineLevel="0" collapsed="false">
      <c r="A176" s="33"/>
      <c r="B176" s="33"/>
      <c r="C176" s="33"/>
      <c r="D176" s="33"/>
      <c r="E176" s="33"/>
      <c r="F176" s="33"/>
      <c r="G176" s="33"/>
      <c r="H176" s="33"/>
      <c r="I176" s="33"/>
      <c r="J176" s="33"/>
      <c r="K176" s="33"/>
      <c r="L176" s="34"/>
      <c r="M176" s="34"/>
      <c r="N176" s="34"/>
      <c r="O176" s="34"/>
      <c r="P176" s="33"/>
      <c r="Q176" s="35"/>
      <c r="R176" s="33"/>
      <c r="S176" s="33"/>
      <c r="T176" s="33"/>
      <c r="U176" s="33"/>
      <c r="V176" s="33"/>
      <c r="W176" s="33"/>
    </row>
    <row r="177" customFormat="false" ht="15" hidden="false" customHeight="false" outlineLevel="0" collapsed="false">
      <c r="A177" s="33"/>
      <c r="B177" s="33"/>
      <c r="C177" s="33"/>
      <c r="D177" s="33"/>
      <c r="E177" s="33"/>
      <c r="F177" s="33"/>
      <c r="G177" s="33"/>
      <c r="H177" s="33"/>
      <c r="I177" s="33"/>
      <c r="J177" s="33"/>
      <c r="K177" s="33"/>
      <c r="L177" s="34"/>
      <c r="M177" s="34"/>
      <c r="N177" s="34"/>
      <c r="O177" s="34"/>
      <c r="P177" s="33"/>
      <c r="Q177" s="35"/>
      <c r="R177" s="33"/>
      <c r="S177" s="33"/>
      <c r="T177" s="33"/>
      <c r="U177" s="33"/>
      <c r="V177" s="33"/>
      <c r="W177" s="33"/>
    </row>
    <row r="178" customFormat="false" ht="15" hidden="false" customHeight="false" outlineLevel="0" collapsed="false">
      <c r="A178" s="33"/>
      <c r="B178" s="33"/>
      <c r="C178" s="33"/>
      <c r="D178" s="33"/>
      <c r="E178" s="33"/>
      <c r="F178" s="33"/>
      <c r="G178" s="33"/>
      <c r="H178" s="33"/>
      <c r="I178" s="33"/>
      <c r="J178" s="33"/>
      <c r="K178" s="33"/>
      <c r="L178" s="34"/>
      <c r="M178" s="34"/>
      <c r="N178" s="34"/>
      <c r="O178" s="34"/>
      <c r="P178" s="33"/>
      <c r="Q178" s="35"/>
      <c r="R178" s="33"/>
      <c r="S178" s="33"/>
      <c r="T178" s="33"/>
      <c r="U178" s="33"/>
      <c r="V178" s="33"/>
      <c r="W178" s="33"/>
    </row>
    <row r="179" customFormat="false" ht="15" hidden="false" customHeight="false" outlineLevel="0" collapsed="false">
      <c r="A179" s="33"/>
      <c r="B179" s="33"/>
      <c r="C179" s="33"/>
      <c r="D179" s="33"/>
      <c r="E179" s="33"/>
      <c r="F179" s="33"/>
      <c r="G179" s="33"/>
      <c r="H179" s="33"/>
      <c r="I179" s="33"/>
      <c r="J179" s="33"/>
      <c r="K179" s="33"/>
      <c r="L179" s="34"/>
      <c r="M179" s="34"/>
      <c r="N179" s="34"/>
      <c r="O179" s="34"/>
      <c r="P179" s="33"/>
      <c r="Q179" s="35"/>
      <c r="R179" s="33"/>
      <c r="S179" s="33"/>
      <c r="T179" s="33"/>
      <c r="U179" s="33"/>
      <c r="V179" s="33"/>
      <c r="W179" s="33"/>
    </row>
    <row r="180" customFormat="false" ht="15" hidden="false" customHeight="false" outlineLevel="0" collapsed="false">
      <c r="A180" s="33"/>
      <c r="B180" s="33"/>
      <c r="C180" s="33"/>
      <c r="D180" s="33"/>
      <c r="E180" s="33"/>
      <c r="F180" s="33"/>
      <c r="G180" s="33"/>
      <c r="H180" s="33"/>
      <c r="I180" s="33"/>
      <c r="J180" s="33"/>
      <c r="K180" s="33"/>
      <c r="L180" s="34"/>
      <c r="M180" s="34"/>
      <c r="N180" s="34"/>
      <c r="O180" s="34"/>
      <c r="P180" s="33"/>
      <c r="Q180" s="35"/>
      <c r="R180" s="33"/>
      <c r="S180" s="33"/>
      <c r="T180" s="33"/>
      <c r="U180" s="33"/>
      <c r="V180" s="33"/>
      <c r="W180" s="33"/>
    </row>
    <row r="181" customFormat="false" ht="15" hidden="false" customHeight="false" outlineLevel="0" collapsed="false">
      <c r="A181" s="33"/>
      <c r="B181" s="33"/>
      <c r="C181" s="33"/>
      <c r="D181" s="33"/>
      <c r="E181" s="33"/>
      <c r="F181" s="33"/>
      <c r="G181" s="33"/>
      <c r="H181" s="33"/>
      <c r="I181" s="33"/>
      <c r="J181" s="33"/>
      <c r="K181" s="33"/>
      <c r="L181" s="34"/>
      <c r="M181" s="34"/>
      <c r="N181" s="34"/>
      <c r="O181" s="34"/>
      <c r="P181" s="33"/>
      <c r="Q181" s="35"/>
      <c r="R181" s="33"/>
      <c r="S181" s="33"/>
      <c r="T181" s="33"/>
      <c r="U181" s="33"/>
      <c r="V181" s="33"/>
      <c r="W181" s="33"/>
    </row>
    <row r="182" customFormat="false" ht="15" hidden="false" customHeight="false" outlineLevel="0" collapsed="false">
      <c r="A182" s="33"/>
      <c r="B182" s="33"/>
      <c r="C182" s="33"/>
      <c r="D182" s="33"/>
      <c r="E182" s="33"/>
      <c r="F182" s="33"/>
      <c r="G182" s="33"/>
      <c r="H182" s="33"/>
      <c r="I182" s="33"/>
      <c r="J182" s="33"/>
      <c r="K182" s="33"/>
      <c r="L182" s="34"/>
      <c r="M182" s="34"/>
      <c r="N182" s="34"/>
      <c r="O182" s="34"/>
      <c r="P182" s="33"/>
      <c r="Q182" s="35"/>
      <c r="R182" s="33"/>
      <c r="S182" s="33"/>
      <c r="T182" s="33"/>
      <c r="U182" s="33"/>
      <c r="V182" s="33"/>
      <c r="W182" s="33"/>
    </row>
    <row r="183" customFormat="false" ht="15" hidden="false" customHeight="false" outlineLevel="0" collapsed="false">
      <c r="A183" s="33"/>
      <c r="B183" s="33"/>
      <c r="C183" s="33"/>
      <c r="D183" s="33"/>
      <c r="E183" s="33"/>
      <c r="F183" s="33"/>
      <c r="G183" s="33"/>
      <c r="H183" s="33"/>
      <c r="I183" s="33"/>
      <c r="J183" s="33"/>
      <c r="K183" s="33"/>
      <c r="L183" s="34"/>
      <c r="M183" s="34"/>
      <c r="N183" s="34"/>
      <c r="O183" s="34"/>
      <c r="P183" s="33"/>
      <c r="Q183" s="35"/>
      <c r="R183" s="33"/>
      <c r="S183" s="33"/>
      <c r="T183" s="33"/>
      <c r="U183" s="33"/>
      <c r="V183" s="33"/>
      <c r="W183" s="33"/>
    </row>
    <row r="184" customFormat="false" ht="15" hidden="false" customHeight="false" outlineLevel="0" collapsed="false">
      <c r="A184" s="33"/>
      <c r="B184" s="33"/>
      <c r="C184" s="33"/>
      <c r="D184" s="33"/>
      <c r="E184" s="33"/>
      <c r="F184" s="33"/>
      <c r="G184" s="33"/>
      <c r="H184" s="33"/>
      <c r="I184" s="33"/>
      <c r="J184" s="33"/>
      <c r="K184" s="33"/>
      <c r="L184" s="34"/>
      <c r="M184" s="34"/>
      <c r="N184" s="34"/>
      <c r="O184" s="34"/>
      <c r="P184" s="33"/>
      <c r="Q184" s="35"/>
      <c r="R184" s="33"/>
      <c r="S184" s="33"/>
      <c r="T184" s="33"/>
      <c r="U184" s="33"/>
      <c r="V184" s="33"/>
      <c r="W184" s="33"/>
    </row>
    <row r="185" customFormat="false" ht="15" hidden="false" customHeight="false" outlineLevel="0" collapsed="false">
      <c r="A185" s="33"/>
      <c r="B185" s="33"/>
      <c r="C185" s="33"/>
      <c r="D185" s="33"/>
      <c r="E185" s="33"/>
      <c r="F185" s="33"/>
      <c r="G185" s="33"/>
      <c r="H185" s="33"/>
      <c r="I185" s="33"/>
      <c r="J185" s="33"/>
      <c r="K185" s="33"/>
      <c r="L185" s="34"/>
      <c r="M185" s="34"/>
      <c r="N185" s="34"/>
      <c r="O185" s="34"/>
      <c r="P185" s="33"/>
      <c r="Q185" s="35"/>
      <c r="R185" s="33"/>
      <c r="S185" s="33"/>
      <c r="T185" s="33"/>
      <c r="U185" s="33"/>
      <c r="V185" s="33"/>
      <c r="W185" s="33"/>
    </row>
    <row r="186" customFormat="false" ht="15" hidden="false" customHeight="false" outlineLevel="0" collapsed="false">
      <c r="A186" s="33"/>
      <c r="B186" s="33"/>
      <c r="C186" s="33"/>
      <c r="D186" s="33"/>
      <c r="E186" s="33"/>
      <c r="F186" s="33"/>
      <c r="G186" s="33"/>
      <c r="H186" s="33"/>
      <c r="I186" s="33"/>
      <c r="J186" s="33"/>
      <c r="K186" s="33"/>
      <c r="L186" s="34"/>
      <c r="M186" s="34"/>
      <c r="N186" s="34"/>
      <c r="O186" s="34"/>
      <c r="P186" s="33"/>
      <c r="Q186" s="35"/>
      <c r="R186" s="33"/>
      <c r="S186" s="33"/>
      <c r="T186" s="33"/>
      <c r="U186" s="33"/>
      <c r="V186" s="33"/>
      <c r="W186" s="33"/>
    </row>
    <row r="187" customFormat="false" ht="15" hidden="false" customHeight="false" outlineLevel="0" collapsed="false">
      <c r="A187" s="33"/>
      <c r="B187" s="33"/>
      <c r="C187" s="33"/>
      <c r="D187" s="33"/>
      <c r="E187" s="33"/>
      <c r="F187" s="33"/>
      <c r="G187" s="33"/>
      <c r="H187" s="33"/>
      <c r="I187" s="33"/>
      <c r="J187" s="33"/>
      <c r="K187" s="33"/>
      <c r="L187" s="34"/>
      <c r="M187" s="34"/>
      <c r="N187" s="34"/>
      <c r="O187" s="34"/>
      <c r="P187" s="33"/>
      <c r="Q187" s="35"/>
      <c r="R187" s="33"/>
      <c r="S187" s="33"/>
      <c r="T187" s="33"/>
      <c r="U187" s="33"/>
      <c r="V187" s="33"/>
      <c r="W187" s="33"/>
    </row>
    <row r="188" customFormat="false" ht="15" hidden="false" customHeight="false" outlineLevel="0" collapsed="false">
      <c r="A188" s="33"/>
      <c r="B188" s="33"/>
      <c r="C188" s="33"/>
      <c r="D188" s="33"/>
      <c r="E188" s="33"/>
      <c r="F188" s="33"/>
      <c r="G188" s="33"/>
      <c r="H188" s="33"/>
      <c r="I188" s="33"/>
      <c r="J188" s="33"/>
      <c r="K188" s="33"/>
      <c r="L188" s="34"/>
      <c r="M188" s="34"/>
      <c r="N188" s="34"/>
      <c r="O188" s="34"/>
      <c r="P188" s="33"/>
      <c r="Q188" s="35"/>
      <c r="R188" s="33"/>
      <c r="S188" s="33"/>
      <c r="T188" s="33"/>
      <c r="U188" s="33"/>
      <c r="V188" s="33"/>
      <c r="W188" s="33"/>
    </row>
    <row r="189" customFormat="false" ht="15" hidden="false" customHeight="false" outlineLevel="0" collapsed="false">
      <c r="A189" s="33"/>
      <c r="B189" s="33"/>
      <c r="C189" s="33"/>
      <c r="D189" s="33"/>
      <c r="E189" s="33"/>
      <c r="F189" s="33"/>
      <c r="G189" s="33"/>
      <c r="H189" s="33"/>
      <c r="I189" s="33"/>
      <c r="J189" s="33"/>
      <c r="K189" s="33"/>
      <c r="L189" s="34"/>
      <c r="M189" s="34"/>
      <c r="N189" s="34"/>
      <c r="O189" s="34"/>
      <c r="P189" s="33"/>
      <c r="Q189" s="35"/>
      <c r="R189" s="33"/>
      <c r="S189" s="33"/>
      <c r="T189" s="33"/>
      <c r="U189" s="33"/>
      <c r="V189" s="33"/>
      <c r="W189" s="33"/>
    </row>
    <row r="190" customFormat="false" ht="15" hidden="false" customHeight="false" outlineLevel="0" collapsed="false">
      <c r="A190" s="33"/>
      <c r="B190" s="33"/>
      <c r="C190" s="33"/>
      <c r="D190" s="33"/>
      <c r="E190" s="33"/>
      <c r="F190" s="33"/>
      <c r="G190" s="33"/>
      <c r="H190" s="33"/>
      <c r="I190" s="33"/>
      <c r="J190" s="33"/>
      <c r="K190" s="33"/>
      <c r="L190" s="34"/>
      <c r="M190" s="34"/>
      <c r="N190" s="34"/>
      <c r="O190" s="34"/>
      <c r="P190" s="33"/>
      <c r="Q190" s="35"/>
      <c r="R190" s="33"/>
      <c r="S190" s="33"/>
      <c r="T190" s="33"/>
      <c r="U190" s="33"/>
      <c r="V190" s="33"/>
      <c r="W190" s="33"/>
    </row>
    <row r="191" customFormat="false" ht="15" hidden="false" customHeight="false" outlineLevel="0" collapsed="false">
      <c r="A191" s="33"/>
      <c r="B191" s="33"/>
      <c r="C191" s="33"/>
      <c r="D191" s="33"/>
      <c r="E191" s="33"/>
      <c r="F191" s="33"/>
      <c r="G191" s="33"/>
      <c r="H191" s="33"/>
      <c r="I191" s="33"/>
      <c r="J191" s="33"/>
      <c r="K191" s="33"/>
      <c r="L191" s="34"/>
      <c r="M191" s="34"/>
      <c r="N191" s="34"/>
      <c r="O191" s="34"/>
      <c r="P191" s="33"/>
      <c r="Q191" s="35"/>
      <c r="R191" s="33"/>
      <c r="S191" s="33"/>
      <c r="T191" s="33"/>
      <c r="U191" s="33"/>
      <c r="V191" s="33"/>
      <c r="W191" s="33"/>
    </row>
    <row r="192" customFormat="false" ht="15" hidden="false" customHeight="false" outlineLevel="0" collapsed="false">
      <c r="A192" s="33"/>
      <c r="B192" s="33"/>
      <c r="C192" s="33"/>
      <c r="D192" s="33"/>
      <c r="E192" s="33"/>
      <c r="F192" s="33"/>
      <c r="G192" s="33"/>
      <c r="H192" s="33"/>
      <c r="I192" s="33"/>
      <c r="J192" s="33"/>
      <c r="K192" s="33"/>
      <c r="L192" s="34"/>
      <c r="M192" s="34"/>
      <c r="N192" s="34"/>
      <c r="O192" s="34"/>
      <c r="P192" s="33"/>
      <c r="Q192" s="35"/>
      <c r="R192" s="33"/>
      <c r="S192" s="33"/>
      <c r="T192" s="33"/>
      <c r="U192" s="33"/>
      <c r="V192" s="33"/>
      <c r="W192" s="33"/>
    </row>
    <row r="193" customFormat="false" ht="15" hidden="false" customHeight="false" outlineLevel="0" collapsed="false">
      <c r="A193" s="33"/>
      <c r="B193" s="33"/>
      <c r="C193" s="33"/>
      <c r="D193" s="33"/>
      <c r="E193" s="33"/>
      <c r="F193" s="33"/>
      <c r="G193" s="33"/>
      <c r="H193" s="33"/>
      <c r="I193" s="33"/>
      <c r="J193" s="33"/>
      <c r="K193" s="33"/>
      <c r="L193" s="34"/>
      <c r="M193" s="34"/>
      <c r="N193" s="34"/>
      <c r="O193" s="34"/>
      <c r="P193" s="33"/>
      <c r="Q193" s="35"/>
      <c r="R193" s="33"/>
      <c r="S193" s="33"/>
      <c r="T193" s="33"/>
      <c r="U193" s="33"/>
      <c r="V193" s="33"/>
      <c r="W193" s="33"/>
    </row>
    <row r="194" customFormat="false" ht="15" hidden="false" customHeight="false" outlineLevel="0" collapsed="false">
      <c r="A194" s="33"/>
      <c r="B194" s="33"/>
      <c r="C194" s="33"/>
      <c r="D194" s="33"/>
      <c r="E194" s="33"/>
      <c r="F194" s="33"/>
      <c r="G194" s="33"/>
      <c r="H194" s="33"/>
      <c r="I194" s="33"/>
      <c r="J194" s="33"/>
      <c r="K194" s="33"/>
      <c r="L194" s="34"/>
      <c r="M194" s="34"/>
      <c r="N194" s="34"/>
      <c r="O194" s="34"/>
      <c r="P194" s="33"/>
      <c r="Q194" s="35"/>
      <c r="R194" s="33"/>
      <c r="S194" s="33"/>
      <c r="T194" s="33"/>
      <c r="U194" s="33"/>
      <c r="V194" s="33"/>
      <c r="W194" s="33"/>
    </row>
    <row r="195" customFormat="false" ht="15" hidden="false" customHeight="false" outlineLevel="0" collapsed="false">
      <c r="A195" s="33"/>
      <c r="B195" s="33"/>
      <c r="C195" s="33"/>
      <c r="D195" s="33"/>
      <c r="E195" s="33"/>
      <c r="F195" s="33"/>
      <c r="G195" s="33"/>
      <c r="H195" s="33"/>
      <c r="I195" s="33"/>
      <c r="J195" s="33"/>
      <c r="K195" s="33"/>
      <c r="L195" s="34"/>
      <c r="M195" s="34"/>
      <c r="N195" s="34"/>
      <c r="O195" s="34"/>
      <c r="P195" s="33"/>
      <c r="Q195" s="35"/>
      <c r="R195" s="33"/>
      <c r="S195" s="33"/>
      <c r="T195" s="33"/>
      <c r="U195" s="33"/>
      <c r="V195" s="33"/>
      <c r="W195" s="33"/>
    </row>
    <row r="196" customFormat="false" ht="15" hidden="false" customHeight="false" outlineLevel="0" collapsed="false">
      <c r="A196" s="33"/>
      <c r="B196" s="33"/>
      <c r="C196" s="33"/>
      <c r="D196" s="33"/>
      <c r="E196" s="33"/>
      <c r="F196" s="33"/>
      <c r="G196" s="33"/>
      <c r="H196" s="33"/>
      <c r="I196" s="33"/>
      <c r="J196" s="33"/>
      <c r="K196" s="33"/>
      <c r="L196" s="34"/>
      <c r="M196" s="34"/>
      <c r="N196" s="34"/>
      <c r="O196" s="34"/>
      <c r="P196" s="33"/>
      <c r="Q196" s="35"/>
      <c r="R196" s="33"/>
      <c r="S196" s="33"/>
      <c r="T196" s="33"/>
      <c r="U196" s="33"/>
      <c r="V196" s="33"/>
      <c r="W196" s="33"/>
    </row>
    <row r="197" customFormat="false" ht="15" hidden="false" customHeight="false" outlineLevel="0" collapsed="false">
      <c r="A197" s="33"/>
      <c r="B197" s="33"/>
      <c r="C197" s="33"/>
      <c r="D197" s="33"/>
      <c r="E197" s="33"/>
      <c r="F197" s="33"/>
      <c r="G197" s="33"/>
      <c r="H197" s="33"/>
      <c r="I197" s="33"/>
      <c r="J197" s="33"/>
      <c r="K197" s="33"/>
      <c r="L197" s="34"/>
      <c r="M197" s="34"/>
      <c r="N197" s="34"/>
      <c r="O197" s="34"/>
      <c r="P197" s="33"/>
      <c r="Q197" s="35"/>
      <c r="R197" s="33"/>
      <c r="S197" s="33"/>
      <c r="T197" s="33"/>
      <c r="U197" s="33"/>
      <c r="V197" s="33"/>
      <c r="W197" s="33"/>
    </row>
    <row r="198" customFormat="false" ht="15" hidden="false" customHeight="false" outlineLevel="0" collapsed="false">
      <c r="A198" s="33"/>
      <c r="B198" s="33"/>
      <c r="C198" s="33"/>
      <c r="D198" s="33"/>
      <c r="E198" s="33"/>
      <c r="F198" s="33"/>
      <c r="G198" s="33"/>
      <c r="H198" s="33"/>
      <c r="I198" s="33"/>
      <c r="J198" s="33"/>
      <c r="K198" s="33"/>
      <c r="L198" s="34"/>
      <c r="M198" s="34"/>
      <c r="N198" s="34"/>
      <c r="O198" s="34"/>
      <c r="P198" s="33"/>
      <c r="Q198" s="35"/>
      <c r="R198" s="33"/>
      <c r="S198" s="33"/>
      <c r="T198" s="33"/>
      <c r="U198" s="33"/>
      <c r="V198" s="33"/>
      <c r="W198" s="33"/>
    </row>
    <row r="199" customFormat="false" ht="15" hidden="false" customHeight="false" outlineLevel="0" collapsed="false">
      <c r="A199" s="33"/>
      <c r="B199" s="33"/>
      <c r="C199" s="33"/>
      <c r="D199" s="33"/>
      <c r="E199" s="33"/>
      <c r="F199" s="33"/>
      <c r="G199" s="33"/>
      <c r="H199" s="33"/>
      <c r="I199" s="33"/>
      <c r="J199" s="33"/>
      <c r="K199" s="33"/>
      <c r="L199" s="34"/>
      <c r="M199" s="34"/>
      <c r="N199" s="34"/>
      <c r="O199" s="34"/>
      <c r="P199" s="33"/>
      <c r="Q199" s="35"/>
      <c r="R199" s="33"/>
      <c r="S199" s="33"/>
      <c r="T199" s="33"/>
      <c r="U199" s="33"/>
      <c r="V199" s="33"/>
      <c r="W199" s="33"/>
    </row>
    <row r="200" customFormat="false" ht="15" hidden="false" customHeight="false" outlineLevel="0" collapsed="false">
      <c r="A200" s="33"/>
      <c r="B200" s="33"/>
      <c r="C200" s="33"/>
      <c r="D200" s="33"/>
      <c r="E200" s="33"/>
      <c r="F200" s="33"/>
      <c r="G200" s="33"/>
      <c r="H200" s="33"/>
      <c r="I200" s="33"/>
      <c r="J200" s="33"/>
      <c r="K200" s="33"/>
      <c r="L200" s="34"/>
      <c r="M200" s="34"/>
      <c r="N200" s="34"/>
      <c r="O200" s="34"/>
      <c r="P200" s="33"/>
      <c r="Q200" s="35"/>
      <c r="R200" s="33"/>
      <c r="S200" s="33"/>
      <c r="T200" s="33"/>
      <c r="U200" s="33"/>
      <c r="V200" s="33"/>
      <c r="W200" s="33"/>
    </row>
    <row r="201" customFormat="false" ht="15" hidden="false" customHeight="false" outlineLevel="0" collapsed="false">
      <c r="A201" s="33"/>
      <c r="B201" s="33"/>
      <c r="C201" s="33"/>
      <c r="D201" s="33"/>
      <c r="E201" s="33"/>
      <c r="F201" s="33"/>
      <c r="G201" s="33"/>
      <c r="H201" s="33"/>
      <c r="I201" s="33"/>
      <c r="J201" s="33"/>
      <c r="K201" s="33"/>
      <c r="L201" s="34"/>
      <c r="M201" s="34"/>
      <c r="N201" s="34"/>
      <c r="O201" s="34"/>
      <c r="P201" s="33"/>
      <c r="Q201" s="35"/>
      <c r="R201" s="33"/>
      <c r="S201" s="33"/>
      <c r="T201" s="33"/>
      <c r="U201" s="33"/>
      <c r="V201" s="33"/>
      <c r="W201" s="33"/>
    </row>
    <row r="202" customFormat="false" ht="15" hidden="false" customHeight="false" outlineLevel="0" collapsed="false">
      <c r="A202" s="33"/>
      <c r="B202" s="33"/>
      <c r="C202" s="33"/>
      <c r="D202" s="33"/>
      <c r="E202" s="33"/>
      <c r="F202" s="33"/>
      <c r="G202" s="33"/>
      <c r="H202" s="33"/>
      <c r="I202" s="33"/>
      <c r="J202" s="33"/>
      <c r="K202" s="33"/>
      <c r="L202" s="34"/>
      <c r="M202" s="34"/>
      <c r="N202" s="34"/>
      <c r="O202" s="34"/>
      <c r="P202" s="33"/>
      <c r="Q202" s="35"/>
      <c r="R202" s="33"/>
      <c r="S202" s="33"/>
      <c r="T202" s="33"/>
      <c r="U202" s="33"/>
      <c r="V202" s="33"/>
      <c r="W202" s="33"/>
    </row>
    <row r="203" customFormat="false" ht="15" hidden="false" customHeight="false" outlineLevel="0" collapsed="false">
      <c r="A203" s="33"/>
      <c r="B203" s="33"/>
      <c r="C203" s="33"/>
      <c r="D203" s="33"/>
      <c r="E203" s="33"/>
      <c r="F203" s="33"/>
      <c r="G203" s="33"/>
      <c r="H203" s="33"/>
      <c r="I203" s="33"/>
      <c r="J203" s="33"/>
      <c r="K203" s="33"/>
      <c r="L203" s="34"/>
      <c r="M203" s="34"/>
      <c r="N203" s="34"/>
      <c r="O203" s="34"/>
      <c r="P203" s="33"/>
      <c r="Q203" s="35"/>
      <c r="R203" s="33"/>
      <c r="S203" s="33"/>
      <c r="T203" s="33"/>
      <c r="U203" s="33"/>
      <c r="V203" s="33"/>
      <c r="W203" s="33"/>
    </row>
    <row r="204" customFormat="false" ht="15" hidden="false" customHeight="false" outlineLevel="0" collapsed="false">
      <c r="A204" s="33"/>
      <c r="B204" s="33"/>
      <c r="C204" s="33"/>
      <c r="D204" s="33"/>
      <c r="E204" s="33"/>
      <c r="F204" s="33"/>
      <c r="G204" s="33"/>
      <c r="H204" s="33"/>
      <c r="I204" s="33"/>
      <c r="J204" s="33"/>
      <c r="K204" s="33"/>
      <c r="L204" s="34"/>
      <c r="M204" s="34"/>
      <c r="N204" s="34"/>
      <c r="O204" s="34"/>
      <c r="P204" s="33"/>
      <c r="Q204" s="35"/>
      <c r="R204" s="33"/>
      <c r="S204" s="33"/>
      <c r="T204" s="33"/>
      <c r="U204" s="33"/>
      <c r="V204" s="33"/>
      <c r="W204" s="33"/>
    </row>
    <row r="205" customFormat="false" ht="15" hidden="false" customHeight="false" outlineLevel="0" collapsed="false">
      <c r="A205" s="33"/>
      <c r="B205" s="33"/>
      <c r="C205" s="33"/>
      <c r="D205" s="33"/>
      <c r="E205" s="33"/>
      <c r="F205" s="33"/>
      <c r="G205" s="33"/>
      <c r="H205" s="33"/>
      <c r="I205" s="33"/>
      <c r="J205" s="33"/>
      <c r="K205" s="33"/>
      <c r="L205" s="34"/>
      <c r="M205" s="34"/>
      <c r="N205" s="34"/>
      <c r="O205" s="34"/>
      <c r="P205" s="33"/>
      <c r="Q205" s="35"/>
      <c r="R205" s="33"/>
      <c r="S205" s="33"/>
      <c r="T205" s="33"/>
      <c r="U205" s="33"/>
      <c r="V205" s="33"/>
      <c r="W205" s="33"/>
    </row>
    <row r="206" customFormat="false" ht="15" hidden="false" customHeight="false" outlineLevel="0" collapsed="false">
      <c r="A206" s="33"/>
      <c r="B206" s="33"/>
      <c r="C206" s="33"/>
      <c r="D206" s="33"/>
      <c r="E206" s="33"/>
      <c r="F206" s="33"/>
      <c r="G206" s="33"/>
      <c r="H206" s="33"/>
      <c r="I206" s="33"/>
      <c r="J206" s="33"/>
      <c r="K206" s="33"/>
      <c r="L206" s="34"/>
      <c r="M206" s="34"/>
      <c r="N206" s="34"/>
      <c r="O206" s="34"/>
      <c r="P206" s="33"/>
      <c r="Q206" s="35"/>
      <c r="R206" s="33"/>
      <c r="S206" s="33"/>
      <c r="T206" s="33"/>
      <c r="U206" s="33"/>
      <c r="V206" s="33"/>
      <c r="W206" s="33"/>
    </row>
    <row r="207" customFormat="false" ht="15" hidden="false" customHeight="false" outlineLevel="0" collapsed="false">
      <c r="A207" s="33"/>
      <c r="B207" s="33"/>
      <c r="C207" s="33"/>
      <c r="D207" s="33"/>
      <c r="E207" s="33"/>
      <c r="F207" s="33"/>
      <c r="G207" s="33"/>
      <c r="H207" s="33"/>
      <c r="I207" s="33"/>
      <c r="J207" s="33"/>
      <c r="K207" s="33"/>
      <c r="L207" s="34"/>
      <c r="M207" s="34"/>
      <c r="N207" s="34"/>
      <c r="O207" s="34"/>
      <c r="P207" s="33"/>
      <c r="Q207" s="35"/>
      <c r="R207" s="33"/>
      <c r="S207" s="33"/>
      <c r="T207" s="33"/>
      <c r="U207" s="33"/>
      <c r="V207" s="33"/>
      <c r="W207" s="33"/>
    </row>
    <row r="208" customFormat="false" ht="15" hidden="false" customHeight="false" outlineLevel="0" collapsed="false">
      <c r="A208" s="33"/>
      <c r="B208" s="33"/>
      <c r="C208" s="33"/>
      <c r="D208" s="33"/>
      <c r="E208" s="33"/>
      <c r="F208" s="33"/>
      <c r="G208" s="33"/>
      <c r="H208" s="33"/>
      <c r="I208" s="33"/>
      <c r="J208" s="33"/>
      <c r="K208" s="33"/>
      <c r="L208" s="34"/>
      <c r="M208" s="34"/>
      <c r="N208" s="34"/>
      <c r="O208" s="34"/>
      <c r="P208" s="33"/>
      <c r="Q208" s="35"/>
      <c r="R208" s="33"/>
      <c r="S208" s="33"/>
      <c r="T208" s="33"/>
      <c r="U208" s="33"/>
      <c r="V208" s="33"/>
      <c r="W208" s="33"/>
    </row>
    <row r="209" customFormat="false" ht="15" hidden="false" customHeight="false" outlineLevel="0" collapsed="false">
      <c r="A209" s="33"/>
      <c r="B209" s="33"/>
      <c r="C209" s="33"/>
      <c r="D209" s="33"/>
      <c r="E209" s="33"/>
      <c r="F209" s="33"/>
      <c r="G209" s="33"/>
      <c r="H209" s="33"/>
      <c r="I209" s="33"/>
      <c r="J209" s="33"/>
      <c r="K209" s="33"/>
      <c r="L209" s="34"/>
      <c r="M209" s="34"/>
      <c r="N209" s="34"/>
      <c r="O209" s="34"/>
      <c r="P209" s="33"/>
      <c r="Q209" s="35"/>
      <c r="R209" s="33"/>
      <c r="S209" s="33"/>
      <c r="T209" s="33"/>
      <c r="U209" s="33"/>
      <c r="V209" s="33"/>
      <c r="W209" s="33"/>
    </row>
    <row r="210" customFormat="false" ht="15" hidden="false" customHeight="false" outlineLevel="0" collapsed="false">
      <c r="A210" s="33"/>
      <c r="B210" s="33"/>
      <c r="C210" s="33"/>
      <c r="D210" s="33"/>
      <c r="E210" s="33"/>
      <c r="F210" s="33"/>
      <c r="G210" s="33"/>
      <c r="H210" s="33"/>
      <c r="I210" s="33"/>
      <c r="J210" s="33"/>
      <c r="K210" s="33"/>
      <c r="L210" s="34"/>
      <c r="M210" s="34"/>
      <c r="N210" s="34"/>
      <c r="O210" s="34"/>
      <c r="P210" s="33"/>
      <c r="Q210" s="35"/>
      <c r="R210" s="33"/>
      <c r="S210" s="33"/>
      <c r="T210" s="33"/>
      <c r="U210" s="33"/>
      <c r="V210" s="33"/>
      <c r="W210" s="33"/>
    </row>
    <row r="211" customFormat="false" ht="15" hidden="false" customHeight="false" outlineLevel="0" collapsed="false">
      <c r="A211" s="33"/>
      <c r="B211" s="33"/>
      <c r="C211" s="33"/>
      <c r="D211" s="33"/>
      <c r="E211" s="33"/>
      <c r="F211" s="33"/>
      <c r="G211" s="33"/>
      <c r="H211" s="33"/>
      <c r="I211" s="33"/>
      <c r="J211" s="33"/>
      <c r="K211" s="33"/>
      <c r="L211" s="34"/>
      <c r="M211" s="34"/>
      <c r="N211" s="34"/>
      <c r="O211" s="34"/>
      <c r="P211" s="33"/>
      <c r="Q211" s="35"/>
      <c r="R211" s="33"/>
      <c r="S211" s="33"/>
      <c r="T211" s="33"/>
      <c r="U211" s="33"/>
      <c r="V211" s="33"/>
      <c r="W211" s="33"/>
    </row>
    <row r="212" customFormat="false" ht="15" hidden="false" customHeight="false" outlineLevel="0" collapsed="false">
      <c r="A212" s="33"/>
      <c r="B212" s="33"/>
      <c r="C212" s="33"/>
      <c r="D212" s="33"/>
      <c r="E212" s="33"/>
      <c r="F212" s="33"/>
      <c r="G212" s="33"/>
      <c r="H212" s="33"/>
      <c r="I212" s="33"/>
      <c r="J212" s="33"/>
      <c r="K212" s="33"/>
      <c r="L212" s="34"/>
      <c r="M212" s="34"/>
      <c r="N212" s="34"/>
      <c r="O212" s="34"/>
      <c r="P212" s="33"/>
      <c r="Q212" s="35"/>
      <c r="R212" s="33"/>
      <c r="S212" s="33"/>
      <c r="T212" s="33"/>
      <c r="U212" s="33"/>
      <c r="V212" s="33"/>
      <c r="W212" s="33"/>
    </row>
    <row r="213" customFormat="false" ht="15" hidden="false" customHeight="false" outlineLevel="0" collapsed="false">
      <c r="A213" s="33"/>
      <c r="B213" s="33"/>
      <c r="C213" s="33"/>
      <c r="D213" s="33"/>
      <c r="E213" s="33"/>
      <c r="F213" s="33"/>
      <c r="G213" s="33"/>
      <c r="H213" s="33"/>
      <c r="I213" s="33"/>
      <c r="J213" s="33"/>
      <c r="K213" s="33"/>
      <c r="L213" s="34"/>
      <c r="M213" s="34"/>
      <c r="N213" s="34"/>
      <c r="O213" s="34"/>
      <c r="P213" s="33"/>
      <c r="Q213" s="35"/>
      <c r="R213" s="33"/>
      <c r="S213" s="33"/>
      <c r="T213" s="33"/>
      <c r="U213" s="33"/>
      <c r="V213" s="33"/>
      <c r="W213" s="33"/>
    </row>
    <row r="214" customFormat="false" ht="15" hidden="false" customHeight="false" outlineLevel="0" collapsed="false">
      <c r="A214" s="33"/>
      <c r="B214" s="33"/>
      <c r="C214" s="33"/>
      <c r="D214" s="33"/>
      <c r="E214" s="33"/>
      <c r="F214" s="33"/>
      <c r="G214" s="33"/>
      <c r="H214" s="33"/>
      <c r="I214" s="33"/>
      <c r="J214" s="33"/>
      <c r="K214" s="33"/>
      <c r="L214" s="34"/>
      <c r="M214" s="34"/>
      <c r="N214" s="34"/>
      <c r="O214" s="34"/>
      <c r="P214" s="33"/>
      <c r="Q214" s="35"/>
      <c r="R214" s="33"/>
      <c r="S214" s="33"/>
      <c r="T214" s="33"/>
      <c r="U214" s="33"/>
      <c r="V214" s="33"/>
      <c r="W214" s="33"/>
    </row>
    <row r="215" customFormat="false" ht="15" hidden="false" customHeight="false" outlineLevel="0" collapsed="false">
      <c r="A215" s="33"/>
      <c r="B215" s="33"/>
      <c r="C215" s="33"/>
      <c r="D215" s="33"/>
      <c r="E215" s="33"/>
      <c r="F215" s="33"/>
      <c r="G215" s="33"/>
      <c r="H215" s="33"/>
      <c r="I215" s="33"/>
      <c r="J215" s="33"/>
      <c r="K215" s="33"/>
      <c r="L215" s="34"/>
      <c r="M215" s="34"/>
      <c r="N215" s="34"/>
      <c r="O215" s="34"/>
      <c r="P215" s="33"/>
      <c r="Q215" s="35"/>
      <c r="R215" s="33"/>
      <c r="S215" s="33"/>
      <c r="T215" s="33"/>
      <c r="U215" s="33"/>
      <c r="V215" s="33"/>
      <c r="W215" s="33"/>
    </row>
    <row r="216" customFormat="false" ht="15" hidden="false" customHeight="false" outlineLevel="0" collapsed="false">
      <c r="A216" s="33"/>
      <c r="B216" s="33"/>
      <c r="C216" s="33"/>
      <c r="D216" s="33"/>
      <c r="E216" s="33"/>
      <c r="F216" s="33"/>
      <c r="G216" s="33"/>
      <c r="H216" s="33"/>
      <c r="I216" s="33"/>
      <c r="J216" s="33"/>
      <c r="K216" s="33"/>
      <c r="L216" s="34"/>
      <c r="M216" s="34"/>
      <c r="N216" s="34"/>
      <c r="O216" s="34"/>
      <c r="P216" s="33"/>
      <c r="Q216" s="35"/>
      <c r="R216" s="33"/>
      <c r="S216" s="33"/>
      <c r="T216" s="33"/>
      <c r="U216" s="33"/>
      <c r="V216" s="33"/>
      <c r="W216" s="33"/>
    </row>
    <row r="217" customFormat="false" ht="15" hidden="false" customHeight="false" outlineLevel="0" collapsed="false">
      <c r="A217" s="33"/>
      <c r="B217" s="33"/>
      <c r="C217" s="33"/>
      <c r="D217" s="33"/>
      <c r="E217" s="33"/>
      <c r="F217" s="33"/>
      <c r="G217" s="33"/>
      <c r="H217" s="33"/>
      <c r="I217" s="33"/>
      <c r="J217" s="33"/>
      <c r="K217" s="33"/>
      <c r="L217" s="34"/>
      <c r="M217" s="34"/>
      <c r="N217" s="34"/>
      <c r="O217" s="34"/>
      <c r="P217" s="33"/>
      <c r="Q217" s="35"/>
      <c r="R217" s="33"/>
      <c r="S217" s="33"/>
      <c r="T217" s="33"/>
      <c r="U217" s="33"/>
      <c r="V217" s="33"/>
      <c r="W217" s="33"/>
    </row>
    <row r="218" customFormat="false" ht="15" hidden="false" customHeight="false" outlineLevel="0" collapsed="false">
      <c r="A218" s="33"/>
      <c r="B218" s="33"/>
      <c r="C218" s="33"/>
      <c r="D218" s="33"/>
      <c r="E218" s="33"/>
      <c r="F218" s="33"/>
      <c r="G218" s="33"/>
      <c r="H218" s="33"/>
      <c r="I218" s="33"/>
      <c r="J218" s="33"/>
      <c r="K218" s="33"/>
      <c r="L218" s="34"/>
      <c r="M218" s="34"/>
      <c r="N218" s="34"/>
      <c r="O218" s="34"/>
      <c r="P218" s="33"/>
      <c r="Q218" s="35"/>
      <c r="R218" s="33"/>
      <c r="S218" s="33"/>
      <c r="T218" s="33"/>
      <c r="U218" s="33"/>
      <c r="V218" s="33"/>
      <c r="W218" s="33"/>
    </row>
    <row r="219" customFormat="false" ht="15" hidden="false" customHeight="false" outlineLevel="0" collapsed="false">
      <c r="A219" s="33"/>
      <c r="B219" s="33"/>
      <c r="C219" s="33"/>
      <c r="D219" s="33"/>
      <c r="E219" s="33"/>
      <c r="F219" s="33"/>
      <c r="G219" s="33"/>
      <c r="H219" s="33"/>
      <c r="I219" s="33"/>
      <c r="J219" s="33"/>
      <c r="K219" s="33"/>
      <c r="L219" s="34"/>
      <c r="M219" s="34"/>
      <c r="N219" s="34"/>
      <c r="O219" s="34"/>
      <c r="P219" s="33"/>
      <c r="Q219" s="35"/>
      <c r="R219" s="33"/>
      <c r="S219" s="33"/>
      <c r="T219" s="33"/>
      <c r="U219" s="33"/>
      <c r="V219" s="33"/>
      <c r="W219" s="33"/>
    </row>
    <row r="220" customFormat="false" ht="15" hidden="false" customHeight="false" outlineLevel="0" collapsed="false">
      <c r="A220" s="33"/>
      <c r="B220" s="33"/>
      <c r="C220" s="33"/>
      <c r="D220" s="33"/>
      <c r="E220" s="33"/>
      <c r="F220" s="33"/>
      <c r="G220" s="33"/>
      <c r="H220" s="33"/>
      <c r="I220" s="33"/>
      <c r="J220" s="33"/>
      <c r="K220" s="33"/>
      <c r="L220" s="34"/>
      <c r="M220" s="34"/>
      <c r="N220" s="34"/>
      <c r="O220" s="34"/>
      <c r="P220" s="33"/>
      <c r="Q220" s="35"/>
      <c r="R220" s="33"/>
      <c r="S220" s="33"/>
      <c r="T220" s="33"/>
      <c r="U220" s="33"/>
      <c r="V220" s="33"/>
      <c r="W220" s="33"/>
    </row>
    <row r="221" customFormat="false" ht="15" hidden="false" customHeight="false" outlineLevel="0" collapsed="false">
      <c r="A221" s="33"/>
      <c r="B221" s="33"/>
      <c r="C221" s="33"/>
      <c r="D221" s="33"/>
      <c r="E221" s="33"/>
      <c r="F221" s="33"/>
      <c r="G221" s="33"/>
      <c r="H221" s="33"/>
      <c r="I221" s="33"/>
      <c r="J221" s="33"/>
      <c r="K221" s="33"/>
      <c r="L221" s="34"/>
      <c r="M221" s="34"/>
      <c r="N221" s="34"/>
      <c r="O221" s="34"/>
      <c r="P221" s="33"/>
      <c r="Q221" s="35"/>
      <c r="R221" s="33"/>
      <c r="S221" s="33"/>
      <c r="T221" s="33"/>
      <c r="U221" s="33"/>
      <c r="V221" s="33"/>
      <c r="W221" s="33"/>
    </row>
    <row r="222" customFormat="false" ht="15" hidden="false" customHeight="false" outlineLevel="0" collapsed="false">
      <c r="A222" s="33"/>
      <c r="B222" s="33"/>
      <c r="C222" s="33"/>
      <c r="D222" s="33"/>
      <c r="E222" s="33"/>
      <c r="F222" s="33"/>
      <c r="G222" s="33"/>
      <c r="H222" s="33"/>
      <c r="I222" s="33"/>
      <c r="J222" s="33"/>
      <c r="K222" s="33"/>
      <c r="L222" s="34"/>
      <c r="M222" s="34"/>
      <c r="N222" s="34"/>
      <c r="O222" s="34"/>
      <c r="P222" s="33"/>
      <c r="Q222" s="35"/>
      <c r="R222" s="33"/>
      <c r="S222" s="33"/>
      <c r="T222" s="33"/>
      <c r="U222" s="33"/>
      <c r="V222" s="33"/>
      <c r="W222" s="33"/>
    </row>
    <row r="223" customFormat="false" ht="15" hidden="false" customHeight="false" outlineLevel="0" collapsed="false">
      <c r="A223" s="33"/>
      <c r="B223" s="33"/>
      <c r="C223" s="33"/>
      <c r="D223" s="33"/>
      <c r="E223" s="33"/>
      <c r="F223" s="33"/>
      <c r="G223" s="33"/>
      <c r="H223" s="33"/>
      <c r="I223" s="33"/>
      <c r="J223" s="33"/>
      <c r="K223" s="33"/>
      <c r="L223" s="34"/>
      <c r="M223" s="34"/>
      <c r="N223" s="34"/>
      <c r="O223" s="34"/>
      <c r="P223" s="33"/>
      <c r="Q223" s="35"/>
      <c r="R223" s="33"/>
      <c r="S223" s="33"/>
      <c r="T223" s="33"/>
      <c r="U223" s="33"/>
      <c r="V223" s="33"/>
      <c r="W223" s="33"/>
    </row>
    <row r="224" customFormat="false" ht="15" hidden="false" customHeight="false" outlineLevel="0" collapsed="false">
      <c r="A224" s="33"/>
      <c r="B224" s="33"/>
      <c r="C224" s="33"/>
      <c r="D224" s="33"/>
      <c r="E224" s="33"/>
      <c r="F224" s="33"/>
      <c r="G224" s="33"/>
      <c r="H224" s="33"/>
      <c r="I224" s="33"/>
      <c r="J224" s="33"/>
      <c r="K224" s="33"/>
      <c r="L224" s="34"/>
      <c r="M224" s="34"/>
      <c r="N224" s="34"/>
      <c r="O224" s="34"/>
      <c r="P224" s="33"/>
      <c r="Q224" s="35"/>
      <c r="R224" s="33"/>
      <c r="S224" s="33"/>
      <c r="T224" s="33"/>
      <c r="U224" s="33"/>
      <c r="V224" s="33"/>
      <c r="W224" s="33"/>
    </row>
    <row r="225" customFormat="false" ht="15" hidden="false" customHeight="false" outlineLevel="0" collapsed="false">
      <c r="A225" s="33"/>
      <c r="B225" s="33"/>
      <c r="C225" s="33"/>
      <c r="D225" s="33"/>
      <c r="E225" s="33"/>
      <c r="F225" s="33"/>
      <c r="G225" s="33"/>
      <c r="H225" s="33"/>
      <c r="I225" s="33"/>
      <c r="J225" s="33"/>
      <c r="K225" s="33"/>
      <c r="L225" s="34"/>
      <c r="M225" s="34"/>
      <c r="N225" s="34"/>
      <c r="O225" s="34"/>
      <c r="P225" s="33"/>
      <c r="Q225" s="35"/>
      <c r="R225" s="33"/>
      <c r="S225" s="33"/>
      <c r="T225" s="33"/>
      <c r="U225" s="33"/>
      <c r="V225" s="33"/>
      <c r="W225" s="33"/>
    </row>
    <row r="226" customFormat="false" ht="15" hidden="false" customHeight="false" outlineLevel="0" collapsed="false">
      <c r="A226" s="33"/>
      <c r="B226" s="33"/>
      <c r="C226" s="33"/>
      <c r="D226" s="33"/>
      <c r="E226" s="33"/>
      <c r="F226" s="33"/>
      <c r="G226" s="33"/>
      <c r="H226" s="33"/>
      <c r="I226" s="33"/>
      <c r="J226" s="33"/>
      <c r="K226" s="33"/>
      <c r="L226" s="34"/>
      <c r="M226" s="34"/>
      <c r="N226" s="34"/>
      <c r="O226" s="34"/>
      <c r="P226" s="33"/>
      <c r="Q226" s="35"/>
      <c r="R226" s="33"/>
      <c r="S226" s="33"/>
      <c r="T226" s="33"/>
      <c r="U226" s="33"/>
      <c r="V226" s="33"/>
      <c r="W226" s="33"/>
    </row>
    <row r="227" customFormat="false" ht="15" hidden="false" customHeight="false" outlineLevel="0" collapsed="false">
      <c r="A227" s="33"/>
      <c r="B227" s="33"/>
      <c r="C227" s="33"/>
      <c r="D227" s="33"/>
      <c r="E227" s="33"/>
      <c r="F227" s="33"/>
      <c r="G227" s="33"/>
      <c r="H227" s="33"/>
      <c r="I227" s="33"/>
      <c r="J227" s="33"/>
      <c r="K227" s="33"/>
      <c r="L227" s="34"/>
      <c r="M227" s="34"/>
      <c r="N227" s="34"/>
      <c r="O227" s="34"/>
      <c r="P227" s="33"/>
      <c r="Q227" s="35"/>
      <c r="R227" s="33"/>
      <c r="S227" s="33"/>
      <c r="T227" s="33"/>
      <c r="U227" s="33"/>
      <c r="V227" s="33"/>
      <c r="W227" s="33"/>
    </row>
    <row r="228" customFormat="false" ht="15" hidden="false" customHeight="false" outlineLevel="0" collapsed="false">
      <c r="A228" s="33"/>
      <c r="B228" s="33"/>
      <c r="C228" s="33"/>
      <c r="D228" s="33"/>
      <c r="E228" s="33"/>
      <c r="F228" s="33"/>
      <c r="G228" s="33"/>
      <c r="H228" s="33"/>
      <c r="I228" s="33"/>
      <c r="J228" s="33"/>
      <c r="K228" s="33"/>
      <c r="L228" s="34"/>
      <c r="M228" s="34"/>
      <c r="N228" s="34"/>
      <c r="O228" s="34"/>
      <c r="P228" s="33"/>
      <c r="Q228" s="35"/>
      <c r="R228" s="33"/>
      <c r="S228" s="33"/>
      <c r="T228" s="33"/>
      <c r="U228" s="33"/>
      <c r="V228" s="33"/>
      <c r="W228" s="33"/>
    </row>
    <row r="229" customFormat="false" ht="15" hidden="false" customHeight="false" outlineLevel="0" collapsed="false">
      <c r="A229" s="33"/>
      <c r="B229" s="33"/>
      <c r="C229" s="33"/>
      <c r="D229" s="33"/>
      <c r="E229" s="33"/>
      <c r="F229" s="33"/>
      <c r="G229" s="33"/>
      <c r="H229" s="33"/>
      <c r="I229" s="33"/>
      <c r="J229" s="33"/>
      <c r="K229" s="33"/>
      <c r="L229" s="34"/>
      <c r="M229" s="34"/>
      <c r="N229" s="34"/>
      <c r="O229" s="34"/>
      <c r="P229" s="33"/>
      <c r="Q229" s="35"/>
      <c r="R229" s="33"/>
      <c r="S229" s="33"/>
      <c r="T229" s="33"/>
      <c r="U229" s="33"/>
      <c r="V229" s="33"/>
      <c r="W229" s="33"/>
    </row>
    <row r="230" customFormat="false" ht="15" hidden="false" customHeight="false" outlineLevel="0" collapsed="false">
      <c r="A230" s="33"/>
      <c r="B230" s="33"/>
      <c r="C230" s="33"/>
      <c r="D230" s="33"/>
      <c r="E230" s="33"/>
      <c r="F230" s="33"/>
      <c r="G230" s="33"/>
      <c r="H230" s="33"/>
      <c r="I230" s="33"/>
      <c r="J230" s="33"/>
      <c r="K230" s="33"/>
      <c r="L230" s="34"/>
      <c r="M230" s="34"/>
      <c r="N230" s="34"/>
      <c r="O230" s="34"/>
      <c r="P230" s="33"/>
      <c r="Q230" s="35"/>
      <c r="R230" s="33"/>
      <c r="S230" s="33"/>
      <c r="T230" s="33"/>
      <c r="U230" s="33"/>
      <c r="V230" s="33"/>
      <c r="W230" s="33"/>
    </row>
    <row r="231" customFormat="false" ht="15" hidden="false" customHeight="false" outlineLevel="0" collapsed="false">
      <c r="A231" s="33"/>
      <c r="B231" s="33"/>
      <c r="C231" s="33"/>
      <c r="D231" s="33"/>
      <c r="E231" s="33"/>
      <c r="F231" s="33"/>
      <c r="G231" s="33"/>
      <c r="H231" s="33"/>
      <c r="I231" s="33"/>
      <c r="J231" s="33"/>
      <c r="K231" s="33"/>
      <c r="L231" s="34"/>
      <c r="M231" s="34"/>
      <c r="N231" s="34"/>
      <c r="O231" s="34"/>
      <c r="P231" s="33"/>
      <c r="Q231" s="35"/>
      <c r="R231" s="33"/>
      <c r="S231" s="33"/>
      <c r="T231" s="33"/>
      <c r="U231" s="33"/>
      <c r="V231" s="33"/>
      <c r="W231" s="33"/>
    </row>
    <row r="232" customFormat="false" ht="15" hidden="false" customHeight="false" outlineLevel="0" collapsed="false">
      <c r="A232" s="33"/>
      <c r="B232" s="33"/>
      <c r="C232" s="33"/>
      <c r="D232" s="33"/>
      <c r="E232" s="33"/>
      <c r="F232" s="33"/>
      <c r="G232" s="33"/>
      <c r="H232" s="33"/>
      <c r="I232" s="33"/>
      <c r="J232" s="33"/>
      <c r="K232" s="33"/>
      <c r="L232" s="34"/>
      <c r="M232" s="34"/>
      <c r="N232" s="34"/>
      <c r="O232" s="34"/>
      <c r="P232" s="33"/>
      <c r="Q232" s="35"/>
      <c r="R232" s="33"/>
      <c r="S232" s="33"/>
      <c r="T232" s="33"/>
      <c r="U232" s="33"/>
      <c r="V232" s="33"/>
      <c r="W232" s="33"/>
    </row>
    <row r="233" customFormat="false" ht="15" hidden="false" customHeight="false" outlineLevel="0" collapsed="false">
      <c r="A233" s="33"/>
      <c r="B233" s="33"/>
      <c r="C233" s="33"/>
      <c r="D233" s="33"/>
      <c r="E233" s="33"/>
      <c r="F233" s="33"/>
      <c r="G233" s="33"/>
      <c r="H233" s="33"/>
      <c r="I233" s="33"/>
      <c r="J233" s="33"/>
      <c r="K233" s="33"/>
      <c r="L233" s="34"/>
      <c r="M233" s="34"/>
      <c r="N233" s="34"/>
      <c r="O233" s="34"/>
      <c r="P233" s="33"/>
      <c r="Q233" s="35"/>
      <c r="R233" s="33"/>
      <c r="S233" s="33"/>
      <c r="T233" s="33"/>
      <c r="U233" s="33"/>
      <c r="V233" s="33"/>
      <c r="W233" s="33"/>
    </row>
    <row r="234" customFormat="false" ht="15" hidden="false" customHeight="false" outlineLevel="0" collapsed="false">
      <c r="A234" s="33"/>
      <c r="B234" s="33"/>
      <c r="C234" s="33"/>
      <c r="D234" s="33"/>
      <c r="E234" s="33"/>
      <c r="F234" s="33"/>
      <c r="G234" s="33"/>
      <c r="H234" s="33"/>
      <c r="I234" s="33"/>
      <c r="J234" s="33"/>
      <c r="K234" s="33"/>
      <c r="L234" s="34"/>
      <c r="M234" s="34"/>
      <c r="N234" s="34"/>
      <c r="O234" s="34"/>
      <c r="P234" s="33"/>
      <c r="Q234" s="35"/>
      <c r="R234" s="33"/>
      <c r="S234" s="33"/>
      <c r="T234" s="33"/>
      <c r="U234" s="33"/>
      <c r="V234" s="33"/>
      <c r="W234" s="33"/>
    </row>
    <row r="235" customFormat="false" ht="15" hidden="false" customHeight="false" outlineLevel="0" collapsed="false">
      <c r="A235" s="33"/>
      <c r="B235" s="33"/>
      <c r="C235" s="33"/>
      <c r="D235" s="33"/>
      <c r="E235" s="33"/>
      <c r="F235" s="33"/>
      <c r="G235" s="33"/>
      <c r="H235" s="33"/>
      <c r="I235" s="33"/>
      <c r="J235" s="33"/>
      <c r="K235" s="33"/>
      <c r="L235" s="34"/>
      <c r="M235" s="34"/>
      <c r="N235" s="34"/>
      <c r="O235" s="34"/>
      <c r="P235" s="33"/>
      <c r="Q235" s="35"/>
      <c r="R235" s="33"/>
      <c r="S235" s="33"/>
      <c r="T235" s="33"/>
      <c r="U235" s="33"/>
      <c r="V235" s="33"/>
      <c r="W235" s="33"/>
    </row>
    <row r="236" customFormat="false" ht="15" hidden="false" customHeight="false" outlineLevel="0" collapsed="false">
      <c r="A236" s="33"/>
      <c r="B236" s="33"/>
      <c r="C236" s="33"/>
      <c r="D236" s="33"/>
      <c r="E236" s="33"/>
      <c r="F236" s="33"/>
      <c r="G236" s="33"/>
      <c r="H236" s="33"/>
      <c r="I236" s="33"/>
      <c r="J236" s="33"/>
      <c r="K236" s="33"/>
      <c r="L236" s="34"/>
      <c r="M236" s="34"/>
      <c r="N236" s="34"/>
      <c r="O236" s="34"/>
      <c r="P236" s="33"/>
      <c r="Q236" s="35"/>
      <c r="R236" s="33"/>
      <c r="S236" s="33"/>
      <c r="T236" s="33"/>
      <c r="U236" s="33"/>
      <c r="V236" s="33"/>
      <c r="W236" s="33"/>
    </row>
    <row r="237" customFormat="false" ht="15" hidden="false" customHeight="false" outlineLevel="0" collapsed="false">
      <c r="A237" s="33"/>
      <c r="B237" s="33"/>
      <c r="C237" s="33"/>
      <c r="D237" s="33"/>
      <c r="E237" s="33"/>
      <c r="F237" s="33"/>
      <c r="G237" s="33"/>
      <c r="H237" s="33"/>
      <c r="I237" s="33"/>
      <c r="J237" s="33"/>
      <c r="K237" s="33"/>
      <c r="L237" s="34"/>
      <c r="M237" s="34"/>
      <c r="N237" s="34"/>
      <c r="O237" s="34"/>
      <c r="P237" s="33"/>
      <c r="Q237" s="35"/>
      <c r="R237" s="33"/>
      <c r="S237" s="33"/>
      <c r="T237" s="33"/>
      <c r="U237" s="33"/>
      <c r="V237" s="33"/>
      <c r="W237" s="33"/>
    </row>
    <row r="238" customFormat="false" ht="15" hidden="false" customHeight="false" outlineLevel="0" collapsed="false">
      <c r="A238" s="33"/>
      <c r="B238" s="33"/>
      <c r="C238" s="33"/>
      <c r="D238" s="33"/>
      <c r="E238" s="33"/>
      <c r="F238" s="33"/>
      <c r="G238" s="33"/>
      <c r="H238" s="33"/>
      <c r="I238" s="33"/>
      <c r="J238" s="33"/>
      <c r="K238" s="33"/>
      <c r="L238" s="34"/>
      <c r="M238" s="34"/>
      <c r="N238" s="34"/>
      <c r="O238" s="34"/>
      <c r="P238" s="33"/>
      <c r="Q238" s="35"/>
      <c r="R238" s="33"/>
      <c r="S238" s="33"/>
      <c r="T238" s="33"/>
      <c r="U238" s="33"/>
      <c r="V238" s="33"/>
      <c r="W238" s="33"/>
    </row>
    <row r="239" customFormat="false" ht="15" hidden="false" customHeight="false" outlineLevel="0" collapsed="false">
      <c r="A239" s="33"/>
      <c r="B239" s="33"/>
      <c r="C239" s="33"/>
      <c r="D239" s="33"/>
      <c r="E239" s="33"/>
      <c r="F239" s="33"/>
      <c r="G239" s="33"/>
      <c r="H239" s="33"/>
      <c r="I239" s="33"/>
      <c r="J239" s="33"/>
      <c r="K239" s="33"/>
      <c r="L239" s="34"/>
      <c r="M239" s="34"/>
      <c r="N239" s="34"/>
      <c r="O239" s="34"/>
      <c r="P239" s="33"/>
      <c r="Q239" s="35"/>
      <c r="R239" s="33"/>
      <c r="S239" s="33"/>
      <c r="T239" s="33"/>
      <c r="U239" s="33"/>
      <c r="V239" s="33"/>
      <c r="W239" s="33"/>
    </row>
    <row r="240" customFormat="false" ht="15" hidden="false" customHeight="false" outlineLevel="0" collapsed="false">
      <c r="A240" s="33"/>
      <c r="B240" s="33"/>
      <c r="C240" s="33"/>
      <c r="D240" s="33"/>
      <c r="E240" s="33"/>
      <c r="F240" s="33"/>
      <c r="G240" s="33"/>
      <c r="H240" s="33"/>
      <c r="I240" s="33"/>
      <c r="J240" s="33"/>
      <c r="K240" s="33"/>
      <c r="L240" s="34"/>
      <c r="M240" s="34"/>
      <c r="N240" s="34"/>
      <c r="O240" s="34"/>
      <c r="P240" s="33"/>
      <c r="Q240" s="35"/>
      <c r="R240" s="33"/>
      <c r="S240" s="33"/>
      <c r="T240" s="33"/>
      <c r="U240" s="33"/>
      <c r="V240" s="33"/>
      <c r="W240" s="33"/>
    </row>
    <row r="241" customFormat="false" ht="15" hidden="false" customHeight="false" outlineLevel="0" collapsed="false">
      <c r="A241" s="33"/>
      <c r="B241" s="33"/>
      <c r="C241" s="33"/>
      <c r="D241" s="33"/>
      <c r="E241" s="33"/>
      <c r="F241" s="33"/>
      <c r="G241" s="33"/>
      <c r="H241" s="33"/>
      <c r="I241" s="33"/>
      <c r="J241" s="33"/>
      <c r="K241" s="33"/>
      <c r="L241" s="34"/>
      <c r="M241" s="34"/>
      <c r="N241" s="34"/>
      <c r="O241" s="34"/>
      <c r="P241" s="33"/>
      <c r="Q241" s="35"/>
      <c r="R241" s="33"/>
      <c r="S241" s="33"/>
      <c r="T241" s="33"/>
      <c r="U241" s="33"/>
      <c r="V241" s="33"/>
      <c r="W241" s="33"/>
    </row>
    <row r="242" customFormat="false" ht="15" hidden="false" customHeight="false" outlineLevel="0" collapsed="false">
      <c r="A242" s="33"/>
      <c r="B242" s="33"/>
      <c r="C242" s="33"/>
      <c r="D242" s="33"/>
      <c r="E242" s="33"/>
      <c r="F242" s="33"/>
      <c r="G242" s="33"/>
      <c r="H242" s="33"/>
      <c r="I242" s="33"/>
      <c r="J242" s="33"/>
      <c r="K242" s="33"/>
      <c r="L242" s="34"/>
      <c r="M242" s="34"/>
      <c r="N242" s="34"/>
      <c r="O242" s="34"/>
      <c r="P242" s="33"/>
      <c r="Q242" s="35"/>
      <c r="R242" s="33"/>
      <c r="S242" s="33"/>
      <c r="T242" s="33"/>
      <c r="U242" s="33"/>
      <c r="V242" s="33"/>
      <c r="W242" s="33"/>
    </row>
    <row r="243" customFormat="false" ht="15" hidden="false" customHeight="false" outlineLevel="0" collapsed="false">
      <c r="A243" s="33"/>
      <c r="B243" s="33"/>
      <c r="C243" s="33"/>
      <c r="D243" s="33"/>
      <c r="E243" s="33"/>
      <c r="F243" s="33"/>
      <c r="G243" s="33"/>
      <c r="H243" s="33"/>
      <c r="I243" s="33"/>
      <c r="J243" s="33"/>
      <c r="K243" s="33"/>
      <c r="L243" s="34"/>
      <c r="M243" s="34"/>
      <c r="N243" s="34"/>
      <c r="O243" s="34"/>
      <c r="P243" s="33"/>
      <c r="Q243" s="35"/>
      <c r="R243" s="33"/>
      <c r="S243" s="33"/>
      <c r="T243" s="33"/>
      <c r="U243" s="33"/>
      <c r="V243" s="33"/>
      <c r="W243" s="33"/>
    </row>
    <row r="244" customFormat="false" ht="15" hidden="false" customHeight="false" outlineLevel="0" collapsed="false">
      <c r="A244" s="33"/>
      <c r="B244" s="33"/>
      <c r="C244" s="33"/>
      <c r="D244" s="33"/>
      <c r="E244" s="33"/>
      <c r="F244" s="33"/>
      <c r="G244" s="33"/>
      <c r="H244" s="33"/>
      <c r="I244" s="33"/>
      <c r="J244" s="33"/>
      <c r="K244" s="33"/>
      <c r="L244" s="34"/>
      <c r="M244" s="34"/>
      <c r="N244" s="34"/>
      <c r="O244" s="34"/>
      <c r="P244" s="33"/>
      <c r="Q244" s="35"/>
      <c r="R244" s="33"/>
      <c r="S244" s="33"/>
      <c r="T244" s="33"/>
      <c r="U244" s="33"/>
      <c r="V244" s="33"/>
      <c r="W244" s="33"/>
    </row>
    <row r="245" customFormat="false" ht="15" hidden="false" customHeight="false" outlineLevel="0" collapsed="false">
      <c r="A245" s="33"/>
      <c r="B245" s="33"/>
      <c r="C245" s="33"/>
      <c r="D245" s="33"/>
      <c r="E245" s="33"/>
      <c r="F245" s="33"/>
      <c r="G245" s="33"/>
      <c r="H245" s="33"/>
      <c r="I245" s="33"/>
      <c r="J245" s="33"/>
      <c r="K245" s="33"/>
      <c r="L245" s="34"/>
      <c r="M245" s="34"/>
      <c r="N245" s="34"/>
      <c r="O245" s="34"/>
      <c r="P245" s="33"/>
      <c r="Q245" s="35"/>
      <c r="R245" s="33"/>
      <c r="S245" s="33"/>
      <c r="T245" s="33"/>
      <c r="U245" s="33"/>
      <c r="V245" s="33"/>
      <c r="W245" s="33"/>
    </row>
    <row r="246" customFormat="false" ht="15" hidden="false" customHeight="false" outlineLevel="0" collapsed="false">
      <c r="A246" s="33"/>
      <c r="B246" s="33"/>
      <c r="C246" s="33"/>
      <c r="D246" s="33"/>
      <c r="E246" s="33"/>
      <c r="F246" s="33"/>
      <c r="G246" s="33"/>
      <c r="H246" s="33"/>
      <c r="I246" s="33"/>
      <c r="J246" s="33"/>
      <c r="K246" s="33"/>
      <c r="L246" s="34"/>
      <c r="M246" s="34"/>
      <c r="N246" s="34"/>
      <c r="O246" s="34"/>
      <c r="P246" s="33"/>
      <c r="Q246" s="35"/>
      <c r="R246" s="33"/>
      <c r="S246" s="33"/>
      <c r="T246" s="33"/>
      <c r="U246" s="33"/>
      <c r="V246" s="33"/>
      <c r="W246" s="33"/>
    </row>
    <row r="247" customFormat="false" ht="15" hidden="false" customHeight="false" outlineLevel="0" collapsed="false">
      <c r="A247" s="33"/>
      <c r="B247" s="33"/>
      <c r="C247" s="33"/>
      <c r="D247" s="33"/>
      <c r="E247" s="33"/>
      <c r="F247" s="33"/>
      <c r="G247" s="33"/>
      <c r="H247" s="33"/>
      <c r="I247" s="33"/>
      <c r="J247" s="33"/>
      <c r="K247" s="33"/>
      <c r="L247" s="34"/>
      <c r="M247" s="34"/>
      <c r="N247" s="34"/>
      <c r="O247" s="34"/>
      <c r="P247" s="33"/>
      <c r="Q247" s="35"/>
      <c r="R247" s="33"/>
      <c r="S247" s="33"/>
      <c r="T247" s="33"/>
      <c r="U247" s="33"/>
      <c r="V247" s="33"/>
      <c r="W247" s="33"/>
    </row>
    <row r="248" customFormat="false" ht="15" hidden="false" customHeight="false" outlineLevel="0" collapsed="false">
      <c r="A248" s="33"/>
      <c r="B248" s="33"/>
      <c r="C248" s="33"/>
      <c r="D248" s="33"/>
      <c r="E248" s="33"/>
      <c r="F248" s="33"/>
      <c r="G248" s="33"/>
      <c r="H248" s="33"/>
      <c r="I248" s="33"/>
      <c r="J248" s="33"/>
      <c r="K248" s="33"/>
      <c r="L248" s="34"/>
      <c r="M248" s="34"/>
      <c r="N248" s="34"/>
      <c r="O248" s="34"/>
      <c r="P248" s="33"/>
      <c r="Q248" s="35"/>
      <c r="R248" s="33"/>
      <c r="S248" s="33"/>
      <c r="T248" s="33"/>
      <c r="U248" s="33"/>
      <c r="V248" s="33"/>
      <c r="W248" s="33"/>
    </row>
    <row r="249" customFormat="false" ht="15" hidden="false" customHeight="false" outlineLevel="0" collapsed="false">
      <c r="A249" s="33"/>
      <c r="B249" s="33"/>
      <c r="C249" s="33"/>
      <c r="D249" s="33"/>
      <c r="E249" s="33"/>
      <c r="F249" s="33"/>
      <c r="G249" s="33"/>
      <c r="H249" s="33"/>
      <c r="I249" s="33"/>
      <c r="J249" s="33"/>
      <c r="K249" s="33"/>
      <c r="L249" s="34"/>
      <c r="M249" s="34"/>
      <c r="N249" s="34"/>
      <c r="O249" s="34"/>
      <c r="P249" s="33"/>
      <c r="Q249" s="35"/>
      <c r="R249" s="33"/>
      <c r="S249" s="33"/>
      <c r="T249" s="33"/>
      <c r="U249" s="33"/>
      <c r="V249" s="33"/>
      <c r="W249" s="33"/>
    </row>
    <row r="250" customFormat="false" ht="15" hidden="false" customHeight="false" outlineLevel="0" collapsed="false">
      <c r="A250" s="33"/>
      <c r="B250" s="33"/>
      <c r="C250" s="33"/>
      <c r="D250" s="33"/>
      <c r="E250" s="33"/>
      <c r="F250" s="33"/>
      <c r="G250" s="33"/>
      <c r="H250" s="33"/>
      <c r="I250" s="33"/>
      <c r="J250" s="33"/>
      <c r="K250" s="33"/>
      <c r="L250" s="34"/>
      <c r="M250" s="34"/>
      <c r="N250" s="34"/>
      <c r="O250" s="34"/>
      <c r="P250" s="33"/>
      <c r="Q250" s="35"/>
      <c r="R250" s="33"/>
      <c r="S250" s="33"/>
      <c r="T250" s="33"/>
      <c r="U250" s="33"/>
      <c r="V250" s="33"/>
      <c r="W250" s="33"/>
    </row>
    <row r="251" customFormat="false" ht="15" hidden="false" customHeight="false" outlineLevel="0" collapsed="false">
      <c r="A251" s="33"/>
      <c r="B251" s="33"/>
      <c r="C251" s="33"/>
      <c r="D251" s="33"/>
      <c r="E251" s="33"/>
      <c r="F251" s="33"/>
      <c r="G251" s="33"/>
      <c r="H251" s="33"/>
      <c r="I251" s="33"/>
      <c r="J251" s="33"/>
      <c r="K251" s="33"/>
      <c r="L251" s="34"/>
      <c r="M251" s="34"/>
      <c r="N251" s="34"/>
      <c r="O251" s="34"/>
      <c r="P251" s="33"/>
      <c r="Q251" s="35"/>
      <c r="R251" s="33"/>
      <c r="S251" s="33"/>
      <c r="T251" s="33"/>
      <c r="U251" s="33"/>
      <c r="V251" s="33"/>
      <c r="W251" s="33"/>
    </row>
    <row r="252" customFormat="false" ht="15" hidden="false" customHeight="false" outlineLevel="0" collapsed="false">
      <c r="A252" s="33"/>
      <c r="B252" s="33"/>
      <c r="C252" s="33"/>
      <c r="D252" s="33"/>
      <c r="E252" s="33"/>
      <c r="F252" s="33"/>
      <c r="G252" s="33"/>
      <c r="H252" s="33"/>
      <c r="I252" s="33"/>
      <c r="J252" s="33"/>
      <c r="K252" s="33"/>
      <c r="L252" s="34"/>
      <c r="M252" s="34"/>
      <c r="N252" s="34"/>
      <c r="O252" s="34"/>
      <c r="P252" s="33"/>
      <c r="Q252" s="35"/>
      <c r="R252" s="33"/>
      <c r="S252" s="33"/>
      <c r="T252" s="33"/>
      <c r="U252" s="33"/>
      <c r="V252" s="33"/>
      <c r="W252" s="33"/>
    </row>
    <row r="253" customFormat="false" ht="15" hidden="false" customHeight="false" outlineLevel="0" collapsed="false">
      <c r="A253" s="33"/>
      <c r="B253" s="33"/>
      <c r="C253" s="33"/>
      <c r="D253" s="33"/>
      <c r="E253" s="33"/>
      <c r="F253" s="33"/>
      <c r="G253" s="33"/>
      <c r="H253" s="33"/>
      <c r="I253" s="33"/>
      <c r="J253" s="33"/>
      <c r="K253" s="33"/>
      <c r="L253" s="34"/>
      <c r="M253" s="34"/>
      <c r="N253" s="34"/>
      <c r="O253" s="34"/>
      <c r="P253" s="33"/>
      <c r="Q253" s="35"/>
      <c r="R253" s="33"/>
      <c r="S253" s="33"/>
      <c r="T253" s="33"/>
      <c r="U253" s="33"/>
      <c r="V253" s="33"/>
      <c r="W253" s="33"/>
    </row>
    <row r="254" customFormat="false" ht="15" hidden="false" customHeight="false" outlineLevel="0" collapsed="false">
      <c r="A254" s="33"/>
      <c r="B254" s="33"/>
      <c r="C254" s="33"/>
      <c r="D254" s="33"/>
      <c r="E254" s="33"/>
      <c r="F254" s="33"/>
      <c r="G254" s="33"/>
      <c r="H254" s="33"/>
      <c r="I254" s="33"/>
      <c r="J254" s="33"/>
      <c r="K254" s="33"/>
      <c r="L254" s="34"/>
      <c r="M254" s="34"/>
      <c r="N254" s="34"/>
      <c r="O254" s="34"/>
      <c r="P254" s="33"/>
      <c r="Q254" s="35"/>
      <c r="R254" s="33"/>
      <c r="S254" s="33"/>
      <c r="T254" s="33"/>
      <c r="U254" s="33"/>
      <c r="V254" s="33"/>
      <c r="W254" s="33"/>
    </row>
    <row r="255" customFormat="false" ht="15" hidden="false" customHeight="false" outlineLevel="0" collapsed="false">
      <c r="A255" s="33"/>
      <c r="B255" s="33"/>
      <c r="C255" s="33"/>
      <c r="D255" s="33"/>
      <c r="E255" s="33"/>
      <c r="F255" s="33"/>
      <c r="G255" s="33"/>
      <c r="H255" s="33"/>
      <c r="I255" s="33"/>
      <c r="J255" s="33"/>
      <c r="K255" s="33"/>
      <c r="L255" s="34"/>
      <c r="M255" s="34"/>
      <c r="N255" s="34"/>
      <c r="O255" s="34"/>
      <c r="P255" s="33"/>
      <c r="Q255" s="35"/>
      <c r="R255" s="33"/>
      <c r="S255" s="33"/>
      <c r="T255" s="33"/>
      <c r="U255" s="33"/>
      <c r="V255" s="33"/>
      <c r="W255" s="33"/>
    </row>
    <row r="256" customFormat="false" ht="15" hidden="false" customHeight="false" outlineLevel="0" collapsed="false">
      <c r="A256" s="33"/>
      <c r="B256" s="33"/>
      <c r="C256" s="33"/>
      <c r="D256" s="33"/>
      <c r="E256" s="33"/>
      <c r="F256" s="33"/>
      <c r="G256" s="33"/>
      <c r="H256" s="33"/>
      <c r="I256" s="33"/>
      <c r="J256" s="33"/>
      <c r="K256" s="33"/>
      <c r="L256" s="34"/>
      <c r="M256" s="34"/>
      <c r="N256" s="34"/>
      <c r="O256" s="34"/>
      <c r="P256" s="33"/>
      <c r="Q256" s="35"/>
      <c r="R256" s="33"/>
      <c r="S256" s="33"/>
      <c r="T256" s="33"/>
      <c r="U256" s="33"/>
      <c r="V256" s="33"/>
      <c r="W256" s="33"/>
    </row>
    <row r="257" customFormat="false" ht="15" hidden="false" customHeight="false" outlineLevel="0" collapsed="false">
      <c r="A257" s="33"/>
      <c r="B257" s="33"/>
      <c r="C257" s="33"/>
      <c r="D257" s="33"/>
      <c r="E257" s="33"/>
      <c r="F257" s="33"/>
      <c r="G257" s="33"/>
      <c r="H257" s="33"/>
      <c r="I257" s="33"/>
      <c r="J257" s="33"/>
      <c r="K257" s="33"/>
      <c r="L257" s="34"/>
      <c r="M257" s="34"/>
      <c r="N257" s="34"/>
      <c r="O257" s="34"/>
      <c r="P257" s="33"/>
      <c r="Q257" s="35"/>
      <c r="R257" s="33"/>
      <c r="S257" s="33"/>
      <c r="T257" s="33"/>
      <c r="U257" s="33"/>
      <c r="V257" s="33"/>
      <c r="W257" s="33"/>
    </row>
    <row r="258" customFormat="false" ht="15" hidden="false" customHeight="false" outlineLevel="0" collapsed="false">
      <c r="A258" s="33"/>
      <c r="B258" s="33"/>
      <c r="C258" s="33"/>
      <c r="D258" s="33"/>
      <c r="E258" s="33"/>
      <c r="F258" s="33"/>
      <c r="G258" s="33"/>
      <c r="H258" s="33"/>
      <c r="I258" s="33"/>
      <c r="J258" s="33"/>
      <c r="K258" s="33"/>
      <c r="L258" s="34"/>
      <c r="M258" s="34"/>
      <c r="N258" s="34"/>
      <c r="O258" s="34"/>
      <c r="P258" s="33"/>
      <c r="Q258" s="35"/>
      <c r="R258" s="33"/>
      <c r="S258" s="33"/>
      <c r="T258" s="33"/>
      <c r="U258" s="33"/>
      <c r="V258" s="33"/>
      <c r="W258" s="33"/>
    </row>
    <row r="259" customFormat="false" ht="15" hidden="false" customHeight="false" outlineLevel="0" collapsed="false">
      <c r="A259" s="33"/>
      <c r="B259" s="33"/>
      <c r="C259" s="33"/>
      <c r="D259" s="33"/>
      <c r="E259" s="33"/>
      <c r="F259" s="33"/>
      <c r="G259" s="33"/>
      <c r="H259" s="33"/>
      <c r="I259" s="33"/>
      <c r="J259" s="33"/>
      <c r="K259" s="33"/>
      <c r="L259" s="34"/>
      <c r="M259" s="34"/>
      <c r="N259" s="34"/>
      <c r="O259" s="34"/>
      <c r="P259" s="33"/>
      <c r="Q259" s="35"/>
      <c r="R259" s="33"/>
      <c r="S259" s="33"/>
      <c r="T259" s="33"/>
      <c r="U259" s="33"/>
      <c r="V259" s="33"/>
      <c r="W259" s="33"/>
    </row>
    <row r="260" customFormat="false" ht="15" hidden="false" customHeight="false" outlineLevel="0" collapsed="false">
      <c r="A260" s="33"/>
      <c r="B260" s="33"/>
      <c r="C260" s="33"/>
      <c r="D260" s="33"/>
      <c r="E260" s="33"/>
      <c r="F260" s="33"/>
      <c r="G260" s="33"/>
      <c r="H260" s="33"/>
      <c r="I260" s="33"/>
      <c r="J260" s="33"/>
      <c r="K260" s="33"/>
      <c r="L260" s="34"/>
      <c r="M260" s="34"/>
      <c r="N260" s="34"/>
      <c r="O260" s="34"/>
      <c r="P260" s="33"/>
      <c r="Q260" s="35"/>
      <c r="R260" s="33"/>
      <c r="S260" s="33"/>
      <c r="T260" s="33"/>
      <c r="U260" s="33"/>
      <c r="V260" s="33"/>
      <c r="W260" s="33"/>
    </row>
    <row r="261" customFormat="false" ht="15" hidden="false" customHeight="false" outlineLevel="0" collapsed="false">
      <c r="A261" s="33"/>
      <c r="B261" s="33"/>
      <c r="C261" s="33"/>
      <c r="D261" s="33"/>
      <c r="E261" s="33"/>
      <c r="F261" s="33"/>
      <c r="G261" s="33"/>
      <c r="H261" s="33"/>
      <c r="I261" s="33"/>
      <c r="J261" s="33"/>
      <c r="K261" s="33"/>
      <c r="L261" s="34"/>
      <c r="M261" s="34"/>
      <c r="N261" s="34"/>
      <c r="O261" s="34"/>
      <c r="P261" s="33"/>
      <c r="Q261" s="35"/>
      <c r="R261" s="33"/>
      <c r="S261" s="33"/>
      <c r="T261" s="33"/>
      <c r="U261" s="33"/>
      <c r="V261" s="33"/>
      <c r="W261" s="33"/>
    </row>
    <row r="262" customFormat="false" ht="15" hidden="false" customHeight="false" outlineLevel="0" collapsed="false">
      <c r="A262" s="33"/>
      <c r="B262" s="33"/>
      <c r="C262" s="33"/>
      <c r="D262" s="33"/>
      <c r="E262" s="33"/>
      <c r="F262" s="33"/>
      <c r="G262" s="33"/>
      <c r="H262" s="33"/>
      <c r="I262" s="33"/>
      <c r="J262" s="33"/>
      <c r="K262" s="33"/>
      <c r="L262" s="34"/>
      <c r="M262" s="34"/>
      <c r="N262" s="34"/>
      <c r="O262" s="34"/>
      <c r="P262" s="33"/>
      <c r="Q262" s="35"/>
      <c r="R262" s="33"/>
      <c r="S262" s="33"/>
      <c r="T262" s="33"/>
      <c r="U262" s="33"/>
      <c r="V262" s="33"/>
      <c r="W262" s="33"/>
    </row>
    <row r="263" customFormat="false" ht="15" hidden="false" customHeight="false" outlineLevel="0" collapsed="false">
      <c r="A263" s="33"/>
      <c r="B263" s="33"/>
      <c r="C263" s="33"/>
      <c r="D263" s="33"/>
      <c r="E263" s="33"/>
      <c r="F263" s="33"/>
      <c r="G263" s="33"/>
      <c r="H263" s="33"/>
      <c r="I263" s="33"/>
      <c r="J263" s="33"/>
      <c r="K263" s="33"/>
      <c r="L263" s="34"/>
      <c r="M263" s="34"/>
      <c r="N263" s="34"/>
      <c r="O263" s="34"/>
      <c r="P263" s="33"/>
      <c r="Q263" s="35"/>
      <c r="R263" s="33"/>
      <c r="S263" s="33"/>
      <c r="T263" s="33"/>
      <c r="U263" s="33"/>
      <c r="V263" s="33"/>
      <c r="W263" s="33"/>
    </row>
    <row r="264" customFormat="false" ht="15" hidden="false" customHeight="false" outlineLevel="0" collapsed="false">
      <c r="A264" s="33"/>
      <c r="B264" s="33"/>
      <c r="C264" s="33"/>
      <c r="D264" s="33"/>
      <c r="E264" s="33"/>
      <c r="F264" s="33"/>
      <c r="G264" s="33"/>
      <c r="H264" s="33"/>
      <c r="I264" s="33"/>
      <c r="J264" s="33"/>
      <c r="K264" s="33"/>
      <c r="L264" s="34"/>
      <c r="M264" s="34"/>
      <c r="N264" s="34"/>
      <c r="O264" s="34"/>
      <c r="P264" s="33"/>
      <c r="Q264" s="35"/>
      <c r="R264" s="33"/>
      <c r="S264" s="33"/>
      <c r="T264" s="33"/>
      <c r="U264" s="33"/>
      <c r="V264" s="33"/>
      <c r="W264" s="33"/>
    </row>
    <row r="265" customFormat="false" ht="15" hidden="false" customHeight="false" outlineLevel="0" collapsed="false">
      <c r="A265" s="33"/>
      <c r="B265" s="33"/>
      <c r="C265" s="33"/>
      <c r="D265" s="33"/>
      <c r="E265" s="33"/>
      <c r="F265" s="33"/>
      <c r="G265" s="33"/>
      <c r="H265" s="33"/>
      <c r="I265" s="33"/>
      <c r="J265" s="33"/>
      <c r="K265" s="33"/>
      <c r="L265" s="34"/>
      <c r="M265" s="34"/>
      <c r="N265" s="34"/>
      <c r="O265" s="34"/>
      <c r="P265" s="33"/>
      <c r="Q265" s="35"/>
      <c r="R265" s="33"/>
      <c r="S265" s="33"/>
      <c r="T265" s="33"/>
      <c r="U265" s="33"/>
      <c r="V265" s="33"/>
      <c r="W265" s="33"/>
    </row>
    <row r="266" customFormat="false" ht="15" hidden="false" customHeight="false" outlineLevel="0" collapsed="false">
      <c r="A266" s="33"/>
      <c r="B266" s="33"/>
      <c r="C266" s="33"/>
      <c r="D266" s="33"/>
      <c r="E266" s="33"/>
      <c r="F266" s="33"/>
      <c r="G266" s="33"/>
      <c r="H266" s="33"/>
      <c r="I266" s="33"/>
      <c r="J266" s="33"/>
      <c r="K266" s="33"/>
      <c r="L266" s="34"/>
      <c r="M266" s="34"/>
      <c r="N266" s="34"/>
      <c r="O266" s="34"/>
      <c r="P266" s="33"/>
      <c r="Q266" s="35"/>
      <c r="R266" s="33"/>
      <c r="S266" s="33"/>
      <c r="T266" s="33"/>
      <c r="U266" s="33"/>
      <c r="V266" s="33"/>
      <c r="W266" s="33"/>
    </row>
    <row r="267" customFormat="false" ht="15" hidden="false" customHeight="false" outlineLevel="0" collapsed="false">
      <c r="A267" s="33"/>
      <c r="B267" s="33"/>
      <c r="C267" s="33"/>
      <c r="D267" s="33"/>
      <c r="E267" s="33"/>
      <c r="F267" s="33"/>
      <c r="G267" s="33"/>
      <c r="H267" s="33"/>
      <c r="I267" s="33"/>
      <c r="J267" s="33"/>
      <c r="K267" s="33"/>
      <c r="L267" s="34"/>
      <c r="M267" s="34"/>
      <c r="N267" s="34"/>
      <c r="O267" s="34"/>
      <c r="P267" s="33"/>
      <c r="Q267" s="35"/>
      <c r="R267" s="33"/>
      <c r="S267" s="33"/>
      <c r="T267" s="33"/>
      <c r="U267" s="33"/>
      <c r="V267" s="33"/>
      <c r="W267" s="33"/>
    </row>
    <row r="268" customFormat="false" ht="15" hidden="false" customHeight="false" outlineLevel="0" collapsed="false">
      <c r="A268" s="33"/>
      <c r="B268" s="33"/>
      <c r="C268" s="33"/>
      <c r="D268" s="33"/>
      <c r="E268" s="33"/>
      <c r="F268" s="33"/>
      <c r="G268" s="33"/>
      <c r="H268" s="33"/>
      <c r="I268" s="33"/>
      <c r="J268" s="33"/>
      <c r="K268" s="33"/>
      <c r="L268" s="34"/>
      <c r="M268" s="34"/>
      <c r="N268" s="34"/>
      <c r="O268" s="34"/>
      <c r="P268" s="33"/>
      <c r="Q268" s="35"/>
      <c r="R268" s="33"/>
      <c r="S268" s="33"/>
      <c r="T268" s="33"/>
      <c r="U268" s="33"/>
      <c r="V268" s="33"/>
      <c r="W268" s="33"/>
    </row>
    <row r="269" customFormat="false" ht="15" hidden="false" customHeight="false" outlineLevel="0" collapsed="false">
      <c r="A269" s="33"/>
      <c r="B269" s="33"/>
      <c r="C269" s="33"/>
      <c r="D269" s="33"/>
      <c r="E269" s="33"/>
      <c r="F269" s="33"/>
      <c r="G269" s="33"/>
      <c r="H269" s="33"/>
      <c r="I269" s="33"/>
      <c r="J269" s="33"/>
      <c r="K269" s="33"/>
      <c r="L269" s="34"/>
      <c r="M269" s="34"/>
      <c r="N269" s="34"/>
      <c r="O269" s="34"/>
      <c r="P269" s="33"/>
      <c r="Q269" s="35"/>
      <c r="R269" s="33"/>
      <c r="S269" s="33"/>
      <c r="T269" s="33"/>
      <c r="U269" s="33"/>
      <c r="V269" s="33"/>
      <c r="W269" s="33"/>
    </row>
    <row r="270" customFormat="false" ht="15" hidden="false" customHeight="false" outlineLevel="0" collapsed="false">
      <c r="A270" s="33"/>
      <c r="B270" s="33"/>
      <c r="C270" s="33"/>
      <c r="D270" s="33"/>
      <c r="E270" s="33"/>
      <c r="F270" s="33"/>
      <c r="G270" s="33"/>
      <c r="H270" s="33"/>
      <c r="I270" s="33"/>
      <c r="J270" s="33"/>
      <c r="K270" s="33"/>
      <c r="L270" s="34"/>
      <c r="M270" s="34"/>
      <c r="N270" s="34"/>
      <c r="O270" s="34"/>
      <c r="P270" s="33"/>
      <c r="Q270" s="35"/>
      <c r="R270" s="33"/>
      <c r="S270" s="33"/>
      <c r="T270" s="33"/>
      <c r="U270" s="33"/>
      <c r="V270" s="33"/>
      <c r="W270" s="33"/>
    </row>
    <row r="271" customFormat="false" ht="15" hidden="false" customHeight="false" outlineLevel="0" collapsed="false">
      <c r="A271" s="33"/>
      <c r="B271" s="33"/>
      <c r="C271" s="33"/>
      <c r="D271" s="33"/>
      <c r="E271" s="33"/>
      <c r="F271" s="33"/>
      <c r="G271" s="33"/>
      <c r="H271" s="33"/>
      <c r="I271" s="33"/>
      <c r="J271" s="33"/>
      <c r="K271" s="33"/>
      <c r="L271" s="34"/>
      <c r="M271" s="34"/>
      <c r="N271" s="34"/>
      <c r="O271" s="34"/>
      <c r="P271" s="33"/>
      <c r="Q271" s="35"/>
      <c r="R271" s="33"/>
      <c r="S271" s="33"/>
      <c r="T271" s="33"/>
      <c r="U271" s="33"/>
      <c r="V271" s="33"/>
      <c r="W271" s="33"/>
    </row>
    <row r="272" customFormat="false" ht="15" hidden="false" customHeight="false" outlineLevel="0" collapsed="false">
      <c r="A272" s="33"/>
      <c r="B272" s="33"/>
      <c r="C272" s="33"/>
      <c r="D272" s="33"/>
      <c r="E272" s="33"/>
      <c r="F272" s="33"/>
      <c r="G272" s="33"/>
      <c r="H272" s="33"/>
      <c r="I272" s="33"/>
      <c r="J272" s="33"/>
      <c r="K272" s="33"/>
      <c r="L272" s="34"/>
      <c r="M272" s="34"/>
      <c r="N272" s="34"/>
      <c r="O272" s="34"/>
      <c r="P272" s="33"/>
      <c r="Q272" s="35"/>
      <c r="R272" s="33"/>
      <c r="S272" s="33"/>
      <c r="T272" s="33"/>
      <c r="U272" s="33"/>
      <c r="V272" s="33"/>
      <c r="W272" s="33"/>
    </row>
    <row r="273" customFormat="false" ht="15" hidden="false" customHeight="false" outlineLevel="0" collapsed="false">
      <c r="A273" s="33"/>
      <c r="B273" s="33"/>
      <c r="C273" s="33"/>
      <c r="D273" s="33"/>
      <c r="E273" s="33"/>
      <c r="F273" s="33"/>
      <c r="G273" s="33"/>
      <c r="H273" s="33"/>
      <c r="I273" s="33"/>
      <c r="J273" s="33"/>
      <c r="K273" s="33"/>
      <c r="L273" s="34"/>
      <c r="M273" s="34"/>
      <c r="N273" s="34"/>
      <c r="O273" s="34"/>
      <c r="P273" s="33"/>
      <c r="Q273" s="35"/>
      <c r="R273" s="33"/>
      <c r="S273" s="33"/>
      <c r="T273" s="33"/>
      <c r="U273" s="33"/>
      <c r="V273" s="33"/>
      <c r="W273" s="33"/>
    </row>
    <row r="274" customFormat="false" ht="15" hidden="false" customHeight="false" outlineLevel="0" collapsed="false">
      <c r="A274" s="33"/>
      <c r="B274" s="33"/>
      <c r="C274" s="33"/>
      <c r="D274" s="33"/>
      <c r="E274" s="33"/>
      <c r="F274" s="33"/>
      <c r="G274" s="33"/>
      <c r="H274" s="33"/>
      <c r="I274" s="33"/>
      <c r="J274" s="33"/>
      <c r="K274" s="33"/>
      <c r="L274" s="34"/>
      <c r="M274" s="34"/>
      <c r="N274" s="34"/>
      <c r="O274" s="34"/>
      <c r="P274" s="33"/>
      <c r="Q274" s="35"/>
      <c r="R274" s="33"/>
      <c r="S274" s="33"/>
      <c r="T274" s="33"/>
      <c r="U274" s="33"/>
      <c r="V274" s="33"/>
      <c r="W274" s="33"/>
    </row>
    <row r="275" customFormat="false" ht="15" hidden="false" customHeight="false" outlineLevel="0" collapsed="false">
      <c r="A275" s="33"/>
      <c r="B275" s="33"/>
      <c r="C275" s="33"/>
      <c r="D275" s="33"/>
      <c r="E275" s="33"/>
      <c r="F275" s="33"/>
      <c r="G275" s="33"/>
      <c r="H275" s="33"/>
      <c r="I275" s="33"/>
      <c r="J275" s="33"/>
      <c r="K275" s="33"/>
      <c r="L275" s="34"/>
      <c r="M275" s="34"/>
      <c r="N275" s="34"/>
      <c r="O275" s="34"/>
      <c r="P275" s="33"/>
      <c r="Q275" s="35"/>
      <c r="R275" s="33"/>
      <c r="S275" s="33"/>
      <c r="T275" s="33"/>
      <c r="U275" s="33"/>
      <c r="V275" s="33"/>
      <c r="W275" s="33"/>
    </row>
    <row r="276" customFormat="false" ht="15" hidden="false" customHeight="false" outlineLevel="0" collapsed="false">
      <c r="A276" s="33"/>
      <c r="B276" s="33"/>
      <c r="C276" s="33"/>
      <c r="D276" s="33"/>
      <c r="E276" s="33"/>
      <c r="F276" s="33"/>
      <c r="G276" s="33"/>
      <c r="H276" s="33"/>
      <c r="I276" s="33"/>
      <c r="J276" s="33"/>
      <c r="K276" s="33"/>
      <c r="L276" s="34"/>
      <c r="M276" s="34"/>
      <c r="N276" s="34"/>
      <c r="O276" s="34"/>
      <c r="P276" s="33"/>
      <c r="Q276" s="35"/>
      <c r="R276" s="33"/>
      <c r="S276" s="33"/>
      <c r="T276" s="33"/>
      <c r="U276" s="33"/>
      <c r="V276" s="33"/>
      <c r="W276" s="33"/>
    </row>
    <row r="277" customFormat="false" ht="15" hidden="false" customHeight="false" outlineLevel="0" collapsed="false">
      <c r="A277" s="33"/>
      <c r="B277" s="33"/>
      <c r="C277" s="33"/>
      <c r="D277" s="33"/>
      <c r="E277" s="33"/>
      <c r="F277" s="33"/>
      <c r="G277" s="33"/>
      <c r="H277" s="33"/>
      <c r="I277" s="33"/>
      <c r="J277" s="33"/>
      <c r="K277" s="33"/>
      <c r="L277" s="34"/>
      <c r="M277" s="34"/>
      <c r="N277" s="34"/>
      <c r="O277" s="34"/>
      <c r="P277" s="33"/>
      <c r="Q277" s="35"/>
      <c r="R277" s="33"/>
      <c r="S277" s="33"/>
      <c r="T277" s="33"/>
      <c r="U277" s="33"/>
      <c r="V277" s="33"/>
      <c r="W277" s="33"/>
    </row>
    <row r="278" customFormat="false" ht="15" hidden="false" customHeight="false" outlineLevel="0" collapsed="false">
      <c r="A278" s="33"/>
      <c r="B278" s="33"/>
      <c r="C278" s="33"/>
      <c r="D278" s="33"/>
      <c r="E278" s="33"/>
      <c r="F278" s="33"/>
      <c r="G278" s="33"/>
      <c r="H278" s="33"/>
      <c r="I278" s="33"/>
      <c r="J278" s="33"/>
      <c r="K278" s="33"/>
      <c r="L278" s="34"/>
      <c r="M278" s="34"/>
      <c r="N278" s="34"/>
      <c r="O278" s="34"/>
      <c r="P278" s="33"/>
      <c r="Q278" s="35"/>
      <c r="R278" s="33"/>
      <c r="S278" s="33"/>
      <c r="T278" s="33"/>
      <c r="U278" s="33"/>
      <c r="V278" s="33"/>
      <c r="W278" s="33"/>
    </row>
    <row r="279" customFormat="false" ht="15" hidden="false" customHeight="false" outlineLevel="0" collapsed="false">
      <c r="A279" s="33"/>
      <c r="B279" s="33"/>
      <c r="C279" s="33"/>
      <c r="D279" s="33"/>
      <c r="E279" s="33"/>
      <c r="F279" s="33"/>
      <c r="G279" s="33"/>
      <c r="H279" s="33"/>
      <c r="I279" s="33"/>
      <c r="J279" s="33"/>
      <c r="K279" s="33"/>
      <c r="L279" s="34"/>
      <c r="M279" s="34"/>
      <c r="N279" s="34"/>
      <c r="O279" s="34"/>
      <c r="P279" s="33"/>
      <c r="Q279" s="35"/>
      <c r="R279" s="33"/>
      <c r="S279" s="33"/>
      <c r="T279" s="33"/>
      <c r="U279" s="33"/>
      <c r="V279" s="33"/>
      <c r="W279" s="33"/>
    </row>
    <row r="280" customFormat="false" ht="15" hidden="false" customHeight="false" outlineLevel="0" collapsed="false">
      <c r="A280" s="33"/>
      <c r="B280" s="33"/>
      <c r="C280" s="33"/>
      <c r="D280" s="33"/>
      <c r="E280" s="33"/>
      <c r="F280" s="33"/>
      <c r="G280" s="33"/>
      <c r="H280" s="33"/>
      <c r="I280" s="33"/>
      <c r="J280" s="33"/>
      <c r="K280" s="33"/>
      <c r="L280" s="34"/>
      <c r="M280" s="34"/>
      <c r="N280" s="34"/>
      <c r="O280" s="34"/>
      <c r="P280" s="33"/>
      <c r="Q280" s="35"/>
      <c r="R280" s="33"/>
      <c r="S280" s="33"/>
      <c r="T280" s="33"/>
      <c r="U280" s="33"/>
      <c r="V280" s="33"/>
      <c r="W280" s="33"/>
    </row>
    <row r="281" customFormat="false" ht="15" hidden="false" customHeight="false" outlineLevel="0" collapsed="false">
      <c r="A281" s="33"/>
      <c r="B281" s="33"/>
      <c r="C281" s="33"/>
      <c r="D281" s="33"/>
      <c r="E281" s="33"/>
      <c r="F281" s="33"/>
      <c r="G281" s="33"/>
      <c r="H281" s="33"/>
      <c r="I281" s="33"/>
      <c r="J281" s="33"/>
      <c r="K281" s="33"/>
      <c r="L281" s="34"/>
      <c r="M281" s="34"/>
      <c r="N281" s="34"/>
      <c r="O281" s="34"/>
      <c r="P281" s="33"/>
      <c r="Q281" s="35"/>
      <c r="R281" s="33"/>
      <c r="S281" s="33"/>
      <c r="T281" s="33"/>
      <c r="U281" s="33"/>
      <c r="V281" s="33"/>
      <c r="W281" s="33"/>
    </row>
    <row r="282" customFormat="false" ht="15" hidden="false" customHeight="false" outlineLevel="0" collapsed="false">
      <c r="A282" s="33"/>
      <c r="B282" s="33"/>
      <c r="C282" s="33"/>
      <c r="D282" s="33"/>
      <c r="E282" s="33"/>
      <c r="F282" s="33"/>
      <c r="G282" s="33"/>
      <c r="H282" s="33"/>
      <c r="I282" s="33"/>
      <c r="J282" s="33"/>
      <c r="K282" s="33"/>
      <c r="L282" s="34"/>
      <c r="M282" s="34"/>
      <c r="N282" s="34"/>
      <c r="O282" s="34"/>
      <c r="P282" s="33"/>
      <c r="Q282" s="35"/>
      <c r="R282" s="33"/>
      <c r="S282" s="33"/>
      <c r="T282" s="33"/>
      <c r="U282" s="33"/>
      <c r="V282" s="33"/>
      <c r="W282" s="33"/>
    </row>
    <row r="283" customFormat="false" ht="15" hidden="false" customHeight="false" outlineLevel="0" collapsed="false">
      <c r="A283" s="33"/>
      <c r="B283" s="33"/>
      <c r="C283" s="33"/>
      <c r="D283" s="33"/>
      <c r="E283" s="33"/>
      <c r="F283" s="33"/>
      <c r="G283" s="33"/>
      <c r="H283" s="33"/>
      <c r="I283" s="33"/>
      <c r="J283" s="33"/>
      <c r="K283" s="33"/>
      <c r="L283" s="34"/>
      <c r="M283" s="34"/>
      <c r="N283" s="34"/>
      <c r="O283" s="34"/>
      <c r="P283" s="33"/>
      <c r="Q283" s="35"/>
      <c r="R283" s="33"/>
      <c r="S283" s="33"/>
      <c r="T283" s="33"/>
      <c r="U283" s="33"/>
      <c r="V283" s="33"/>
      <c r="W283" s="33"/>
    </row>
    <row r="284" customFormat="false" ht="15" hidden="false" customHeight="false" outlineLevel="0" collapsed="false">
      <c r="A284" s="33"/>
      <c r="B284" s="33"/>
      <c r="C284" s="33"/>
      <c r="D284" s="33"/>
      <c r="E284" s="33"/>
      <c r="F284" s="33"/>
      <c r="G284" s="33"/>
      <c r="H284" s="33"/>
      <c r="I284" s="33"/>
      <c r="J284" s="33"/>
      <c r="K284" s="33"/>
      <c r="L284" s="34"/>
      <c r="M284" s="34"/>
      <c r="N284" s="34"/>
      <c r="O284" s="34"/>
      <c r="P284" s="33"/>
      <c r="Q284" s="35"/>
      <c r="R284" s="33"/>
      <c r="S284" s="33"/>
      <c r="T284" s="33"/>
      <c r="U284" s="33"/>
      <c r="V284" s="33"/>
      <c r="W284" s="33"/>
    </row>
    <row r="285" customFormat="false" ht="15" hidden="false" customHeight="false" outlineLevel="0" collapsed="false">
      <c r="A285" s="33"/>
      <c r="B285" s="33"/>
      <c r="C285" s="33"/>
      <c r="D285" s="33"/>
      <c r="E285" s="33"/>
      <c r="F285" s="33"/>
      <c r="G285" s="33"/>
      <c r="H285" s="33"/>
      <c r="I285" s="33"/>
      <c r="J285" s="33"/>
      <c r="K285" s="33"/>
      <c r="L285" s="34"/>
      <c r="M285" s="34"/>
      <c r="N285" s="34"/>
      <c r="O285" s="34"/>
      <c r="P285" s="33"/>
      <c r="Q285" s="35"/>
      <c r="R285" s="33"/>
      <c r="S285" s="33"/>
      <c r="T285" s="33"/>
      <c r="U285" s="33"/>
      <c r="V285" s="33"/>
      <c r="W285" s="33"/>
    </row>
    <row r="286" customFormat="false" ht="15" hidden="false" customHeight="false" outlineLevel="0" collapsed="false">
      <c r="A286" s="33"/>
      <c r="B286" s="33"/>
      <c r="C286" s="33"/>
      <c r="D286" s="33"/>
      <c r="E286" s="33"/>
      <c r="F286" s="33"/>
      <c r="G286" s="33"/>
      <c r="H286" s="33"/>
      <c r="I286" s="33"/>
      <c r="J286" s="33"/>
      <c r="K286" s="33"/>
      <c r="L286" s="34"/>
      <c r="M286" s="34"/>
      <c r="N286" s="34"/>
      <c r="O286" s="34"/>
      <c r="P286" s="33"/>
      <c r="Q286" s="35"/>
      <c r="R286" s="33"/>
      <c r="S286" s="33"/>
      <c r="T286" s="33"/>
      <c r="U286" s="33"/>
      <c r="V286" s="33"/>
      <c r="W286" s="33"/>
    </row>
    <row r="287" customFormat="false" ht="15" hidden="false" customHeight="false" outlineLevel="0" collapsed="false">
      <c r="A287" s="33"/>
      <c r="B287" s="33"/>
      <c r="C287" s="33"/>
      <c r="D287" s="33"/>
      <c r="E287" s="33"/>
      <c r="F287" s="33"/>
      <c r="G287" s="33"/>
      <c r="H287" s="33"/>
      <c r="I287" s="33"/>
      <c r="J287" s="33"/>
      <c r="K287" s="33"/>
      <c r="L287" s="34"/>
      <c r="M287" s="34"/>
      <c r="N287" s="34"/>
      <c r="O287" s="34"/>
      <c r="P287" s="33"/>
      <c r="Q287" s="35"/>
      <c r="R287" s="33"/>
      <c r="S287" s="33"/>
      <c r="T287" s="33"/>
      <c r="U287" s="33"/>
      <c r="V287" s="33"/>
      <c r="W287" s="33"/>
    </row>
    <row r="288" customFormat="false" ht="15" hidden="false" customHeight="false" outlineLevel="0" collapsed="false">
      <c r="A288" s="33"/>
      <c r="B288" s="33"/>
      <c r="C288" s="33"/>
      <c r="D288" s="33"/>
      <c r="E288" s="33"/>
      <c r="F288" s="33"/>
      <c r="G288" s="33"/>
      <c r="H288" s="33"/>
      <c r="I288" s="33"/>
      <c r="J288" s="33"/>
      <c r="K288" s="33"/>
      <c r="L288" s="34"/>
      <c r="M288" s="34"/>
      <c r="N288" s="34"/>
      <c r="O288" s="34"/>
      <c r="P288" s="33"/>
      <c r="Q288" s="35"/>
      <c r="R288" s="33"/>
      <c r="S288" s="33"/>
      <c r="T288" s="33"/>
      <c r="U288" s="33"/>
      <c r="V288" s="33"/>
      <c r="W288" s="33"/>
    </row>
    <row r="289" customFormat="false" ht="15" hidden="false" customHeight="false" outlineLevel="0" collapsed="false">
      <c r="A289" s="33"/>
      <c r="B289" s="33"/>
      <c r="C289" s="33"/>
      <c r="D289" s="33"/>
      <c r="E289" s="33"/>
      <c r="F289" s="33"/>
      <c r="G289" s="33"/>
      <c r="H289" s="33"/>
      <c r="I289" s="33"/>
      <c r="J289" s="33"/>
      <c r="K289" s="33"/>
      <c r="L289" s="34"/>
      <c r="M289" s="34"/>
      <c r="N289" s="34"/>
      <c r="O289" s="34"/>
      <c r="P289" s="33"/>
      <c r="Q289" s="35"/>
      <c r="R289" s="33"/>
      <c r="S289" s="33"/>
      <c r="T289" s="33"/>
      <c r="U289" s="33"/>
      <c r="V289" s="33"/>
      <c r="W289" s="33"/>
    </row>
    <row r="290" customFormat="false" ht="15" hidden="false" customHeight="false" outlineLevel="0" collapsed="false">
      <c r="A290" s="33"/>
      <c r="B290" s="33"/>
      <c r="C290" s="33"/>
      <c r="D290" s="33"/>
      <c r="E290" s="33"/>
      <c r="F290" s="33"/>
      <c r="G290" s="33"/>
      <c r="H290" s="33"/>
      <c r="I290" s="33"/>
      <c r="J290" s="33"/>
      <c r="K290" s="33"/>
      <c r="L290" s="34"/>
      <c r="M290" s="34"/>
      <c r="N290" s="34"/>
      <c r="O290" s="34"/>
      <c r="P290" s="33"/>
      <c r="Q290" s="35"/>
      <c r="R290" s="33"/>
      <c r="S290" s="33"/>
      <c r="T290" s="33"/>
      <c r="U290" s="33"/>
      <c r="V290" s="33"/>
      <c r="W290" s="33"/>
    </row>
    <row r="291" customFormat="false" ht="15" hidden="false" customHeight="false" outlineLevel="0" collapsed="false">
      <c r="A291" s="33"/>
      <c r="B291" s="33"/>
      <c r="C291" s="33"/>
      <c r="D291" s="33"/>
      <c r="E291" s="33"/>
      <c r="F291" s="33"/>
      <c r="G291" s="33"/>
      <c r="H291" s="33"/>
      <c r="I291" s="33"/>
      <c r="J291" s="33"/>
      <c r="K291" s="33"/>
      <c r="L291" s="34"/>
      <c r="M291" s="34"/>
      <c r="N291" s="34"/>
      <c r="O291" s="34"/>
      <c r="P291" s="33"/>
      <c r="Q291" s="35"/>
      <c r="R291" s="33"/>
      <c r="S291" s="33"/>
      <c r="T291" s="33"/>
      <c r="U291" s="33"/>
      <c r="V291" s="33"/>
      <c r="W291" s="33"/>
    </row>
    <row r="292" customFormat="false" ht="15" hidden="false" customHeight="false" outlineLevel="0" collapsed="false">
      <c r="A292" s="33"/>
      <c r="B292" s="33"/>
      <c r="C292" s="33"/>
      <c r="D292" s="33"/>
      <c r="E292" s="33"/>
      <c r="F292" s="33"/>
      <c r="G292" s="33"/>
      <c r="H292" s="33"/>
      <c r="I292" s="33"/>
      <c r="J292" s="33"/>
      <c r="K292" s="33"/>
      <c r="L292" s="34"/>
      <c r="M292" s="34"/>
      <c r="N292" s="34"/>
      <c r="O292" s="34"/>
      <c r="P292" s="33"/>
      <c r="Q292" s="35"/>
      <c r="R292" s="33"/>
      <c r="S292" s="33"/>
      <c r="T292" s="33"/>
      <c r="U292" s="33"/>
      <c r="V292" s="33"/>
      <c r="W292" s="33"/>
    </row>
    <row r="293" customFormat="false" ht="15" hidden="false" customHeight="false" outlineLevel="0" collapsed="false">
      <c r="A293" s="33"/>
      <c r="B293" s="33"/>
      <c r="C293" s="33"/>
      <c r="D293" s="33"/>
      <c r="E293" s="33"/>
      <c r="F293" s="33"/>
      <c r="G293" s="33"/>
      <c r="H293" s="33"/>
      <c r="I293" s="33"/>
      <c r="J293" s="33"/>
      <c r="K293" s="33"/>
      <c r="L293" s="34"/>
      <c r="M293" s="34"/>
      <c r="N293" s="34"/>
      <c r="O293" s="34"/>
      <c r="P293" s="33"/>
      <c r="Q293" s="35"/>
      <c r="R293" s="33"/>
      <c r="S293" s="33"/>
      <c r="T293" s="33"/>
      <c r="U293" s="33"/>
      <c r="V293" s="33"/>
      <c r="W293" s="33"/>
    </row>
    <row r="294" customFormat="false" ht="15" hidden="false" customHeight="false" outlineLevel="0" collapsed="false">
      <c r="A294" s="33"/>
      <c r="B294" s="33"/>
      <c r="C294" s="33"/>
      <c r="D294" s="33"/>
      <c r="E294" s="33"/>
      <c r="F294" s="33"/>
      <c r="G294" s="33"/>
      <c r="H294" s="33"/>
      <c r="I294" s="33"/>
      <c r="J294" s="33"/>
      <c r="K294" s="33"/>
      <c r="L294" s="34"/>
      <c r="M294" s="34"/>
      <c r="N294" s="34"/>
      <c r="O294" s="34"/>
      <c r="P294" s="33"/>
      <c r="Q294" s="35"/>
      <c r="R294" s="33"/>
      <c r="S294" s="33"/>
      <c r="T294" s="33"/>
      <c r="U294" s="33"/>
      <c r="V294" s="33"/>
      <c r="W294" s="33"/>
    </row>
    <row r="295" customFormat="false" ht="15" hidden="false" customHeight="false" outlineLevel="0" collapsed="false">
      <c r="A295" s="33"/>
      <c r="B295" s="33"/>
      <c r="C295" s="33"/>
      <c r="D295" s="33"/>
      <c r="E295" s="33"/>
      <c r="F295" s="33"/>
      <c r="G295" s="33"/>
      <c r="H295" s="33"/>
      <c r="I295" s="33"/>
      <c r="J295" s="33"/>
      <c r="K295" s="33"/>
      <c r="L295" s="34"/>
      <c r="M295" s="34"/>
      <c r="N295" s="34"/>
      <c r="O295" s="34"/>
      <c r="P295" s="33"/>
      <c r="Q295" s="35"/>
      <c r="R295" s="33"/>
      <c r="S295" s="33"/>
      <c r="T295" s="33"/>
      <c r="U295" s="33"/>
      <c r="V295" s="33"/>
      <c r="W295" s="33"/>
    </row>
    <row r="296" customFormat="false" ht="15" hidden="false" customHeight="false" outlineLevel="0" collapsed="false">
      <c r="A296" s="33"/>
      <c r="B296" s="33"/>
      <c r="C296" s="33"/>
      <c r="D296" s="33"/>
      <c r="E296" s="33"/>
      <c r="F296" s="33"/>
      <c r="G296" s="33"/>
      <c r="H296" s="33"/>
      <c r="I296" s="33"/>
      <c r="J296" s="33"/>
      <c r="K296" s="33"/>
      <c r="L296" s="34"/>
      <c r="M296" s="34"/>
      <c r="N296" s="34"/>
      <c r="O296" s="34"/>
      <c r="P296" s="33"/>
      <c r="Q296" s="35"/>
      <c r="R296" s="33"/>
      <c r="S296" s="33"/>
      <c r="T296" s="33"/>
      <c r="U296" s="33"/>
      <c r="V296" s="33"/>
      <c r="W296" s="33"/>
    </row>
    <row r="297" customFormat="false" ht="15" hidden="false" customHeight="false" outlineLevel="0" collapsed="false">
      <c r="A297" s="33"/>
      <c r="B297" s="33"/>
      <c r="C297" s="33"/>
      <c r="D297" s="33"/>
      <c r="E297" s="33"/>
      <c r="F297" s="33"/>
      <c r="G297" s="33"/>
      <c r="H297" s="33"/>
      <c r="I297" s="33"/>
      <c r="J297" s="33"/>
      <c r="K297" s="33"/>
      <c r="L297" s="34"/>
      <c r="M297" s="34"/>
      <c r="N297" s="34"/>
      <c r="O297" s="34"/>
      <c r="P297" s="33"/>
      <c r="Q297" s="35"/>
      <c r="R297" s="33"/>
      <c r="S297" s="33"/>
      <c r="T297" s="33"/>
      <c r="U297" s="33"/>
      <c r="V297" s="33"/>
      <c r="W297" s="33"/>
    </row>
    <row r="298" customFormat="false" ht="15" hidden="false" customHeight="false" outlineLevel="0" collapsed="false">
      <c r="A298" s="33"/>
      <c r="B298" s="33"/>
      <c r="C298" s="33"/>
      <c r="D298" s="33"/>
      <c r="E298" s="33"/>
      <c r="F298" s="33"/>
      <c r="G298" s="33"/>
      <c r="H298" s="33"/>
      <c r="I298" s="33"/>
      <c r="J298" s="33"/>
      <c r="K298" s="33"/>
      <c r="L298" s="34"/>
      <c r="M298" s="34"/>
      <c r="N298" s="34"/>
      <c r="O298" s="34"/>
      <c r="P298" s="33"/>
      <c r="Q298" s="35"/>
      <c r="R298" s="33"/>
      <c r="S298" s="33"/>
      <c r="T298" s="33"/>
      <c r="U298" s="33"/>
      <c r="V298" s="33"/>
      <c r="W298" s="33"/>
    </row>
    <row r="299" customFormat="false" ht="15" hidden="false" customHeight="false" outlineLevel="0" collapsed="false">
      <c r="A299" s="33"/>
      <c r="B299" s="33"/>
      <c r="C299" s="33"/>
      <c r="D299" s="33"/>
      <c r="E299" s="33"/>
      <c r="F299" s="33"/>
      <c r="G299" s="33"/>
      <c r="H299" s="33"/>
      <c r="I299" s="33"/>
      <c r="J299" s="33"/>
      <c r="K299" s="33"/>
      <c r="L299" s="34"/>
      <c r="M299" s="34"/>
      <c r="N299" s="34"/>
      <c r="O299" s="34"/>
      <c r="P299" s="33"/>
      <c r="Q299" s="35"/>
      <c r="R299" s="33"/>
      <c r="S299" s="33"/>
      <c r="T299" s="33"/>
      <c r="U299" s="33"/>
      <c r="V299" s="33"/>
      <c r="W299" s="33"/>
    </row>
    <row r="300" customFormat="false" ht="15" hidden="false" customHeight="false" outlineLevel="0" collapsed="false">
      <c r="A300" s="33"/>
      <c r="B300" s="33"/>
      <c r="C300" s="33"/>
      <c r="D300" s="33"/>
      <c r="E300" s="33"/>
      <c r="F300" s="33"/>
      <c r="G300" s="33"/>
      <c r="H300" s="33"/>
      <c r="I300" s="33"/>
      <c r="J300" s="33"/>
      <c r="K300" s="33"/>
      <c r="L300" s="34"/>
      <c r="M300" s="34"/>
      <c r="N300" s="34"/>
      <c r="O300" s="34"/>
      <c r="P300" s="33"/>
      <c r="Q300" s="35"/>
      <c r="R300" s="33"/>
      <c r="S300" s="33"/>
      <c r="T300" s="33"/>
      <c r="U300" s="33"/>
      <c r="V300" s="33"/>
      <c r="W300" s="33"/>
    </row>
  </sheetData>
  <autoFilter ref="A4:W11"/>
  <mergeCells count="6">
    <mergeCell ref="A3:C3"/>
    <mergeCell ref="D3:H3"/>
    <mergeCell ref="I3:O3"/>
    <mergeCell ref="P3:R3"/>
    <mergeCell ref="S3:U3"/>
    <mergeCell ref="V3:W3"/>
  </mergeCells>
  <conditionalFormatting sqref="P5:P300">
    <cfRule type="expression" priority="2" aboveAverage="0" equalAverage="0" bottom="0" percent="0" rank="0" text="" dxfId="5">
      <formula>$P5="AVL"</formula>
    </cfRule>
    <cfRule type="expression" priority="3" aboveAverage="0" equalAverage="0" bottom="0" percent="0" rank="0" text="" dxfId="6">
      <formula>$P5="Qualified"</formula>
    </cfRule>
    <cfRule type="expression" priority="4" aboveAverage="0" equalAverage="0" bottom="0" percent="0" rank="0" text="" dxfId="7">
      <formula>$P5="Prequalified"</formula>
    </cfRule>
    <cfRule type="expression" priority="5" aboveAverage="0" equalAverage="0" bottom="0" percent="0" rank="0" text="" dxfId="8">
      <formula>$P5="On Hold"</formula>
    </cfRule>
    <cfRule type="expression" priority="6" aboveAverage="0" equalAverage="0" bottom="0" percent="0" rank="0" text="" dxfId="9">
      <formula>$P5="Disqualified"</formula>
    </cfRule>
  </conditionalFormatting>
  <conditionalFormatting sqref="W5:W300">
    <cfRule type="expression" priority="7" aboveAverage="0" equalAverage="0" bottom="0" percent="0" rank="0" text="" dxfId="9">
      <formula>$W5="High"</formula>
    </cfRule>
    <cfRule type="expression" priority="8" aboveAverage="0" equalAverage="0" bottom="0" percent="0" rank="0" text="" dxfId="10">
      <formula>$W5="FEOC Review"</formula>
    </cfRule>
    <cfRule type="expression" priority="9" aboveAverage="0" equalAverage="0" bottom="0" percent="0" rank="0" text="" dxfId="8">
      <formula>$W5="Medium"</formula>
    </cfRule>
    <cfRule type="expression" priority="10" aboveAverage="0" equalAverage="0" bottom="0" percent="0" rank="0" text="" dxfId="5">
      <formula>$W5="Low"</formula>
    </cfRule>
  </conditionalFormatting>
  <dataValidations count="5">
    <dataValidation allowBlank="true" error="Pick a value from the list (edit the Lists tab to change options)." errorStyle="stop" errorTitle="Invalid entry" operator="between" showDropDown="false" showErrorMessage="true" showInputMessage="false" sqref="P5:P300" type="list">
      <formula1>lst_status</formula1>
      <formula2>0</formula2>
    </dataValidation>
    <dataValidation allowBlank="true" error="Pick a value from the list (edit the Lists tab to change options)." errorStyle="stop" errorTitle="Invalid entry" operator="between" showDropDown="false" showErrorMessage="true" showInputMessage="false" sqref="R5:R300" type="list">
      <formula1>lst_rfx</formula1>
      <formula2>0</formula2>
    </dataValidation>
    <dataValidation allowBlank="true" error="Pick a value from the list (edit the Lists tab to change options)." errorStyle="stop" errorTitle="Invalid entry" operator="between" showDropDown="false" showErrorMessage="true" showInputMessage="false" sqref="T5:T300" type="list">
      <formula1>lst_fin</formula1>
      <formula2>0</formula2>
    </dataValidation>
    <dataValidation allowBlank="true" error="Pick a value from the list (edit the Lists tab to change options)." errorStyle="stop" errorTitle="Invalid entry" operator="between" showDropDown="false" showErrorMessage="true" showInputMessage="false" sqref="W5:W300" type="list">
      <formula1>lst_scr</formula1>
      <formula2>0</formula2>
    </dataValidation>
    <dataValidation allowBlank="true" error="Enter a date (yyyy-mm-dd)." errorStyle="stop" operator="greaterThan" showDropDown="false" showErrorMessage="true" showInputMessage="false" sqref="Q5:Q300" type="date">
      <formula1>DATE(2020,1,1)</formula1>
      <formula2>0</formula2>
    </dataValidation>
  </dataValidations>
  <hyperlinks>
    <hyperlink ref="I5" r:id="rId2" display="https://www.eaton.com/us/en-us.html"/>
    <hyperlink ref="I6" r:id="rId3" display="https://www.se.com/us/en/"/>
    <hyperlink ref="I7" r:id="rId4" display="https://electrification.us.abb.com"/>
    <hyperlink ref="I8" r:id="rId5" display="https://www.siemens.com/us/en.html"/>
    <hyperlink ref="I9" r:id="rId6" display="https://www.powellind.com"/>
    <hyperlink ref="K9" r:id="rId7" display="https://www.powellind.com/contact"/>
    <hyperlink ref="I10" r:id="rId8" display="https://www.sandc.com"/>
    <hyperlink ref="I11" r:id="rId9" display="https://www.gwelectric.c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0"/>
  <legacyDrawing r:id="rId1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C8A"/>
    <pageSetUpPr fitToPage="false"/>
  </sheetPr>
  <dimension ref="A1:W30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40"/>
    <col collapsed="false" customWidth="true" hidden="false" outlineLevel="0" max="4" min="4" style="0" width="15"/>
    <col collapsed="false" customWidth="true" hidden="false" outlineLevel="0" max="5" min="5" style="0" width="11"/>
    <col collapsed="false" customWidth="true" hidden="false" outlineLevel="0" max="6" min="6" style="0" width="13"/>
    <col collapsed="false" customWidth="true" hidden="false" outlineLevel="0" max="7" min="7" style="0" width="18"/>
    <col collapsed="false" customWidth="true" hidden="false" outlineLevel="0" max="9" min="8" style="0" width="28"/>
    <col collapsed="false" customWidth="true" hidden="false" outlineLevel="0" max="10" min="10" style="0" width="18"/>
    <col collapsed="false" customWidth="true" hidden="false" outlineLevel="0" max="11" min="11" style="0" width="28"/>
    <col collapsed="false" customWidth="true" hidden="false" outlineLevel="0" max="12" min="12" style="0" width="20"/>
    <col collapsed="false" customWidth="true" hidden="false" outlineLevel="0" max="13" min="13" style="0" width="18"/>
    <col collapsed="false" customWidth="true" hidden="false" outlineLevel="0" max="14" min="14" style="0" width="24"/>
    <col collapsed="false" customWidth="true" hidden="false" outlineLevel="0" max="16" min="15" style="0" width="15"/>
    <col collapsed="false" customWidth="true" hidden="false" outlineLevel="0" max="17" min="17" style="0" width="12"/>
    <col collapsed="false" customWidth="true" hidden="false" outlineLevel="0" max="18" min="18" style="0" width="14"/>
    <col collapsed="false" customWidth="true" hidden="false" outlineLevel="0" max="19" min="19" style="0" width="24"/>
    <col collapsed="false" customWidth="true" hidden="false" outlineLevel="0" max="20" min="20" style="0" width="13"/>
    <col collapsed="false" customWidth="true" hidden="false" outlineLevel="0" max="22" min="21" style="0" width="45"/>
    <col collapsed="false" customWidth="true" hidden="false" outlineLevel="0" max="23" min="23" style="0" width="13"/>
  </cols>
  <sheetData>
    <row r="1" customFormat="false" ht="17.35" hidden="false" customHeight="false" outlineLevel="0" collapsed="false">
      <c r="A1" s="16" t="s">
        <v>876</v>
      </c>
    </row>
    <row r="2" customFormat="false" ht="15" hidden="false" customHeight="false" outlineLevel="0" collapsed="false">
      <c r="A2" s="2" t="s">
        <v>87</v>
      </c>
    </row>
    <row r="3" customFormat="false" ht="15" hidden="false" customHeight="false" outlineLevel="0" collapsed="false">
      <c r="A3" s="22" t="s">
        <v>58</v>
      </c>
      <c r="B3" s="22"/>
      <c r="C3" s="22"/>
      <c r="D3" s="23" t="s">
        <v>60</v>
      </c>
      <c r="E3" s="23"/>
      <c r="F3" s="23"/>
      <c r="G3" s="23"/>
      <c r="H3" s="23"/>
      <c r="I3" s="24" t="s">
        <v>61</v>
      </c>
      <c r="J3" s="24"/>
      <c r="K3" s="24"/>
      <c r="L3" s="24"/>
      <c r="M3" s="24"/>
      <c r="N3" s="24"/>
      <c r="O3" s="24"/>
      <c r="P3" s="25" t="s">
        <v>62</v>
      </c>
      <c r="Q3" s="25"/>
      <c r="R3" s="25"/>
      <c r="S3" s="26" t="s">
        <v>32</v>
      </c>
      <c r="T3" s="26"/>
      <c r="U3" s="26"/>
      <c r="V3" s="27" t="s">
        <v>34</v>
      </c>
      <c r="W3" s="27"/>
    </row>
    <row r="4" customFormat="false" ht="31.5" hidden="false" customHeight="true" outlineLevel="0" collapsed="false">
      <c r="A4" s="28" t="s">
        <v>88</v>
      </c>
      <c r="B4" s="28" t="s">
        <v>89</v>
      </c>
      <c r="C4" s="28" t="s">
        <v>877</v>
      </c>
      <c r="D4" s="28" t="s">
        <v>91</v>
      </c>
      <c r="E4" s="28" t="s">
        <v>92</v>
      </c>
      <c r="F4" s="28" t="s">
        <v>93</v>
      </c>
      <c r="G4" s="28" t="s">
        <v>94</v>
      </c>
      <c r="H4" s="28" t="s">
        <v>95</v>
      </c>
      <c r="I4" s="28" t="s">
        <v>96</v>
      </c>
      <c r="J4" s="28" t="s">
        <v>97</v>
      </c>
      <c r="K4" s="28" t="s">
        <v>98</v>
      </c>
      <c r="L4" s="28" t="s">
        <v>99</v>
      </c>
      <c r="M4" s="28" t="s">
        <v>100</v>
      </c>
      <c r="N4" s="28" t="s">
        <v>101</v>
      </c>
      <c r="O4" s="28" t="s">
        <v>102</v>
      </c>
      <c r="P4" s="28" t="s">
        <v>103</v>
      </c>
      <c r="Q4" s="28" t="s">
        <v>104</v>
      </c>
      <c r="R4" s="28" t="s">
        <v>105</v>
      </c>
      <c r="S4" s="28" t="s">
        <v>106</v>
      </c>
      <c r="T4" s="28" t="s">
        <v>41</v>
      </c>
      <c r="U4" s="28" t="s">
        <v>107</v>
      </c>
      <c r="V4" s="28" t="s">
        <v>878</v>
      </c>
      <c r="W4" s="28" t="s">
        <v>109</v>
      </c>
    </row>
    <row r="5" customFormat="false" ht="32.8" hidden="false" customHeight="false" outlineLevel="0" collapsed="false">
      <c r="A5" s="29" t="s">
        <v>879</v>
      </c>
      <c r="B5" s="29" t="s">
        <v>880</v>
      </c>
      <c r="C5" s="29" t="s">
        <v>881</v>
      </c>
      <c r="D5" s="29" t="s">
        <v>882</v>
      </c>
      <c r="E5" s="29" t="s">
        <v>883</v>
      </c>
      <c r="F5" s="29" t="s">
        <v>127</v>
      </c>
      <c r="G5" s="29"/>
      <c r="H5" s="29" t="s">
        <v>233</v>
      </c>
      <c r="I5" s="30" t="s">
        <v>884</v>
      </c>
      <c r="J5" s="29" t="s">
        <v>885</v>
      </c>
      <c r="K5" s="30" t="s">
        <v>886</v>
      </c>
      <c r="L5" s="31"/>
      <c r="M5" s="31"/>
      <c r="N5" s="31"/>
      <c r="O5" s="31"/>
      <c r="P5" s="29" t="s">
        <v>19</v>
      </c>
      <c r="Q5" s="32" t="n">
        <v>46300</v>
      </c>
      <c r="R5" s="29" t="s">
        <v>117</v>
      </c>
      <c r="S5" s="29" t="s">
        <v>887</v>
      </c>
      <c r="T5" s="29" t="s">
        <v>119</v>
      </c>
      <c r="U5" s="29" t="s">
        <v>888</v>
      </c>
      <c r="V5" s="29"/>
      <c r="W5" s="29" t="s">
        <v>119</v>
      </c>
    </row>
    <row r="6" customFormat="false" ht="22.35" hidden="false" customHeight="false" outlineLevel="0" collapsed="false">
      <c r="A6" s="29" t="s">
        <v>889</v>
      </c>
      <c r="B6" s="29" t="s">
        <v>890</v>
      </c>
      <c r="C6" s="29" t="s">
        <v>891</v>
      </c>
      <c r="D6" s="29" t="s">
        <v>892</v>
      </c>
      <c r="E6" s="29" t="s">
        <v>259</v>
      </c>
      <c r="F6" s="29" t="s">
        <v>127</v>
      </c>
      <c r="G6" s="29"/>
      <c r="H6" s="29" t="s">
        <v>893</v>
      </c>
      <c r="I6" s="30" t="s">
        <v>894</v>
      </c>
      <c r="J6" s="29" t="s">
        <v>895</v>
      </c>
      <c r="K6" s="30" t="s">
        <v>896</v>
      </c>
      <c r="L6" s="31"/>
      <c r="M6" s="31"/>
      <c r="N6" s="31"/>
      <c r="O6" s="31"/>
      <c r="P6" s="29" t="s">
        <v>19</v>
      </c>
      <c r="Q6" s="32" t="n">
        <v>46300</v>
      </c>
      <c r="R6" s="29" t="s">
        <v>117</v>
      </c>
      <c r="S6" s="29" t="s">
        <v>461</v>
      </c>
      <c r="T6" s="29" t="s">
        <v>119</v>
      </c>
      <c r="U6" s="29" t="s">
        <v>897</v>
      </c>
      <c r="V6" s="29"/>
      <c r="W6" s="29" t="s">
        <v>119</v>
      </c>
    </row>
    <row r="7" customFormat="false" ht="32.8" hidden="false" customHeight="false" outlineLevel="0" collapsed="false">
      <c r="A7" s="29" t="s">
        <v>898</v>
      </c>
      <c r="B7" s="29" t="s">
        <v>899</v>
      </c>
      <c r="C7" s="29" t="s">
        <v>900</v>
      </c>
      <c r="D7" s="29" t="s">
        <v>901</v>
      </c>
      <c r="E7" s="29" t="s">
        <v>883</v>
      </c>
      <c r="F7" s="29" t="s">
        <v>127</v>
      </c>
      <c r="G7" s="29"/>
      <c r="H7" s="29"/>
      <c r="I7" s="30" t="s">
        <v>902</v>
      </c>
      <c r="J7" s="29" t="s">
        <v>903</v>
      </c>
      <c r="K7" s="30" t="s">
        <v>904</v>
      </c>
      <c r="L7" s="31"/>
      <c r="M7" s="31"/>
      <c r="N7" s="31"/>
      <c r="O7" s="31"/>
      <c r="P7" s="29" t="s">
        <v>19</v>
      </c>
      <c r="Q7" s="32" t="n">
        <v>46300</v>
      </c>
      <c r="R7" s="29" t="s">
        <v>117</v>
      </c>
      <c r="S7" s="29" t="s">
        <v>905</v>
      </c>
      <c r="T7" s="29" t="s">
        <v>119</v>
      </c>
      <c r="U7" s="29" t="s">
        <v>906</v>
      </c>
      <c r="V7" s="29"/>
      <c r="W7" s="29" t="s">
        <v>119</v>
      </c>
    </row>
    <row r="8" customFormat="false" ht="22.35" hidden="false" customHeight="false" outlineLevel="0" collapsed="false">
      <c r="A8" s="29" t="s">
        <v>907</v>
      </c>
      <c r="B8" s="29" t="s">
        <v>256</v>
      </c>
      <c r="C8" s="29" t="s">
        <v>908</v>
      </c>
      <c r="D8" s="29" t="s">
        <v>258</v>
      </c>
      <c r="E8" s="29" t="s">
        <v>259</v>
      </c>
      <c r="F8" s="29" t="s">
        <v>127</v>
      </c>
      <c r="G8" s="29"/>
      <c r="H8" s="29" t="s">
        <v>260</v>
      </c>
      <c r="I8" s="30" t="s">
        <v>502</v>
      </c>
      <c r="J8" s="29" t="s">
        <v>503</v>
      </c>
      <c r="K8" s="30" t="s">
        <v>262</v>
      </c>
      <c r="L8" s="31"/>
      <c r="M8" s="31"/>
      <c r="N8" s="31"/>
      <c r="O8" s="31"/>
      <c r="P8" s="29" t="s">
        <v>19</v>
      </c>
      <c r="Q8" s="32" t="n">
        <v>46300</v>
      </c>
      <c r="R8" s="29" t="s">
        <v>117</v>
      </c>
      <c r="S8" s="29" t="s">
        <v>461</v>
      </c>
      <c r="T8" s="29" t="s">
        <v>119</v>
      </c>
      <c r="U8" s="29" t="s">
        <v>909</v>
      </c>
      <c r="V8" s="29"/>
      <c r="W8" s="29" t="s">
        <v>119</v>
      </c>
    </row>
    <row r="9" customFormat="false" ht="32.8" hidden="false" customHeight="false" outlineLevel="0" collapsed="false">
      <c r="A9" s="29" t="s">
        <v>910</v>
      </c>
      <c r="B9" s="29" t="s">
        <v>911</v>
      </c>
      <c r="C9" s="29" t="s">
        <v>912</v>
      </c>
      <c r="D9" s="29" t="s">
        <v>913</v>
      </c>
      <c r="E9" s="29" t="s">
        <v>184</v>
      </c>
      <c r="F9" s="29" t="s">
        <v>127</v>
      </c>
      <c r="G9" s="29"/>
      <c r="H9" s="29" t="s">
        <v>914</v>
      </c>
      <c r="I9" s="30" t="s">
        <v>915</v>
      </c>
      <c r="J9" s="29" t="s">
        <v>916</v>
      </c>
      <c r="K9" s="30" t="s">
        <v>917</v>
      </c>
      <c r="L9" s="31"/>
      <c r="M9" s="31"/>
      <c r="N9" s="31"/>
      <c r="O9" s="31"/>
      <c r="P9" s="29" t="s">
        <v>19</v>
      </c>
      <c r="Q9" s="32" t="n">
        <v>46300</v>
      </c>
      <c r="R9" s="29" t="s">
        <v>117</v>
      </c>
      <c r="S9" s="29" t="s">
        <v>918</v>
      </c>
      <c r="T9" s="29" t="s">
        <v>119</v>
      </c>
      <c r="U9" s="29" t="s">
        <v>919</v>
      </c>
      <c r="V9" s="29"/>
      <c r="W9" s="29" t="s">
        <v>119</v>
      </c>
    </row>
    <row r="10" customFormat="false" ht="22.35" hidden="false" customHeight="false" outlineLevel="0" collapsed="false">
      <c r="A10" s="29" t="s">
        <v>920</v>
      </c>
      <c r="B10" s="29" t="s">
        <v>921</v>
      </c>
      <c r="C10" s="29" t="s">
        <v>922</v>
      </c>
      <c r="D10" s="29" t="s">
        <v>923</v>
      </c>
      <c r="E10" s="29" t="s">
        <v>126</v>
      </c>
      <c r="F10" s="29" t="s">
        <v>127</v>
      </c>
      <c r="G10" s="29"/>
      <c r="H10" s="29" t="s">
        <v>924</v>
      </c>
      <c r="I10" s="30" t="s">
        <v>925</v>
      </c>
      <c r="J10" s="29" t="s">
        <v>926</v>
      </c>
      <c r="K10" s="30" t="s">
        <v>927</v>
      </c>
      <c r="L10" s="31"/>
      <c r="M10" s="31"/>
      <c r="N10" s="31"/>
      <c r="O10" s="31"/>
      <c r="P10" s="29" t="s">
        <v>19</v>
      </c>
      <c r="Q10" s="32" t="n">
        <v>46300</v>
      </c>
      <c r="R10" s="29" t="s">
        <v>117</v>
      </c>
      <c r="S10" s="29" t="s">
        <v>928</v>
      </c>
      <c r="T10" s="29" t="s">
        <v>119</v>
      </c>
      <c r="U10" s="29" t="s">
        <v>929</v>
      </c>
      <c r="V10" s="29"/>
      <c r="W10" s="29" t="s">
        <v>119</v>
      </c>
    </row>
    <row r="11" customFormat="false" ht="32.8" hidden="false" customHeight="false" outlineLevel="0" collapsed="false">
      <c r="A11" s="29" t="s">
        <v>930</v>
      </c>
      <c r="B11" s="29" t="s">
        <v>931</v>
      </c>
      <c r="C11" s="29" t="s">
        <v>932</v>
      </c>
      <c r="D11" s="29" t="s">
        <v>933</v>
      </c>
      <c r="E11" s="29" t="s">
        <v>126</v>
      </c>
      <c r="F11" s="29" t="s">
        <v>127</v>
      </c>
      <c r="G11" s="29"/>
      <c r="H11" s="29"/>
      <c r="I11" s="30" t="s">
        <v>934</v>
      </c>
      <c r="J11" s="29" t="s">
        <v>935</v>
      </c>
      <c r="K11" s="30" t="s">
        <v>936</v>
      </c>
      <c r="L11" s="31"/>
      <c r="M11" s="31"/>
      <c r="N11" s="31"/>
      <c r="O11" s="31"/>
      <c r="P11" s="29" t="s">
        <v>19</v>
      </c>
      <c r="Q11" s="32" t="n">
        <v>46300</v>
      </c>
      <c r="R11" s="29" t="s">
        <v>117</v>
      </c>
      <c r="S11" s="29" t="s">
        <v>937</v>
      </c>
      <c r="T11" s="29" t="s">
        <v>119</v>
      </c>
      <c r="U11" s="29" t="s">
        <v>938</v>
      </c>
      <c r="V11" s="29"/>
      <c r="W11" s="29" t="s">
        <v>119</v>
      </c>
    </row>
    <row r="12" customFormat="false" ht="53.7" hidden="false" customHeight="false" outlineLevel="0" collapsed="false">
      <c r="A12" s="29" t="s">
        <v>939</v>
      </c>
      <c r="B12" s="29" t="s">
        <v>940</v>
      </c>
      <c r="C12" s="29" t="s">
        <v>941</v>
      </c>
      <c r="D12" s="29" t="s">
        <v>942</v>
      </c>
      <c r="E12" s="29" t="s">
        <v>755</v>
      </c>
      <c r="F12" s="29" t="s">
        <v>127</v>
      </c>
      <c r="G12" s="29"/>
      <c r="H12" s="29"/>
      <c r="I12" s="30" t="s">
        <v>943</v>
      </c>
      <c r="J12" s="29"/>
      <c r="K12" s="29"/>
      <c r="L12" s="31"/>
      <c r="M12" s="31"/>
      <c r="N12" s="31"/>
      <c r="O12" s="31"/>
      <c r="P12" s="29" t="s">
        <v>19</v>
      </c>
      <c r="Q12" s="32" t="n">
        <v>46300</v>
      </c>
      <c r="R12" s="29" t="s">
        <v>117</v>
      </c>
      <c r="S12" s="29" t="s">
        <v>944</v>
      </c>
      <c r="T12" s="29" t="s">
        <v>119</v>
      </c>
      <c r="U12" s="29" t="s">
        <v>945</v>
      </c>
      <c r="V12" s="29" t="s">
        <v>946</v>
      </c>
      <c r="W12" s="29" t="s">
        <v>119</v>
      </c>
    </row>
    <row r="13" customFormat="false" ht="15" hidden="false" customHeight="false" outlineLevel="0" collapsed="false">
      <c r="A13" s="29"/>
      <c r="B13" s="29"/>
      <c r="C13" s="29"/>
      <c r="D13" s="29"/>
      <c r="E13" s="29"/>
      <c r="F13" s="29"/>
      <c r="G13" s="29"/>
      <c r="H13" s="29"/>
      <c r="I13" s="29"/>
      <c r="J13" s="29"/>
      <c r="K13" s="29"/>
      <c r="L13" s="31"/>
      <c r="M13" s="31"/>
      <c r="N13" s="31"/>
      <c r="O13" s="31"/>
      <c r="P13" s="29"/>
      <c r="Q13" s="32"/>
      <c r="R13" s="29"/>
      <c r="S13" s="29"/>
      <c r="T13" s="29"/>
      <c r="U13" s="29"/>
      <c r="V13" s="29"/>
      <c r="W13" s="29"/>
    </row>
    <row r="14" customFormat="false" ht="15" hidden="false" customHeight="false" outlineLevel="0" collapsed="false">
      <c r="A14" s="29"/>
      <c r="B14" s="29"/>
      <c r="C14" s="29"/>
      <c r="D14" s="29"/>
      <c r="E14" s="29"/>
      <c r="F14" s="29"/>
      <c r="G14" s="29"/>
      <c r="H14" s="29"/>
      <c r="I14" s="29"/>
      <c r="J14" s="29"/>
      <c r="K14" s="29"/>
      <c r="L14" s="31"/>
      <c r="M14" s="31"/>
      <c r="N14" s="31"/>
      <c r="O14" s="31"/>
      <c r="P14" s="29"/>
      <c r="Q14" s="32"/>
      <c r="R14" s="29"/>
      <c r="S14" s="29"/>
      <c r="T14" s="29"/>
      <c r="U14" s="29"/>
      <c r="V14" s="29"/>
      <c r="W14" s="29"/>
    </row>
    <row r="15" customFormat="false" ht="15" hidden="false" customHeight="false" outlineLevel="0" collapsed="false">
      <c r="A15" s="29"/>
      <c r="B15" s="29"/>
      <c r="C15" s="29"/>
      <c r="D15" s="29"/>
      <c r="E15" s="29"/>
      <c r="F15" s="29"/>
      <c r="G15" s="29"/>
      <c r="H15" s="29"/>
      <c r="I15" s="29"/>
      <c r="J15" s="29"/>
      <c r="K15" s="29"/>
      <c r="L15" s="31"/>
      <c r="M15" s="31"/>
      <c r="N15" s="31"/>
      <c r="O15" s="31"/>
      <c r="P15" s="29"/>
      <c r="Q15" s="32"/>
      <c r="R15" s="29"/>
      <c r="S15" s="29"/>
      <c r="T15" s="29"/>
      <c r="U15" s="29"/>
      <c r="V15" s="29"/>
      <c r="W15" s="29"/>
    </row>
    <row r="16" customFormat="false" ht="15" hidden="false" customHeight="false" outlineLevel="0" collapsed="false">
      <c r="A16" s="29"/>
      <c r="B16" s="29"/>
      <c r="C16" s="29"/>
      <c r="D16" s="29"/>
      <c r="E16" s="29"/>
      <c r="F16" s="29"/>
      <c r="G16" s="29"/>
      <c r="H16" s="29"/>
      <c r="I16" s="29"/>
      <c r="J16" s="29"/>
      <c r="K16" s="29"/>
      <c r="L16" s="31"/>
      <c r="M16" s="31"/>
      <c r="N16" s="31"/>
      <c r="O16" s="31"/>
      <c r="P16" s="29"/>
      <c r="Q16" s="32"/>
      <c r="R16" s="29"/>
      <c r="S16" s="29"/>
      <c r="T16" s="29"/>
      <c r="U16" s="29"/>
      <c r="V16" s="29"/>
      <c r="W16" s="29"/>
    </row>
    <row r="17" customFormat="false" ht="15" hidden="false" customHeight="false" outlineLevel="0" collapsed="false">
      <c r="A17" s="29"/>
      <c r="B17" s="29"/>
      <c r="C17" s="29"/>
      <c r="D17" s="29"/>
      <c r="E17" s="29"/>
      <c r="F17" s="29"/>
      <c r="G17" s="29"/>
      <c r="H17" s="29"/>
      <c r="I17" s="29"/>
      <c r="J17" s="29"/>
      <c r="K17" s="29"/>
      <c r="L17" s="31"/>
      <c r="M17" s="31"/>
      <c r="N17" s="31"/>
      <c r="O17" s="31"/>
      <c r="P17" s="29"/>
      <c r="Q17" s="32"/>
      <c r="R17" s="29"/>
      <c r="S17" s="29"/>
      <c r="T17" s="29"/>
      <c r="U17" s="29"/>
      <c r="V17" s="29"/>
      <c r="W17" s="29"/>
    </row>
    <row r="18" customFormat="false" ht="15" hidden="false" customHeight="false" outlineLevel="0" collapsed="false">
      <c r="A18" s="29"/>
      <c r="B18" s="29"/>
      <c r="C18" s="29"/>
      <c r="D18" s="29"/>
      <c r="E18" s="29"/>
      <c r="F18" s="29"/>
      <c r="G18" s="29"/>
      <c r="H18" s="29"/>
      <c r="I18" s="29"/>
      <c r="J18" s="29"/>
      <c r="K18" s="29"/>
      <c r="L18" s="31"/>
      <c r="M18" s="31"/>
      <c r="N18" s="31"/>
      <c r="O18" s="31"/>
      <c r="P18" s="29"/>
      <c r="Q18" s="32"/>
      <c r="R18" s="29"/>
      <c r="S18" s="29"/>
      <c r="T18" s="29"/>
      <c r="U18" s="29"/>
      <c r="V18" s="29"/>
      <c r="W18" s="29"/>
    </row>
    <row r="19" customFormat="false" ht="15" hidden="false" customHeight="false" outlineLevel="0" collapsed="false">
      <c r="A19" s="29"/>
      <c r="B19" s="29"/>
      <c r="C19" s="29"/>
      <c r="D19" s="29"/>
      <c r="E19" s="29"/>
      <c r="F19" s="29"/>
      <c r="G19" s="29"/>
      <c r="H19" s="29"/>
      <c r="I19" s="29"/>
      <c r="J19" s="29"/>
      <c r="K19" s="29"/>
      <c r="L19" s="31"/>
      <c r="M19" s="31"/>
      <c r="N19" s="31"/>
      <c r="O19" s="31"/>
      <c r="P19" s="29"/>
      <c r="Q19" s="32"/>
      <c r="R19" s="29"/>
      <c r="S19" s="29"/>
      <c r="T19" s="29"/>
      <c r="U19" s="29"/>
      <c r="V19" s="29"/>
      <c r="W19" s="29"/>
    </row>
    <row r="20" customFormat="false" ht="15" hidden="false" customHeight="false" outlineLevel="0" collapsed="false">
      <c r="A20" s="29"/>
      <c r="B20" s="29"/>
      <c r="C20" s="29"/>
      <c r="D20" s="29"/>
      <c r="E20" s="29"/>
      <c r="F20" s="29"/>
      <c r="G20" s="29"/>
      <c r="H20" s="29"/>
      <c r="I20" s="29"/>
      <c r="J20" s="29"/>
      <c r="K20" s="29"/>
      <c r="L20" s="31"/>
      <c r="M20" s="31"/>
      <c r="N20" s="31"/>
      <c r="O20" s="31"/>
      <c r="P20" s="29"/>
      <c r="Q20" s="32"/>
      <c r="R20" s="29"/>
      <c r="S20" s="29"/>
      <c r="T20" s="29"/>
      <c r="U20" s="29"/>
      <c r="V20" s="29"/>
      <c r="W20" s="29"/>
    </row>
    <row r="21" customFormat="false" ht="15" hidden="false" customHeight="false" outlineLevel="0" collapsed="false">
      <c r="A21" s="29"/>
      <c r="B21" s="29"/>
      <c r="C21" s="29"/>
      <c r="D21" s="29"/>
      <c r="E21" s="29"/>
      <c r="F21" s="29"/>
      <c r="G21" s="29"/>
      <c r="H21" s="29"/>
      <c r="I21" s="29"/>
      <c r="J21" s="29"/>
      <c r="K21" s="29"/>
      <c r="L21" s="31"/>
      <c r="M21" s="31"/>
      <c r="N21" s="31"/>
      <c r="O21" s="31"/>
      <c r="P21" s="29"/>
      <c r="Q21" s="32"/>
      <c r="R21" s="29"/>
      <c r="S21" s="29"/>
      <c r="T21" s="29"/>
      <c r="U21" s="29"/>
      <c r="V21" s="29"/>
      <c r="W21" s="29"/>
    </row>
    <row r="22" customFormat="false" ht="15" hidden="false" customHeight="false" outlineLevel="0" collapsed="false">
      <c r="A22" s="29"/>
      <c r="B22" s="29"/>
      <c r="C22" s="29"/>
      <c r="D22" s="29"/>
      <c r="E22" s="29"/>
      <c r="F22" s="29"/>
      <c r="G22" s="29"/>
      <c r="H22" s="29"/>
      <c r="I22" s="29"/>
      <c r="J22" s="29"/>
      <c r="K22" s="29"/>
      <c r="L22" s="31"/>
      <c r="M22" s="31"/>
      <c r="N22" s="31"/>
      <c r="O22" s="31"/>
      <c r="P22" s="29"/>
      <c r="Q22" s="32"/>
      <c r="R22" s="29"/>
      <c r="S22" s="29"/>
      <c r="T22" s="29"/>
      <c r="U22" s="29"/>
      <c r="V22" s="29"/>
      <c r="W22" s="29"/>
    </row>
    <row r="23" customFormat="false" ht="15" hidden="false" customHeight="false" outlineLevel="0" collapsed="false">
      <c r="A23" s="29"/>
      <c r="B23" s="29"/>
      <c r="C23" s="29"/>
      <c r="D23" s="29"/>
      <c r="E23" s="29"/>
      <c r="F23" s="29"/>
      <c r="G23" s="29"/>
      <c r="H23" s="29"/>
      <c r="I23" s="29"/>
      <c r="J23" s="29"/>
      <c r="K23" s="29"/>
      <c r="L23" s="31"/>
      <c r="M23" s="31"/>
      <c r="N23" s="31"/>
      <c r="O23" s="31"/>
      <c r="P23" s="29"/>
      <c r="Q23" s="32"/>
      <c r="R23" s="29"/>
      <c r="S23" s="29"/>
      <c r="T23" s="29"/>
      <c r="U23" s="29"/>
      <c r="V23" s="29"/>
      <c r="W23" s="29"/>
    </row>
    <row r="24" customFormat="false" ht="15" hidden="false" customHeight="false" outlineLevel="0" collapsed="false">
      <c r="A24" s="29"/>
      <c r="B24" s="29"/>
      <c r="C24" s="29"/>
      <c r="D24" s="29"/>
      <c r="E24" s="29"/>
      <c r="F24" s="29"/>
      <c r="G24" s="29"/>
      <c r="H24" s="29"/>
      <c r="I24" s="29"/>
      <c r="J24" s="29"/>
      <c r="K24" s="29"/>
      <c r="L24" s="31"/>
      <c r="M24" s="31"/>
      <c r="N24" s="31"/>
      <c r="O24" s="31"/>
      <c r="P24" s="29"/>
      <c r="Q24" s="32"/>
      <c r="R24" s="29"/>
      <c r="S24" s="29"/>
      <c r="T24" s="29"/>
      <c r="U24" s="29"/>
      <c r="V24" s="29"/>
      <c r="W24" s="29"/>
    </row>
    <row r="25" customFormat="false" ht="15" hidden="false" customHeight="false" outlineLevel="0" collapsed="false">
      <c r="A25" s="29"/>
      <c r="B25" s="29"/>
      <c r="C25" s="29"/>
      <c r="D25" s="29"/>
      <c r="E25" s="29"/>
      <c r="F25" s="29"/>
      <c r="G25" s="29"/>
      <c r="H25" s="29"/>
      <c r="I25" s="29"/>
      <c r="J25" s="29"/>
      <c r="K25" s="29"/>
      <c r="L25" s="31"/>
      <c r="M25" s="31"/>
      <c r="N25" s="31"/>
      <c r="O25" s="31"/>
      <c r="P25" s="29"/>
      <c r="Q25" s="32"/>
      <c r="R25" s="29"/>
      <c r="S25" s="29"/>
      <c r="T25" s="29"/>
      <c r="U25" s="29"/>
      <c r="V25" s="29"/>
      <c r="W25" s="29"/>
    </row>
    <row r="26" customFormat="false" ht="15" hidden="false" customHeight="false" outlineLevel="0" collapsed="false">
      <c r="A26" s="29"/>
      <c r="B26" s="29"/>
      <c r="C26" s="29"/>
      <c r="D26" s="29"/>
      <c r="E26" s="29"/>
      <c r="F26" s="29"/>
      <c r="G26" s="29"/>
      <c r="H26" s="29"/>
      <c r="I26" s="29"/>
      <c r="J26" s="29"/>
      <c r="K26" s="29"/>
      <c r="L26" s="31"/>
      <c r="M26" s="31"/>
      <c r="N26" s="31"/>
      <c r="O26" s="31"/>
      <c r="P26" s="29"/>
      <c r="Q26" s="32"/>
      <c r="R26" s="29"/>
      <c r="S26" s="29"/>
      <c r="T26" s="29"/>
      <c r="U26" s="29"/>
      <c r="V26" s="29"/>
      <c r="W26" s="29"/>
    </row>
    <row r="27" customFormat="false" ht="15" hidden="false" customHeight="false" outlineLevel="0" collapsed="false">
      <c r="A27" s="29"/>
      <c r="B27" s="29"/>
      <c r="C27" s="29"/>
      <c r="D27" s="29"/>
      <c r="E27" s="29"/>
      <c r="F27" s="29"/>
      <c r="G27" s="29"/>
      <c r="H27" s="29"/>
      <c r="I27" s="29"/>
      <c r="J27" s="29"/>
      <c r="K27" s="29"/>
      <c r="L27" s="31"/>
      <c r="M27" s="31"/>
      <c r="N27" s="31"/>
      <c r="O27" s="31"/>
      <c r="P27" s="29"/>
      <c r="Q27" s="32"/>
      <c r="R27" s="29"/>
      <c r="S27" s="29"/>
      <c r="T27" s="29"/>
      <c r="U27" s="29"/>
      <c r="V27" s="29"/>
      <c r="W27" s="29"/>
    </row>
    <row r="28" customFormat="false" ht="15" hidden="false" customHeight="false" outlineLevel="0" collapsed="false">
      <c r="A28" s="33"/>
      <c r="B28" s="33"/>
      <c r="C28" s="33"/>
      <c r="D28" s="33"/>
      <c r="E28" s="33"/>
      <c r="F28" s="33"/>
      <c r="G28" s="33"/>
      <c r="H28" s="33"/>
      <c r="I28" s="33"/>
      <c r="J28" s="33"/>
      <c r="K28" s="33"/>
      <c r="L28" s="34"/>
      <c r="M28" s="34"/>
      <c r="N28" s="34"/>
      <c r="O28" s="34"/>
      <c r="P28" s="33"/>
      <c r="Q28" s="35"/>
      <c r="R28" s="33"/>
      <c r="S28" s="33"/>
      <c r="T28" s="33"/>
      <c r="U28" s="33"/>
      <c r="V28" s="33"/>
      <c r="W28" s="33"/>
    </row>
    <row r="29" customFormat="false" ht="15" hidden="false" customHeight="false" outlineLevel="0" collapsed="false">
      <c r="A29" s="33"/>
      <c r="B29" s="33"/>
      <c r="C29" s="33"/>
      <c r="D29" s="33"/>
      <c r="E29" s="33"/>
      <c r="F29" s="33"/>
      <c r="G29" s="33"/>
      <c r="H29" s="33"/>
      <c r="I29" s="33"/>
      <c r="J29" s="33"/>
      <c r="K29" s="33"/>
      <c r="L29" s="34"/>
      <c r="M29" s="34"/>
      <c r="N29" s="34"/>
      <c r="O29" s="34"/>
      <c r="P29" s="33"/>
      <c r="Q29" s="35"/>
      <c r="R29" s="33"/>
      <c r="S29" s="33"/>
      <c r="T29" s="33"/>
      <c r="U29" s="33"/>
      <c r="V29" s="33"/>
      <c r="W29" s="33"/>
    </row>
    <row r="30" customFormat="false" ht="15" hidden="false" customHeight="false" outlineLevel="0" collapsed="false">
      <c r="A30" s="33"/>
      <c r="B30" s="33"/>
      <c r="C30" s="33"/>
      <c r="D30" s="33"/>
      <c r="E30" s="33"/>
      <c r="F30" s="33"/>
      <c r="G30" s="33"/>
      <c r="H30" s="33"/>
      <c r="I30" s="33"/>
      <c r="J30" s="33"/>
      <c r="K30" s="33"/>
      <c r="L30" s="34"/>
      <c r="M30" s="34"/>
      <c r="N30" s="34"/>
      <c r="O30" s="34"/>
      <c r="P30" s="33"/>
      <c r="Q30" s="35"/>
      <c r="R30" s="33"/>
      <c r="S30" s="33"/>
      <c r="T30" s="33"/>
      <c r="U30" s="33"/>
      <c r="V30" s="33"/>
      <c r="W30" s="33"/>
    </row>
    <row r="31" customFormat="false" ht="15" hidden="false" customHeight="false" outlineLevel="0" collapsed="false">
      <c r="A31" s="33"/>
      <c r="B31" s="33"/>
      <c r="C31" s="33"/>
      <c r="D31" s="33"/>
      <c r="E31" s="33"/>
      <c r="F31" s="33"/>
      <c r="G31" s="33"/>
      <c r="H31" s="33"/>
      <c r="I31" s="33"/>
      <c r="J31" s="33"/>
      <c r="K31" s="33"/>
      <c r="L31" s="34"/>
      <c r="M31" s="34"/>
      <c r="N31" s="34"/>
      <c r="O31" s="34"/>
      <c r="P31" s="33"/>
      <c r="Q31" s="35"/>
      <c r="R31" s="33"/>
      <c r="S31" s="33"/>
      <c r="T31" s="33"/>
      <c r="U31" s="33"/>
      <c r="V31" s="33"/>
      <c r="W31" s="33"/>
    </row>
    <row r="32" customFormat="false" ht="15" hidden="false" customHeight="false" outlineLevel="0" collapsed="false">
      <c r="A32" s="33"/>
      <c r="B32" s="33"/>
      <c r="C32" s="33"/>
      <c r="D32" s="33"/>
      <c r="E32" s="33"/>
      <c r="F32" s="33"/>
      <c r="G32" s="33"/>
      <c r="H32" s="33"/>
      <c r="I32" s="33"/>
      <c r="J32" s="33"/>
      <c r="K32" s="33"/>
      <c r="L32" s="34"/>
      <c r="M32" s="34"/>
      <c r="N32" s="34"/>
      <c r="O32" s="34"/>
      <c r="P32" s="33"/>
      <c r="Q32" s="35"/>
      <c r="R32" s="33"/>
      <c r="S32" s="33"/>
      <c r="T32" s="33"/>
      <c r="U32" s="33"/>
      <c r="V32" s="33"/>
      <c r="W32" s="33"/>
    </row>
    <row r="33" customFormat="false" ht="15" hidden="false" customHeight="false" outlineLevel="0" collapsed="false">
      <c r="A33" s="33"/>
      <c r="B33" s="33"/>
      <c r="C33" s="33"/>
      <c r="D33" s="33"/>
      <c r="E33" s="33"/>
      <c r="F33" s="33"/>
      <c r="G33" s="33"/>
      <c r="H33" s="33"/>
      <c r="I33" s="33"/>
      <c r="J33" s="33"/>
      <c r="K33" s="33"/>
      <c r="L33" s="34"/>
      <c r="M33" s="34"/>
      <c r="N33" s="34"/>
      <c r="O33" s="34"/>
      <c r="P33" s="33"/>
      <c r="Q33" s="35"/>
      <c r="R33" s="33"/>
      <c r="S33" s="33"/>
      <c r="T33" s="33"/>
      <c r="U33" s="33"/>
      <c r="V33" s="33"/>
      <c r="W33" s="33"/>
    </row>
    <row r="34" customFormat="false" ht="15" hidden="false" customHeight="false" outlineLevel="0" collapsed="false">
      <c r="A34" s="33"/>
      <c r="B34" s="33"/>
      <c r="C34" s="33"/>
      <c r="D34" s="33"/>
      <c r="E34" s="33"/>
      <c r="F34" s="33"/>
      <c r="G34" s="33"/>
      <c r="H34" s="33"/>
      <c r="I34" s="33"/>
      <c r="J34" s="33"/>
      <c r="K34" s="33"/>
      <c r="L34" s="34"/>
      <c r="M34" s="34"/>
      <c r="N34" s="34"/>
      <c r="O34" s="34"/>
      <c r="P34" s="33"/>
      <c r="Q34" s="35"/>
      <c r="R34" s="33"/>
      <c r="S34" s="33"/>
      <c r="T34" s="33"/>
      <c r="U34" s="33"/>
      <c r="V34" s="33"/>
      <c r="W34" s="33"/>
    </row>
    <row r="35" customFormat="false" ht="15" hidden="false" customHeight="false" outlineLevel="0" collapsed="false">
      <c r="A35" s="33"/>
      <c r="B35" s="33"/>
      <c r="C35" s="33"/>
      <c r="D35" s="33"/>
      <c r="E35" s="33"/>
      <c r="F35" s="33"/>
      <c r="G35" s="33"/>
      <c r="H35" s="33"/>
      <c r="I35" s="33"/>
      <c r="J35" s="33"/>
      <c r="K35" s="33"/>
      <c r="L35" s="34"/>
      <c r="M35" s="34"/>
      <c r="N35" s="34"/>
      <c r="O35" s="34"/>
      <c r="P35" s="33"/>
      <c r="Q35" s="35"/>
      <c r="R35" s="33"/>
      <c r="S35" s="33"/>
      <c r="T35" s="33"/>
      <c r="U35" s="33"/>
      <c r="V35" s="33"/>
      <c r="W35" s="33"/>
    </row>
    <row r="36" customFormat="false" ht="15" hidden="false" customHeight="false" outlineLevel="0" collapsed="false">
      <c r="A36" s="33"/>
      <c r="B36" s="33"/>
      <c r="C36" s="33"/>
      <c r="D36" s="33"/>
      <c r="E36" s="33"/>
      <c r="F36" s="33"/>
      <c r="G36" s="33"/>
      <c r="H36" s="33"/>
      <c r="I36" s="33"/>
      <c r="J36" s="33"/>
      <c r="K36" s="33"/>
      <c r="L36" s="34"/>
      <c r="M36" s="34"/>
      <c r="N36" s="34"/>
      <c r="O36" s="34"/>
      <c r="P36" s="33"/>
      <c r="Q36" s="35"/>
      <c r="R36" s="33"/>
      <c r="S36" s="33"/>
      <c r="T36" s="33"/>
      <c r="U36" s="33"/>
      <c r="V36" s="33"/>
      <c r="W36" s="33"/>
    </row>
    <row r="37" customFormat="false" ht="15" hidden="false" customHeight="false" outlineLevel="0" collapsed="false">
      <c r="A37" s="33"/>
      <c r="B37" s="33"/>
      <c r="C37" s="33"/>
      <c r="D37" s="33"/>
      <c r="E37" s="33"/>
      <c r="F37" s="33"/>
      <c r="G37" s="33"/>
      <c r="H37" s="33"/>
      <c r="I37" s="33"/>
      <c r="J37" s="33"/>
      <c r="K37" s="33"/>
      <c r="L37" s="34"/>
      <c r="M37" s="34"/>
      <c r="N37" s="34"/>
      <c r="O37" s="34"/>
      <c r="P37" s="33"/>
      <c r="Q37" s="35"/>
      <c r="R37" s="33"/>
      <c r="S37" s="33"/>
      <c r="T37" s="33"/>
      <c r="U37" s="33"/>
      <c r="V37" s="33"/>
      <c r="W37" s="33"/>
    </row>
    <row r="38" customFormat="false" ht="15" hidden="false" customHeight="false" outlineLevel="0" collapsed="false">
      <c r="A38" s="33"/>
      <c r="B38" s="33"/>
      <c r="C38" s="33"/>
      <c r="D38" s="33"/>
      <c r="E38" s="33"/>
      <c r="F38" s="33"/>
      <c r="G38" s="33"/>
      <c r="H38" s="33"/>
      <c r="I38" s="33"/>
      <c r="J38" s="33"/>
      <c r="K38" s="33"/>
      <c r="L38" s="34"/>
      <c r="M38" s="34"/>
      <c r="N38" s="34"/>
      <c r="O38" s="34"/>
      <c r="P38" s="33"/>
      <c r="Q38" s="35"/>
      <c r="R38" s="33"/>
      <c r="S38" s="33"/>
      <c r="T38" s="33"/>
      <c r="U38" s="33"/>
      <c r="V38" s="33"/>
      <c r="W38" s="33"/>
    </row>
    <row r="39" customFormat="false" ht="15" hidden="false" customHeight="false" outlineLevel="0" collapsed="false">
      <c r="A39" s="33"/>
      <c r="B39" s="33"/>
      <c r="C39" s="33"/>
      <c r="D39" s="33"/>
      <c r="E39" s="33"/>
      <c r="F39" s="33"/>
      <c r="G39" s="33"/>
      <c r="H39" s="33"/>
      <c r="I39" s="33"/>
      <c r="J39" s="33"/>
      <c r="K39" s="33"/>
      <c r="L39" s="34"/>
      <c r="M39" s="34"/>
      <c r="N39" s="34"/>
      <c r="O39" s="34"/>
      <c r="P39" s="33"/>
      <c r="Q39" s="35"/>
      <c r="R39" s="33"/>
      <c r="S39" s="33"/>
      <c r="T39" s="33"/>
      <c r="U39" s="33"/>
      <c r="V39" s="33"/>
      <c r="W39" s="33"/>
    </row>
    <row r="40" customFormat="false" ht="15" hidden="false" customHeight="false" outlineLevel="0" collapsed="false">
      <c r="A40" s="33"/>
      <c r="B40" s="33"/>
      <c r="C40" s="33"/>
      <c r="D40" s="33"/>
      <c r="E40" s="33"/>
      <c r="F40" s="33"/>
      <c r="G40" s="33"/>
      <c r="H40" s="33"/>
      <c r="I40" s="33"/>
      <c r="J40" s="33"/>
      <c r="K40" s="33"/>
      <c r="L40" s="34"/>
      <c r="M40" s="34"/>
      <c r="N40" s="34"/>
      <c r="O40" s="34"/>
      <c r="P40" s="33"/>
      <c r="Q40" s="35"/>
      <c r="R40" s="33"/>
      <c r="S40" s="33"/>
      <c r="T40" s="33"/>
      <c r="U40" s="33"/>
      <c r="V40" s="33"/>
      <c r="W40" s="33"/>
    </row>
    <row r="41" customFormat="false" ht="15" hidden="false" customHeight="false" outlineLevel="0" collapsed="false">
      <c r="A41" s="33"/>
      <c r="B41" s="33"/>
      <c r="C41" s="33"/>
      <c r="D41" s="33"/>
      <c r="E41" s="33"/>
      <c r="F41" s="33"/>
      <c r="G41" s="33"/>
      <c r="H41" s="33"/>
      <c r="I41" s="33"/>
      <c r="J41" s="33"/>
      <c r="K41" s="33"/>
      <c r="L41" s="34"/>
      <c r="M41" s="34"/>
      <c r="N41" s="34"/>
      <c r="O41" s="34"/>
      <c r="P41" s="33"/>
      <c r="Q41" s="35"/>
      <c r="R41" s="33"/>
      <c r="S41" s="33"/>
      <c r="T41" s="33"/>
      <c r="U41" s="33"/>
      <c r="V41" s="33"/>
      <c r="W41" s="33"/>
    </row>
    <row r="42" customFormat="false" ht="15" hidden="false" customHeight="false" outlineLevel="0" collapsed="false">
      <c r="A42" s="33"/>
      <c r="B42" s="33"/>
      <c r="C42" s="33"/>
      <c r="D42" s="33"/>
      <c r="E42" s="33"/>
      <c r="F42" s="33"/>
      <c r="G42" s="33"/>
      <c r="H42" s="33"/>
      <c r="I42" s="33"/>
      <c r="J42" s="33"/>
      <c r="K42" s="33"/>
      <c r="L42" s="34"/>
      <c r="M42" s="34"/>
      <c r="N42" s="34"/>
      <c r="O42" s="34"/>
      <c r="P42" s="33"/>
      <c r="Q42" s="35"/>
      <c r="R42" s="33"/>
      <c r="S42" s="33"/>
      <c r="T42" s="33"/>
      <c r="U42" s="33"/>
      <c r="V42" s="33"/>
      <c r="W42" s="33"/>
    </row>
    <row r="43" customFormat="false" ht="15" hidden="false" customHeight="false" outlineLevel="0" collapsed="false">
      <c r="A43" s="33"/>
      <c r="B43" s="33"/>
      <c r="C43" s="33"/>
      <c r="D43" s="33"/>
      <c r="E43" s="33"/>
      <c r="F43" s="33"/>
      <c r="G43" s="33"/>
      <c r="H43" s="33"/>
      <c r="I43" s="33"/>
      <c r="J43" s="33"/>
      <c r="K43" s="33"/>
      <c r="L43" s="34"/>
      <c r="M43" s="34"/>
      <c r="N43" s="34"/>
      <c r="O43" s="34"/>
      <c r="P43" s="33"/>
      <c r="Q43" s="35"/>
      <c r="R43" s="33"/>
      <c r="S43" s="33"/>
      <c r="T43" s="33"/>
      <c r="U43" s="33"/>
      <c r="V43" s="33"/>
      <c r="W43" s="33"/>
    </row>
    <row r="44" customFormat="false" ht="15" hidden="false" customHeight="false" outlineLevel="0" collapsed="false">
      <c r="A44" s="33"/>
      <c r="B44" s="33"/>
      <c r="C44" s="33"/>
      <c r="D44" s="33"/>
      <c r="E44" s="33"/>
      <c r="F44" s="33"/>
      <c r="G44" s="33"/>
      <c r="H44" s="33"/>
      <c r="I44" s="33"/>
      <c r="J44" s="33"/>
      <c r="K44" s="33"/>
      <c r="L44" s="34"/>
      <c r="M44" s="34"/>
      <c r="N44" s="34"/>
      <c r="O44" s="34"/>
      <c r="P44" s="33"/>
      <c r="Q44" s="35"/>
      <c r="R44" s="33"/>
      <c r="S44" s="33"/>
      <c r="T44" s="33"/>
      <c r="U44" s="33"/>
      <c r="V44" s="33"/>
      <c r="W44" s="33"/>
    </row>
    <row r="45" customFormat="false" ht="15" hidden="false" customHeight="false" outlineLevel="0" collapsed="false">
      <c r="A45" s="33"/>
      <c r="B45" s="33"/>
      <c r="C45" s="33"/>
      <c r="D45" s="33"/>
      <c r="E45" s="33"/>
      <c r="F45" s="33"/>
      <c r="G45" s="33"/>
      <c r="H45" s="33"/>
      <c r="I45" s="33"/>
      <c r="J45" s="33"/>
      <c r="K45" s="33"/>
      <c r="L45" s="34"/>
      <c r="M45" s="34"/>
      <c r="N45" s="34"/>
      <c r="O45" s="34"/>
      <c r="P45" s="33"/>
      <c r="Q45" s="35"/>
      <c r="R45" s="33"/>
      <c r="S45" s="33"/>
      <c r="T45" s="33"/>
      <c r="U45" s="33"/>
      <c r="V45" s="33"/>
      <c r="W45" s="33"/>
    </row>
    <row r="46" customFormat="false" ht="15" hidden="false" customHeight="false" outlineLevel="0" collapsed="false">
      <c r="A46" s="33"/>
      <c r="B46" s="33"/>
      <c r="C46" s="33"/>
      <c r="D46" s="33"/>
      <c r="E46" s="33"/>
      <c r="F46" s="33"/>
      <c r="G46" s="33"/>
      <c r="H46" s="33"/>
      <c r="I46" s="33"/>
      <c r="J46" s="33"/>
      <c r="K46" s="33"/>
      <c r="L46" s="34"/>
      <c r="M46" s="34"/>
      <c r="N46" s="34"/>
      <c r="O46" s="34"/>
      <c r="P46" s="33"/>
      <c r="Q46" s="35"/>
      <c r="R46" s="33"/>
      <c r="S46" s="33"/>
      <c r="T46" s="33"/>
      <c r="U46" s="33"/>
      <c r="V46" s="33"/>
      <c r="W46" s="33"/>
    </row>
    <row r="47" customFormat="false" ht="15" hidden="false" customHeight="false" outlineLevel="0" collapsed="false">
      <c r="A47" s="33"/>
      <c r="B47" s="33"/>
      <c r="C47" s="33"/>
      <c r="D47" s="33"/>
      <c r="E47" s="33"/>
      <c r="F47" s="33"/>
      <c r="G47" s="33"/>
      <c r="H47" s="33"/>
      <c r="I47" s="33"/>
      <c r="J47" s="33"/>
      <c r="K47" s="33"/>
      <c r="L47" s="34"/>
      <c r="M47" s="34"/>
      <c r="N47" s="34"/>
      <c r="O47" s="34"/>
      <c r="P47" s="33"/>
      <c r="Q47" s="35"/>
      <c r="R47" s="33"/>
      <c r="S47" s="33"/>
      <c r="T47" s="33"/>
      <c r="U47" s="33"/>
      <c r="V47" s="33"/>
      <c r="W47" s="33"/>
    </row>
    <row r="48" customFormat="false" ht="15" hidden="false" customHeight="false" outlineLevel="0" collapsed="false">
      <c r="A48" s="33"/>
      <c r="B48" s="33"/>
      <c r="C48" s="33"/>
      <c r="D48" s="33"/>
      <c r="E48" s="33"/>
      <c r="F48" s="33"/>
      <c r="G48" s="33"/>
      <c r="H48" s="33"/>
      <c r="I48" s="33"/>
      <c r="J48" s="33"/>
      <c r="K48" s="33"/>
      <c r="L48" s="34"/>
      <c r="M48" s="34"/>
      <c r="N48" s="34"/>
      <c r="O48" s="34"/>
      <c r="P48" s="33"/>
      <c r="Q48" s="35"/>
      <c r="R48" s="33"/>
      <c r="S48" s="33"/>
      <c r="T48" s="33"/>
      <c r="U48" s="33"/>
      <c r="V48" s="33"/>
      <c r="W48" s="33"/>
    </row>
    <row r="49" customFormat="false" ht="15" hidden="false" customHeight="false" outlineLevel="0" collapsed="false">
      <c r="A49" s="33"/>
      <c r="B49" s="33"/>
      <c r="C49" s="33"/>
      <c r="D49" s="33"/>
      <c r="E49" s="33"/>
      <c r="F49" s="33"/>
      <c r="G49" s="33"/>
      <c r="H49" s="33"/>
      <c r="I49" s="33"/>
      <c r="J49" s="33"/>
      <c r="K49" s="33"/>
      <c r="L49" s="34"/>
      <c r="M49" s="34"/>
      <c r="N49" s="34"/>
      <c r="O49" s="34"/>
      <c r="P49" s="33"/>
      <c r="Q49" s="35"/>
      <c r="R49" s="33"/>
      <c r="S49" s="33"/>
      <c r="T49" s="33"/>
      <c r="U49" s="33"/>
      <c r="V49" s="33"/>
      <c r="W49" s="33"/>
    </row>
    <row r="50" customFormat="false" ht="15" hidden="false" customHeight="false" outlineLevel="0" collapsed="false">
      <c r="A50" s="33"/>
      <c r="B50" s="33"/>
      <c r="C50" s="33"/>
      <c r="D50" s="33"/>
      <c r="E50" s="33"/>
      <c r="F50" s="33"/>
      <c r="G50" s="33"/>
      <c r="H50" s="33"/>
      <c r="I50" s="33"/>
      <c r="J50" s="33"/>
      <c r="K50" s="33"/>
      <c r="L50" s="34"/>
      <c r="M50" s="34"/>
      <c r="N50" s="34"/>
      <c r="O50" s="34"/>
      <c r="P50" s="33"/>
      <c r="Q50" s="35"/>
      <c r="R50" s="33"/>
      <c r="S50" s="33"/>
      <c r="T50" s="33"/>
      <c r="U50" s="33"/>
      <c r="V50" s="33"/>
      <c r="W50" s="33"/>
    </row>
    <row r="51" customFormat="false" ht="15" hidden="false" customHeight="false" outlineLevel="0" collapsed="false">
      <c r="A51" s="33"/>
      <c r="B51" s="33"/>
      <c r="C51" s="33"/>
      <c r="D51" s="33"/>
      <c r="E51" s="33"/>
      <c r="F51" s="33"/>
      <c r="G51" s="33"/>
      <c r="H51" s="33"/>
      <c r="I51" s="33"/>
      <c r="J51" s="33"/>
      <c r="K51" s="33"/>
      <c r="L51" s="34"/>
      <c r="M51" s="34"/>
      <c r="N51" s="34"/>
      <c r="O51" s="34"/>
      <c r="P51" s="33"/>
      <c r="Q51" s="35"/>
      <c r="R51" s="33"/>
      <c r="S51" s="33"/>
      <c r="T51" s="33"/>
      <c r="U51" s="33"/>
      <c r="V51" s="33"/>
      <c r="W51" s="33"/>
    </row>
    <row r="52" customFormat="false" ht="15" hidden="false" customHeight="false" outlineLevel="0" collapsed="false">
      <c r="A52" s="33"/>
      <c r="B52" s="33"/>
      <c r="C52" s="33"/>
      <c r="D52" s="33"/>
      <c r="E52" s="33"/>
      <c r="F52" s="33"/>
      <c r="G52" s="33"/>
      <c r="H52" s="33"/>
      <c r="I52" s="33"/>
      <c r="J52" s="33"/>
      <c r="K52" s="33"/>
      <c r="L52" s="34"/>
      <c r="M52" s="34"/>
      <c r="N52" s="34"/>
      <c r="O52" s="34"/>
      <c r="P52" s="33"/>
      <c r="Q52" s="35"/>
      <c r="R52" s="33"/>
      <c r="S52" s="33"/>
      <c r="T52" s="33"/>
      <c r="U52" s="33"/>
      <c r="V52" s="33"/>
      <c r="W52" s="33"/>
    </row>
    <row r="53" customFormat="false" ht="15" hidden="false" customHeight="false" outlineLevel="0" collapsed="false">
      <c r="A53" s="33"/>
      <c r="B53" s="33"/>
      <c r="C53" s="33"/>
      <c r="D53" s="33"/>
      <c r="E53" s="33"/>
      <c r="F53" s="33"/>
      <c r="G53" s="33"/>
      <c r="H53" s="33"/>
      <c r="I53" s="33"/>
      <c r="J53" s="33"/>
      <c r="K53" s="33"/>
      <c r="L53" s="34"/>
      <c r="M53" s="34"/>
      <c r="N53" s="34"/>
      <c r="O53" s="34"/>
      <c r="P53" s="33"/>
      <c r="Q53" s="35"/>
      <c r="R53" s="33"/>
      <c r="S53" s="33"/>
      <c r="T53" s="33"/>
      <c r="U53" s="33"/>
      <c r="V53" s="33"/>
      <c r="W53" s="33"/>
    </row>
    <row r="54" customFormat="false" ht="15" hidden="false" customHeight="false" outlineLevel="0" collapsed="false">
      <c r="A54" s="33"/>
      <c r="B54" s="33"/>
      <c r="C54" s="33"/>
      <c r="D54" s="33"/>
      <c r="E54" s="33"/>
      <c r="F54" s="33"/>
      <c r="G54" s="33"/>
      <c r="H54" s="33"/>
      <c r="I54" s="33"/>
      <c r="J54" s="33"/>
      <c r="K54" s="33"/>
      <c r="L54" s="34"/>
      <c r="M54" s="34"/>
      <c r="N54" s="34"/>
      <c r="O54" s="34"/>
      <c r="P54" s="33"/>
      <c r="Q54" s="35"/>
      <c r="R54" s="33"/>
      <c r="S54" s="33"/>
      <c r="T54" s="33"/>
      <c r="U54" s="33"/>
      <c r="V54" s="33"/>
      <c r="W54" s="33"/>
    </row>
    <row r="55" customFormat="false" ht="15" hidden="false" customHeight="false" outlineLevel="0" collapsed="false">
      <c r="A55" s="33"/>
      <c r="B55" s="33"/>
      <c r="C55" s="33"/>
      <c r="D55" s="33"/>
      <c r="E55" s="33"/>
      <c r="F55" s="33"/>
      <c r="G55" s="33"/>
      <c r="H55" s="33"/>
      <c r="I55" s="33"/>
      <c r="J55" s="33"/>
      <c r="K55" s="33"/>
      <c r="L55" s="34"/>
      <c r="M55" s="34"/>
      <c r="N55" s="34"/>
      <c r="O55" s="34"/>
      <c r="P55" s="33"/>
      <c r="Q55" s="35"/>
      <c r="R55" s="33"/>
      <c r="S55" s="33"/>
      <c r="T55" s="33"/>
      <c r="U55" s="33"/>
      <c r="V55" s="33"/>
      <c r="W55" s="33"/>
    </row>
    <row r="56" customFormat="false" ht="15" hidden="false" customHeight="false" outlineLevel="0" collapsed="false">
      <c r="A56" s="33"/>
      <c r="B56" s="33"/>
      <c r="C56" s="33"/>
      <c r="D56" s="33"/>
      <c r="E56" s="33"/>
      <c r="F56" s="33"/>
      <c r="G56" s="33"/>
      <c r="H56" s="33"/>
      <c r="I56" s="33"/>
      <c r="J56" s="33"/>
      <c r="K56" s="33"/>
      <c r="L56" s="34"/>
      <c r="M56" s="34"/>
      <c r="N56" s="34"/>
      <c r="O56" s="34"/>
      <c r="P56" s="33"/>
      <c r="Q56" s="35"/>
      <c r="R56" s="33"/>
      <c r="S56" s="33"/>
      <c r="T56" s="33"/>
      <c r="U56" s="33"/>
      <c r="V56" s="33"/>
      <c r="W56" s="33"/>
    </row>
    <row r="57" customFormat="false" ht="15" hidden="false" customHeight="false" outlineLevel="0" collapsed="false">
      <c r="A57" s="33"/>
      <c r="B57" s="33"/>
      <c r="C57" s="33"/>
      <c r="D57" s="33"/>
      <c r="E57" s="33"/>
      <c r="F57" s="33"/>
      <c r="G57" s="33"/>
      <c r="H57" s="33"/>
      <c r="I57" s="33"/>
      <c r="J57" s="33"/>
      <c r="K57" s="33"/>
      <c r="L57" s="34"/>
      <c r="M57" s="34"/>
      <c r="N57" s="34"/>
      <c r="O57" s="34"/>
      <c r="P57" s="33"/>
      <c r="Q57" s="35"/>
      <c r="R57" s="33"/>
      <c r="S57" s="33"/>
      <c r="T57" s="33"/>
      <c r="U57" s="33"/>
      <c r="V57" s="33"/>
      <c r="W57" s="33"/>
    </row>
    <row r="58" customFormat="false" ht="15" hidden="false" customHeight="false" outlineLevel="0" collapsed="false">
      <c r="A58" s="33"/>
      <c r="B58" s="33"/>
      <c r="C58" s="33"/>
      <c r="D58" s="33"/>
      <c r="E58" s="33"/>
      <c r="F58" s="33"/>
      <c r="G58" s="33"/>
      <c r="H58" s="33"/>
      <c r="I58" s="33"/>
      <c r="J58" s="33"/>
      <c r="K58" s="33"/>
      <c r="L58" s="34"/>
      <c r="M58" s="34"/>
      <c r="N58" s="34"/>
      <c r="O58" s="34"/>
      <c r="P58" s="33"/>
      <c r="Q58" s="35"/>
      <c r="R58" s="33"/>
      <c r="S58" s="33"/>
      <c r="T58" s="33"/>
      <c r="U58" s="33"/>
      <c r="V58" s="33"/>
      <c r="W58" s="33"/>
    </row>
    <row r="59" customFormat="false" ht="15" hidden="false" customHeight="false" outlineLevel="0" collapsed="false">
      <c r="A59" s="33"/>
      <c r="B59" s="33"/>
      <c r="C59" s="33"/>
      <c r="D59" s="33"/>
      <c r="E59" s="33"/>
      <c r="F59" s="33"/>
      <c r="G59" s="33"/>
      <c r="H59" s="33"/>
      <c r="I59" s="33"/>
      <c r="J59" s="33"/>
      <c r="K59" s="33"/>
      <c r="L59" s="34"/>
      <c r="M59" s="34"/>
      <c r="N59" s="34"/>
      <c r="O59" s="34"/>
      <c r="P59" s="33"/>
      <c r="Q59" s="35"/>
      <c r="R59" s="33"/>
      <c r="S59" s="33"/>
      <c r="T59" s="33"/>
      <c r="U59" s="33"/>
      <c r="V59" s="33"/>
      <c r="W59" s="33"/>
    </row>
    <row r="60" customFormat="false" ht="15" hidden="false" customHeight="false" outlineLevel="0" collapsed="false">
      <c r="A60" s="33"/>
      <c r="B60" s="33"/>
      <c r="C60" s="33"/>
      <c r="D60" s="33"/>
      <c r="E60" s="33"/>
      <c r="F60" s="33"/>
      <c r="G60" s="33"/>
      <c r="H60" s="33"/>
      <c r="I60" s="33"/>
      <c r="J60" s="33"/>
      <c r="K60" s="33"/>
      <c r="L60" s="34"/>
      <c r="M60" s="34"/>
      <c r="N60" s="34"/>
      <c r="O60" s="34"/>
      <c r="P60" s="33"/>
      <c r="Q60" s="35"/>
      <c r="R60" s="33"/>
      <c r="S60" s="33"/>
      <c r="T60" s="33"/>
      <c r="U60" s="33"/>
      <c r="V60" s="33"/>
      <c r="W60" s="33"/>
    </row>
    <row r="61" customFormat="false" ht="15" hidden="false" customHeight="false" outlineLevel="0" collapsed="false">
      <c r="A61" s="33"/>
      <c r="B61" s="33"/>
      <c r="C61" s="33"/>
      <c r="D61" s="33"/>
      <c r="E61" s="33"/>
      <c r="F61" s="33"/>
      <c r="G61" s="33"/>
      <c r="H61" s="33"/>
      <c r="I61" s="33"/>
      <c r="J61" s="33"/>
      <c r="K61" s="33"/>
      <c r="L61" s="34"/>
      <c r="M61" s="34"/>
      <c r="N61" s="34"/>
      <c r="O61" s="34"/>
      <c r="P61" s="33"/>
      <c r="Q61" s="35"/>
      <c r="R61" s="33"/>
      <c r="S61" s="33"/>
      <c r="T61" s="33"/>
      <c r="U61" s="33"/>
      <c r="V61" s="33"/>
      <c r="W61" s="33"/>
    </row>
    <row r="62" customFormat="false" ht="15" hidden="false" customHeight="false" outlineLevel="0" collapsed="false">
      <c r="A62" s="33"/>
      <c r="B62" s="33"/>
      <c r="C62" s="33"/>
      <c r="D62" s="33"/>
      <c r="E62" s="33"/>
      <c r="F62" s="33"/>
      <c r="G62" s="33"/>
      <c r="H62" s="33"/>
      <c r="I62" s="33"/>
      <c r="J62" s="33"/>
      <c r="K62" s="33"/>
      <c r="L62" s="34"/>
      <c r="M62" s="34"/>
      <c r="N62" s="34"/>
      <c r="O62" s="34"/>
      <c r="P62" s="33"/>
      <c r="Q62" s="35"/>
      <c r="R62" s="33"/>
      <c r="S62" s="33"/>
      <c r="T62" s="33"/>
      <c r="U62" s="33"/>
      <c r="V62" s="33"/>
      <c r="W62" s="33"/>
    </row>
    <row r="63" customFormat="false" ht="15" hidden="false" customHeight="false" outlineLevel="0" collapsed="false">
      <c r="A63" s="33"/>
      <c r="B63" s="33"/>
      <c r="C63" s="33"/>
      <c r="D63" s="33"/>
      <c r="E63" s="33"/>
      <c r="F63" s="33"/>
      <c r="G63" s="33"/>
      <c r="H63" s="33"/>
      <c r="I63" s="33"/>
      <c r="J63" s="33"/>
      <c r="K63" s="33"/>
      <c r="L63" s="34"/>
      <c r="M63" s="34"/>
      <c r="N63" s="34"/>
      <c r="O63" s="34"/>
      <c r="P63" s="33"/>
      <c r="Q63" s="35"/>
      <c r="R63" s="33"/>
      <c r="S63" s="33"/>
      <c r="T63" s="33"/>
      <c r="U63" s="33"/>
      <c r="V63" s="33"/>
      <c r="W63" s="33"/>
    </row>
    <row r="64" customFormat="false" ht="15" hidden="false" customHeight="false" outlineLevel="0" collapsed="false">
      <c r="A64" s="33"/>
      <c r="B64" s="33"/>
      <c r="C64" s="33"/>
      <c r="D64" s="33"/>
      <c r="E64" s="33"/>
      <c r="F64" s="33"/>
      <c r="G64" s="33"/>
      <c r="H64" s="33"/>
      <c r="I64" s="33"/>
      <c r="J64" s="33"/>
      <c r="K64" s="33"/>
      <c r="L64" s="34"/>
      <c r="M64" s="34"/>
      <c r="N64" s="34"/>
      <c r="O64" s="34"/>
      <c r="P64" s="33"/>
      <c r="Q64" s="35"/>
      <c r="R64" s="33"/>
      <c r="S64" s="33"/>
      <c r="T64" s="33"/>
      <c r="U64" s="33"/>
      <c r="V64" s="33"/>
      <c r="W64" s="33"/>
    </row>
    <row r="65" customFormat="false" ht="15" hidden="false" customHeight="false" outlineLevel="0" collapsed="false">
      <c r="A65" s="33"/>
      <c r="B65" s="33"/>
      <c r="C65" s="33"/>
      <c r="D65" s="33"/>
      <c r="E65" s="33"/>
      <c r="F65" s="33"/>
      <c r="G65" s="33"/>
      <c r="H65" s="33"/>
      <c r="I65" s="33"/>
      <c r="J65" s="33"/>
      <c r="K65" s="33"/>
      <c r="L65" s="34"/>
      <c r="M65" s="34"/>
      <c r="N65" s="34"/>
      <c r="O65" s="34"/>
      <c r="P65" s="33"/>
      <c r="Q65" s="35"/>
      <c r="R65" s="33"/>
      <c r="S65" s="33"/>
      <c r="T65" s="33"/>
      <c r="U65" s="33"/>
      <c r="V65" s="33"/>
      <c r="W65" s="33"/>
    </row>
    <row r="66" customFormat="false" ht="15" hidden="false" customHeight="false" outlineLevel="0" collapsed="false">
      <c r="A66" s="33"/>
      <c r="B66" s="33"/>
      <c r="C66" s="33"/>
      <c r="D66" s="33"/>
      <c r="E66" s="33"/>
      <c r="F66" s="33"/>
      <c r="G66" s="33"/>
      <c r="H66" s="33"/>
      <c r="I66" s="33"/>
      <c r="J66" s="33"/>
      <c r="K66" s="33"/>
      <c r="L66" s="34"/>
      <c r="M66" s="34"/>
      <c r="N66" s="34"/>
      <c r="O66" s="34"/>
      <c r="P66" s="33"/>
      <c r="Q66" s="35"/>
      <c r="R66" s="33"/>
      <c r="S66" s="33"/>
      <c r="T66" s="33"/>
      <c r="U66" s="33"/>
      <c r="V66" s="33"/>
      <c r="W66" s="33"/>
    </row>
    <row r="67" customFormat="false" ht="15" hidden="false" customHeight="false" outlineLevel="0" collapsed="false">
      <c r="A67" s="33"/>
      <c r="B67" s="33"/>
      <c r="C67" s="33"/>
      <c r="D67" s="33"/>
      <c r="E67" s="33"/>
      <c r="F67" s="33"/>
      <c r="G67" s="33"/>
      <c r="H67" s="33"/>
      <c r="I67" s="33"/>
      <c r="J67" s="33"/>
      <c r="K67" s="33"/>
      <c r="L67" s="34"/>
      <c r="M67" s="34"/>
      <c r="N67" s="34"/>
      <c r="O67" s="34"/>
      <c r="P67" s="33"/>
      <c r="Q67" s="35"/>
      <c r="R67" s="33"/>
      <c r="S67" s="33"/>
      <c r="T67" s="33"/>
      <c r="U67" s="33"/>
      <c r="V67" s="33"/>
      <c r="W67" s="33"/>
    </row>
    <row r="68" customFormat="false" ht="15" hidden="false" customHeight="false" outlineLevel="0" collapsed="false">
      <c r="A68" s="33"/>
      <c r="B68" s="33"/>
      <c r="C68" s="33"/>
      <c r="D68" s="33"/>
      <c r="E68" s="33"/>
      <c r="F68" s="33"/>
      <c r="G68" s="33"/>
      <c r="H68" s="33"/>
      <c r="I68" s="33"/>
      <c r="J68" s="33"/>
      <c r="K68" s="33"/>
      <c r="L68" s="34"/>
      <c r="M68" s="34"/>
      <c r="N68" s="34"/>
      <c r="O68" s="34"/>
      <c r="P68" s="33"/>
      <c r="Q68" s="35"/>
      <c r="R68" s="33"/>
      <c r="S68" s="33"/>
      <c r="T68" s="33"/>
      <c r="U68" s="33"/>
      <c r="V68" s="33"/>
      <c r="W68" s="33"/>
    </row>
    <row r="69" customFormat="false" ht="15" hidden="false" customHeight="false" outlineLevel="0" collapsed="false">
      <c r="A69" s="33"/>
      <c r="B69" s="33"/>
      <c r="C69" s="33"/>
      <c r="D69" s="33"/>
      <c r="E69" s="33"/>
      <c r="F69" s="33"/>
      <c r="G69" s="33"/>
      <c r="H69" s="33"/>
      <c r="I69" s="33"/>
      <c r="J69" s="33"/>
      <c r="K69" s="33"/>
      <c r="L69" s="34"/>
      <c r="M69" s="34"/>
      <c r="N69" s="34"/>
      <c r="O69" s="34"/>
      <c r="P69" s="33"/>
      <c r="Q69" s="35"/>
      <c r="R69" s="33"/>
      <c r="S69" s="33"/>
      <c r="T69" s="33"/>
      <c r="U69" s="33"/>
      <c r="V69" s="33"/>
      <c r="W69" s="33"/>
    </row>
    <row r="70" customFormat="false" ht="15" hidden="false" customHeight="false" outlineLevel="0" collapsed="false">
      <c r="A70" s="33"/>
      <c r="B70" s="33"/>
      <c r="C70" s="33"/>
      <c r="D70" s="33"/>
      <c r="E70" s="33"/>
      <c r="F70" s="33"/>
      <c r="G70" s="33"/>
      <c r="H70" s="33"/>
      <c r="I70" s="33"/>
      <c r="J70" s="33"/>
      <c r="K70" s="33"/>
      <c r="L70" s="34"/>
      <c r="M70" s="34"/>
      <c r="N70" s="34"/>
      <c r="O70" s="34"/>
      <c r="P70" s="33"/>
      <c r="Q70" s="35"/>
      <c r="R70" s="33"/>
      <c r="S70" s="33"/>
      <c r="T70" s="33"/>
      <c r="U70" s="33"/>
      <c r="V70" s="33"/>
      <c r="W70" s="33"/>
    </row>
    <row r="71" customFormat="false" ht="15" hidden="false" customHeight="false" outlineLevel="0" collapsed="false">
      <c r="A71" s="33"/>
      <c r="B71" s="33"/>
      <c r="C71" s="33"/>
      <c r="D71" s="33"/>
      <c r="E71" s="33"/>
      <c r="F71" s="33"/>
      <c r="G71" s="33"/>
      <c r="H71" s="33"/>
      <c r="I71" s="33"/>
      <c r="J71" s="33"/>
      <c r="K71" s="33"/>
      <c r="L71" s="34"/>
      <c r="M71" s="34"/>
      <c r="N71" s="34"/>
      <c r="O71" s="34"/>
      <c r="P71" s="33"/>
      <c r="Q71" s="35"/>
      <c r="R71" s="33"/>
      <c r="S71" s="33"/>
      <c r="T71" s="33"/>
      <c r="U71" s="33"/>
      <c r="V71" s="33"/>
      <c r="W71" s="33"/>
    </row>
    <row r="72" customFormat="false" ht="15" hidden="false" customHeight="false" outlineLevel="0" collapsed="false">
      <c r="A72" s="33"/>
      <c r="B72" s="33"/>
      <c r="C72" s="33"/>
      <c r="D72" s="33"/>
      <c r="E72" s="33"/>
      <c r="F72" s="33"/>
      <c r="G72" s="33"/>
      <c r="H72" s="33"/>
      <c r="I72" s="33"/>
      <c r="J72" s="33"/>
      <c r="K72" s="33"/>
      <c r="L72" s="34"/>
      <c r="M72" s="34"/>
      <c r="N72" s="34"/>
      <c r="O72" s="34"/>
      <c r="P72" s="33"/>
      <c r="Q72" s="35"/>
      <c r="R72" s="33"/>
      <c r="S72" s="33"/>
      <c r="T72" s="33"/>
      <c r="U72" s="33"/>
      <c r="V72" s="33"/>
      <c r="W72" s="33"/>
    </row>
    <row r="73" customFormat="false" ht="15" hidden="false" customHeight="false" outlineLevel="0" collapsed="false">
      <c r="A73" s="33"/>
      <c r="B73" s="33"/>
      <c r="C73" s="33"/>
      <c r="D73" s="33"/>
      <c r="E73" s="33"/>
      <c r="F73" s="33"/>
      <c r="G73" s="33"/>
      <c r="H73" s="33"/>
      <c r="I73" s="33"/>
      <c r="J73" s="33"/>
      <c r="K73" s="33"/>
      <c r="L73" s="34"/>
      <c r="M73" s="34"/>
      <c r="N73" s="34"/>
      <c r="O73" s="34"/>
      <c r="P73" s="33"/>
      <c r="Q73" s="35"/>
      <c r="R73" s="33"/>
      <c r="S73" s="33"/>
      <c r="T73" s="33"/>
      <c r="U73" s="33"/>
      <c r="V73" s="33"/>
      <c r="W73" s="33"/>
    </row>
    <row r="74" customFormat="false" ht="15" hidden="false" customHeight="false" outlineLevel="0" collapsed="false">
      <c r="A74" s="33"/>
      <c r="B74" s="33"/>
      <c r="C74" s="33"/>
      <c r="D74" s="33"/>
      <c r="E74" s="33"/>
      <c r="F74" s="33"/>
      <c r="G74" s="33"/>
      <c r="H74" s="33"/>
      <c r="I74" s="33"/>
      <c r="J74" s="33"/>
      <c r="K74" s="33"/>
      <c r="L74" s="34"/>
      <c r="M74" s="34"/>
      <c r="N74" s="34"/>
      <c r="O74" s="34"/>
      <c r="P74" s="33"/>
      <c r="Q74" s="35"/>
      <c r="R74" s="33"/>
      <c r="S74" s="33"/>
      <c r="T74" s="33"/>
      <c r="U74" s="33"/>
      <c r="V74" s="33"/>
      <c r="W74" s="33"/>
    </row>
    <row r="75" customFormat="false" ht="15" hidden="false" customHeight="false" outlineLevel="0" collapsed="false">
      <c r="A75" s="33"/>
      <c r="B75" s="33"/>
      <c r="C75" s="33"/>
      <c r="D75" s="33"/>
      <c r="E75" s="33"/>
      <c r="F75" s="33"/>
      <c r="G75" s="33"/>
      <c r="H75" s="33"/>
      <c r="I75" s="33"/>
      <c r="J75" s="33"/>
      <c r="K75" s="33"/>
      <c r="L75" s="34"/>
      <c r="M75" s="34"/>
      <c r="N75" s="34"/>
      <c r="O75" s="34"/>
      <c r="P75" s="33"/>
      <c r="Q75" s="35"/>
      <c r="R75" s="33"/>
      <c r="S75" s="33"/>
      <c r="T75" s="33"/>
      <c r="U75" s="33"/>
      <c r="V75" s="33"/>
      <c r="W75" s="33"/>
    </row>
    <row r="76" customFormat="false" ht="15" hidden="false" customHeight="false" outlineLevel="0" collapsed="false">
      <c r="A76" s="33"/>
      <c r="B76" s="33"/>
      <c r="C76" s="33"/>
      <c r="D76" s="33"/>
      <c r="E76" s="33"/>
      <c r="F76" s="33"/>
      <c r="G76" s="33"/>
      <c r="H76" s="33"/>
      <c r="I76" s="33"/>
      <c r="J76" s="33"/>
      <c r="K76" s="33"/>
      <c r="L76" s="34"/>
      <c r="M76" s="34"/>
      <c r="N76" s="34"/>
      <c r="O76" s="34"/>
      <c r="P76" s="33"/>
      <c r="Q76" s="35"/>
      <c r="R76" s="33"/>
      <c r="S76" s="33"/>
      <c r="T76" s="33"/>
      <c r="U76" s="33"/>
      <c r="V76" s="33"/>
      <c r="W76" s="33"/>
    </row>
    <row r="77" customFormat="false" ht="15" hidden="false" customHeight="false" outlineLevel="0" collapsed="false">
      <c r="A77" s="33"/>
      <c r="B77" s="33"/>
      <c r="C77" s="33"/>
      <c r="D77" s="33"/>
      <c r="E77" s="33"/>
      <c r="F77" s="33"/>
      <c r="G77" s="33"/>
      <c r="H77" s="33"/>
      <c r="I77" s="33"/>
      <c r="J77" s="33"/>
      <c r="K77" s="33"/>
      <c r="L77" s="34"/>
      <c r="M77" s="34"/>
      <c r="N77" s="34"/>
      <c r="O77" s="34"/>
      <c r="P77" s="33"/>
      <c r="Q77" s="35"/>
      <c r="R77" s="33"/>
      <c r="S77" s="33"/>
      <c r="T77" s="33"/>
      <c r="U77" s="33"/>
      <c r="V77" s="33"/>
      <c r="W77" s="33"/>
    </row>
    <row r="78" customFormat="false" ht="15" hidden="false" customHeight="false" outlineLevel="0" collapsed="false">
      <c r="A78" s="33"/>
      <c r="B78" s="33"/>
      <c r="C78" s="33"/>
      <c r="D78" s="33"/>
      <c r="E78" s="33"/>
      <c r="F78" s="33"/>
      <c r="G78" s="33"/>
      <c r="H78" s="33"/>
      <c r="I78" s="33"/>
      <c r="J78" s="33"/>
      <c r="K78" s="33"/>
      <c r="L78" s="34"/>
      <c r="M78" s="34"/>
      <c r="N78" s="34"/>
      <c r="O78" s="34"/>
      <c r="P78" s="33"/>
      <c r="Q78" s="35"/>
      <c r="R78" s="33"/>
      <c r="S78" s="33"/>
      <c r="T78" s="33"/>
      <c r="U78" s="33"/>
      <c r="V78" s="33"/>
      <c r="W78" s="33"/>
    </row>
    <row r="79" customFormat="false" ht="15" hidden="false" customHeight="false" outlineLevel="0" collapsed="false">
      <c r="A79" s="33"/>
      <c r="B79" s="33"/>
      <c r="C79" s="33"/>
      <c r="D79" s="33"/>
      <c r="E79" s="33"/>
      <c r="F79" s="33"/>
      <c r="G79" s="33"/>
      <c r="H79" s="33"/>
      <c r="I79" s="33"/>
      <c r="J79" s="33"/>
      <c r="K79" s="33"/>
      <c r="L79" s="34"/>
      <c r="M79" s="34"/>
      <c r="N79" s="34"/>
      <c r="O79" s="34"/>
      <c r="P79" s="33"/>
      <c r="Q79" s="35"/>
      <c r="R79" s="33"/>
      <c r="S79" s="33"/>
      <c r="T79" s="33"/>
      <c r="U79" s="33"/>
      <c r="V79" s="33"/>
      <c r="W79" s="33"/>
    </row>
    <row r="80" customFormat="false" ht="15" hidden="false" customHeight="false" outlineLevel="0" collapsed="false">
      <c r="A80" s="33"/>
      <c r="B80" s="33"/>
      <c r="C80" s="33"/>
      <c r="D80" s="33"/>
      <c r="E80" s="33"/>
      <c r="F80" s="33"/>
      <c r="G80" s="33"/>
      <c r="H80" s="33"/>
      <c r="I80" s="33"/>
      <c r="J80" s="33"/>
      <c r="K80" s="33"/>
      <c r="L80" s="34"/>
      <c r="M80" s="34"/>
      <c r="N80" s="34"/>
      <c r="O80" s="34"/>
      <c r="P80" s="33"/>
      <c r="Q80" s="35"/>
      <c r="R80" s="33"/>
      <c r="S80" s="33"/>
      <c r="T80" s="33"/>
      <c r="U80" s="33"/>
      <c r="V80" s="33"/>
      <c r="W80" s="33"/>
    </row>
    <row r="81" customFormat="false" ht="15" hidden="false" customHeight="false" outlineLevel="0" collapsed="false">
      <c r="A81" s="33"/>
      <c r="B81" s="33"/>
      <c r="C81" s="33"/>
      <c r="D81" s="33"/>
      <c r="E81" s="33"/>
      <c r="F81" s="33"/>
      <c r="G81" s="33"/>
      <c r="H81" s="33"/>
      <c r="I81" s="33"/>
      <c r="J81" s="33"/>
      <c r="K81" s="33"/>
      <c r="L81" s="34"/>
      <c r="M81" s="34"/>
      <c r="N81" s="34"/>
      <c r="O81" s="34"/>
      <c r="P81" s="33"/>
      <c r="Q81" s="35"/>
      <c r="R81" s="33"/>
      <c r="S81" s="33"/>
      <c r="T81" s="33"/>
      <c r="U81" s="33"/>
      <c r="V81" s="33"/>
      <c r="W81" s="33"/>
    </row>
    <row r="82" customFormat="false" ht="15" hidden="false" customHeight="false" outlineLevel="0" collapsed="false">
      <c r="A82" s="33"/>
      <c r="B82" s="33"/>
      <c r="C82" s="33"/>
      <c r="D82" s="33"/>
      <c r="E82" s="33"/>
      <c r="F82" s="33"/>
      <c r="G82" s="33"/>
      <c r="H82" s="33"/>
      <c r="I82" s="33"/>
      <c r="J82" s="33"/>
      <c r="K82" s="33"/>
      <c r="L82" s="34"/>
      <c r="M82" s="34"/>
      <c r="N82" s="34"/>
      <c r="O82" s="34"/>
      <c r="P82" s="33"/>
      <c r="Q82" s="35"/>
      <c r="R82" s="33"/>
      <c r="S82" s="33"/>
      <c r="T82" s="33"/>
      <c r="U82" s="33"/>
      <c r="V82" s="33"/>
      <c r="W82" s="33"/>
    </row>
    <row r="83" customFormat="false" ht="15" hidden="false" customHeight="false" outlineLevel="0" collapsed="false">
      <c r="A83" s="33"/>
      <c r="B83" s="33"/>
      <c r="C83" s="33"/>
      <c r="D83" s="33"/>
      <c r="E83" s="33"/>
      <c r="F83" s="33"/>
      <c r="G83" s="33"/>
      <c r="H83" s="33"/>
      <c r="I83" s="33"/>
      <c r="J83" s="33"/>
      <c r="K83" s="33"/>
      <c r="L83" s="34"/>
      <c r="M83" s="34"/>
      <c r="N83" s="34"/>
      <c r="O83" s="34"/>
      <c r="P83" s="33"/>
      <c r="Q83" s="35"/>
      <c r="R83" s="33"/>
      <c r="S83" s="33"/>
      <c r="T83" s="33"/>
      <c r="U83" s="33"/>
      <c r="V83" s="33"/>
      <c r="W83" s="33"/>
    </row>
    <row r="84" customFormat="false" ht="15" hidden="false" customHeight="false" outlineLevel="0" collapsed="false">
      <c r="A84" s="33"/>
      <c r="B84" s="33"/>
      <c r="C84" s="33"/>
      <c r="D84" s="33"/>
      <c r="E84" s="33"/>
      <c r="F84" s="33"/>
      <c r="G84" s="33"/>
      <c r="H84" s="33"/>
      <c r="I84" s="33"/>
      <c r="J84" s="33"/>
      <c r="K84" s="33"/>
      <c r="L84" s="34"/>
      <c r="M84" s="34"/>
      <c r="N84" s="34"/>
      <c r="O84" s="34"/>
      <c r="P84" s="33"/>
      <c r="Q84" s="35"/>
      <c r="R84" s="33"/>
      <c r="S84" s="33"/>
      <c r="T84" s="33"/>
      <c r="U84" s="33"/>
      <c r="V84" s="33"/>
      <c r="W84" s="33"/>
    </row>
    <row r="85" customFormat="false" ht="15" hidden="false" customHeight="false" outlineLevel="0" collapsed="false">
      <c r="A85" s="33"/>
      <c r="B85" s="33"/>
      <c r="C85" s="33"/>
      <c r="D85" s="33"/>
      <c r="E85" s="33"/>
      <c r="F85" s="33"/>
      <c r="G85" s="33"/>
      <c r="H85" s="33"/>
      <c r="I85" s="33"/>
      <c r="J85" s="33"/>
      <c r="K85" s="33"/>
      <c r="L85" s="34"/>
      <c r="M85" s="34"/>
      <c r="N85" s="34"/>
      <c r="O85" s="34"/>
      <c r="P85" s="33"/>
      <c r="Q85" s="35"/>
      <c r="R85" s="33"/>
      <c r="S85" s="33"/>
      <c r="T85" s="33"/>
      <c r="U85" s="33"/>
      <c r="V85" s="33"/>
      <c r="W85" s="33"/>
    </row>
    <row r="86" customFormat="false" ht="15" hidden="false" customHeight="false" outlineLevel="0" collapsed="false">
      <c r="A86" s="33"/>
      <c r="B86" s="33"/>
      <c r="C86" s="33"/>
      <c r="D86" s="33"/>
      <c r="E86" s="33"/>
      <c r="F86" s="33"/>
      <c r="G86" s="33"/>
      <c r="H86" s="33"/>
      <c r="I86" s="33"/>
      <c r="J86" s="33"/>
      <c r="K86" s="33"/>
      <c r="L86" s="34"/>
      <c r="M86" s="34"/>
      <c r="N86" s="34"/>
      <c r="O86" s="34"/>
      <c r="P86" s="33"/>
      <c r="Q86" s="35"/>
      <c r="R86" s="33"/>
      <c r="S86" s="33"/>
      <c r="T86" s="33"/>
      <c r="U86" s="33"/>
      <c r="V86" s="33"/>
      <c r="W86" s="33"/>
    </row>
    <row r="87" customFormat="false" ht="15" hidden="false" customHeight="false" outlineLevel="0" collapsed="false">
      <c r="A87" s="33"/>
      <c r="B87" s="33"/>
      <c r="C87" s="33"/>
      <c r="D87" s="33"/>
      <c r="E87" s="33"/>
      <c r="F87" s="33"/>
      <c r="G87" s="33"/>
      <c r="H87" s="33"/>
      <c r="I87" s="33"/>
      <c r="J87" s="33"/>
      <c r="K87" s="33"/>
      <c r="L87" s="34"/>
      <c r="M87" s="34"/>
      <c r="N87" s="34"/>
      <c r="O87" s="34"/>
      <c r="P87" s="33"/>
      <c r="Q87" s="35"/>
      <c r="R87" s="33"/>
      <c r="S87" s="33"/>
      <c r="T87" s="33"/>
      <c r="U87" s="33"/>
      <c r="V87" s="33"/>
      <c r="W87" s="33"/>
    </row>
    <row r="88" customFormat="false" ht="15" hidden="false" customHeight="false" outlineLevel="0" collapsed="false">
      <c r="A88" s="33"/>
      <c r="B88" s="33"/>
      <c r="C88" s="33"/>
      <c r="D88" s="33"/>
      <c r="E88" s="33"/>
      <c r="F88" s="33"/>
      <c r="G88" s="33"/>
      <c r="H88" s="33"/>
      <c r="I88" s="33"/>
      <c r="J88" s="33"/>
      <c r="K88" s="33"/>
      <c r="L88" s="34"/>
      <c r="M88" s="34"/>
      <c r="N88" s="34"/>
      <c r="O88" s="34"/>
      <c r="P88" s="33"/>
      <c r="Q88" s="35"/>
      <c r="R88" s="33"/>
      <c r="S88" s="33"/>
      <c r="T88" s="33"/>
      <c r="U88" s="33"/>
      <c r="V88" s="33"/>
      <c r="W88" s="33"/>
    </row>
    <row r="89" customFormat="false" ht="15" hidden="false" customHeight="false" outlineLevel="0" collapsed="false">
      <c r="A89" s="33"/>
      <c r="B89" s="33"/>
      <c r="C89" s="33"/>
      <c r="D89" s="33"/>
      <c r="E89" s="33"/>
      <c r="F89" s="33"/>
      <c r="G89" s="33"/>
      <c r="H89" s="33"/>
      <c r="I89" s="33"/>
      <c r="J89" s="33"/>
      <c r="K89" s="33"/>
      <c r="L89" s="34"/>
      <c r="M89" s="34"/>
      <c r="N89" s="34"/>
      <c r="O89" s="34"/>
      <c r="P89" s="33"/>
      <c r="Q89" s="35"/>
      <c r="R89" s="33"/>
      <c r="S89" s="33"/>
      <c r="T89" s="33"/>
      <c r="U89" s="33"/>
      <c r="V89" s="33"/>
      <c r="W89" s="33"/>
    </row>
    <row r="90" customFormat="false" ht="15" hidden="false" customHeight="false" outlineLevel="0" collapsed="false">
      <c r="A90" s="33"/>
      <c r="B90" s="33"/>
      <c r="C90" s="33"/>
      <c r="D90" s="33"/>
      <c r="E90" s="33"/>
      <c r="F90" s="33"/>
      <c r="G90" s="33"/>
      <c r="H90" s="33"/>
      <c r="I90" s="33"/>
      <c r="J90" s="33"/>
      <c r="K90" s="33"/>
      <c r="L90" s="34"/>
      <c r="M90" s="34"/>
      <c r="N90" s="34"/>
      <c r="O90" s="34"/>
      <c r="P90" s="33"/>
      <c r="Q90" s="35"/>
      <c r="R90" s="33"/>
      <c r="S90" s="33"/>
      <c r="T90" s="33"/>
      <c r="U90" s="33"/>
      <c r="V90" s="33"/>
      <c r="W90" s="33"/>
    </row>
    <row r="91" customFormat="false" ht="15" hidden="false" customHeight="false" outlineLevel="0" collapsed="false">
      <c r="A91" s="33"/>
      <c r="B91" s="33"/>
      <c r="C91" s="33"/>
      <c r="D91" s="33"/>
      <c r="E91" s="33"/>
      <c r="F91" s="33"/>
      <c r="G91" s="33"/>
      <c r="H91" s="33"/>
      <c r="I91" s="33"/>
      <c r="J91" s="33"/>
      <c r="K91" s="33"/>
      <c r="L91" s="34"/>
      <c r="M91" s="34"/>
      <c r="N91" s="34"/>
      <c r="O91" s="34"/>
      <c r="P91" s="33"/>
      <c r="Q91" s="35"/>
      <c r="R91" s="33"/>
      <c r="S91" s="33"/>
      <c r="T91" s="33"/>
      <c r="U91" s="33"/>
      <c r="V91" s="33"/>
      <c r="W91" s="33"/>
    </row>
    <row r="92" customFormat="false" ht="15" hidden="false" customHeight="false" outlineLevel="0" collapsed="false">
      <c r="A92" s="33"/>
      <c r="B92" s="33"/>
      <c r="C92" s="33"/>
      <c r="D92" s="33"/>
      <c r="E92" s="33"/>
      <c r="F92" s="33"/>
      <c r="G92" s="33"/>
      <c r="H92" s="33"/>
      <c r="I92" s="33"/>
      <c r="J92" s="33"/>
      <c r="K92" s="33"/>
      <c r="L92" s="34"/>
      <c r="M92" s="34"/>
      <c r="N92" s="34"/>
      <c r="O92" s="34"/>
      <c r="P92" s="33"/>
      <c r="Q92" s="35"/>
      <c r="R92" s="33"/>
      <c r="S92" s="33"/>
      <c r="T92" s="33"/>
      <c r="U92" s="33"/>
      <c r="V92" s="33"/>
      <c r="W92" s="33"/>
    </row>
    <row r="93" customFormat="false" ht="15" hidden="false" customHeight="false" outlineLevel="0" collapsed="false">
      <c r="A93" s="33"/>
      <c r="B93" s="33"/>
      <c r="C93" s="33"/>
      <c r="D93" s="33"/>
      <c r="E93" s="33"/>
      <c r="F93" s="33"/>
      <c r="G93" s="33"/>
      <c r="H93" s="33"/>
      <c r="I93" s="33"/>
      <c r="J93" s="33"/>
      <c r="K93" s="33"/>
      <c r="L93" s="34"/>
      <c r="M93" s="34"/>
      <c r="N93" s="34"/>
      <c r="O93" s="34"/>
      <c r="P93" s="33"/>
      <c r="Q93" s="35"/>
      <c r="R93" s="33"/>
      <c r="S93" s="33"/>
      <c r="T93" s="33"/>
      <c r="U93" s="33"/>
      <c r="V93" s="33"/>
      <c r="W93" s="33"/>
    </row>
    <row r="94" customFormat="false" ht="15" hidden="false" customHeight="false" outlineLevel="0" collapsed="false">
      <c r="A94" s="33"/>
      <c r="B94" s="33"/>
      <c r="C94" s="33"/>
      <c r="D94" s="33"/>
      <c r="E94" s="33"/>
      <c r="F94" s="33"/>
      <c r="G94" s="33"/>
      <c r="H94" s="33"/>
      <c r="I94" s="33"/>
      <c r="J94" s="33"/>
      <c r="K94" s="33"/>
      <c r="L94" s="34"/>
      <c r="M94" s="34"/>
      <c r="N94" s="34"/>
      <c r="O94" s="34"/>
      <c r="P94" s="33"/>
      <c r="Q94" s="35"/>
      <c r="R94" s="33"/>
      <c r="S94" s="33"/>
      <c r="T94" s="33"/>
      <c r="U94" s="33"/>
      <c r="V94" s="33"/>
      <c r="W94" s="33"/>
    </row>
    <row r="95" customFormat="false" ht="15" hidden="false" customHeight="false" outlineLevel="0" collapsed="false">
      <c r="A95" s="33"/>
      <c r="B95" s="33"/>
      <c r="C95" s="33"/>
      <c r="D95" s="33"/>
      <c r="E95" s="33"/>
      <c r="F95" s="33"/>
      <c r="G95" s="33"/>
      <c r="H95" s="33"/>
      <c r="I95" s="33"/>
      <c r="J95" s="33"/>
      <c r="K95" s="33"/>
      <c r="L95" s="34"/>
      <c r="M95" s="34"/>
      <c r="N95" s="34"/>
      <c r="O95" s="34"/>
      <c r="P95" s="33"/>
      <c r="Q95" s="35"/>
      <c r="R95" s="33"/>
      <c r="S95" s="33"/>
      <c r="T95" s="33"/>
      <c r="U95" s="33"/>
      <c r="V95" s="33"/>
      <c r="W95" s="33"/>
    </row>
    <row r="96" customFormat="false" ht="15" hidden="false" customHeight="false" outlineLevel="0" collapsed="false">
      <c r="A96" s="33"/>
      <c r="B96" s="33"/>
      <c r="C96" s="33"/>
      <c r="D96" s="33"/>
      <c r="E96" s="33"/>
      <c r="F96" s="33"/>
      <c r="G96" s="33"/>
      <c r="H96" s="33"/>
      <c r="I96" s="33"/>
      <c r="J96" s="33"/>
      <c r="K96" s="33"/>
      <c r="L96" s="34"/>
      <c r="M96" s="34"/>
      <c r="N96" s="34"/>
      <c r="O96" s="34"/>
      <c r="P96" s="33"/>
      <c r="Q96" s="35"/>
      <c r="R96" s="33"/>
      <c r="S96" s="33"/>
      <c r="T96" s="33"/>
      <c r="U96" s="33"/>
      <c r="V96" s="33"/>
      <c r="W96" s="33"/>
    </row>
    <row r="97" customFormat="false" ht="15" hidden="false" customHeight="false" outlineLevel="0" collapsed="false">
      <c r="A97" s="33"/>
      <c r="B97" s="33"/>
      <c r="C97" s="33"/>
      <c r="D97" s="33"/>
      <c r="E97" s="33"/>
      <c r="F97" s="33"/>
      <c r="G97" s="33"/>
      <c r="H97" s="33"/>
      <c r="I97" s="33"/>
      <c r="J97" s="33"/>
      <c r="K97" s="33"/>
      <c r="L97" s="34"/>
      <c r="M97" s="34"/>
      <c r="N97" s="34"/>
      <c r="O97" s="34"/>
      <c r="P97" s="33"/>
      <c r="Q97" s="35"/>
      <c r="R97" s="33"/>
      <c r="S97" s="33"/>
      <c r="T97" s="33"/>
      <c r="U97" s="33"/>
      <c r="V97" s="33"/>
      <c r="W97" s="33"/>
    </row>
    <row r="98" customFormat="false" ht="15" hidden="false" customHeight="false" outlineLevel="0" collapsed="false">
      <c r="A98" s="33"/>
      <c r="B98" s="33"/>
      <c r="C98" s="33"/>
      <c r="D98" s="33"/>
      <c r="E98" s="33"/>
      <c r="F98" s="33"/>
      <c r="G98" s="33"/>
      <c r="H98" s="33"/>
      <c r="I98" s="33"/>
      <c r="J98" s="33"/>
      <c r="K98" s="33"/>
      <c r="L98" s="34"/>
      <c r="M98" s="34"/>
      <c r="N98" s="34"/>
      <c r="O98" s="34"/>
      <c r="P98" s="33"/>
      <c r="Q98" s="35"/>
      <c r="R98" s="33"/>
      <c r="S98" s="33"/>
      <c r="T98" s="33"/>
      <c r="U98" s="33"/>
      <c r="V98" s="33"/>
      <c r="W98" s="33"/>
    </row>
    <row r="99" customFormat="false" ht="15" hidden="false" customHeight="false" outlineLevel="0" collapsed="false">
      <c r="A99" s="33"/>
      <c r="B99" s="33"/>
      <c r="C99" s="33"/>
      <c r="D99" s="33"/>
      <c r="E99" s="33"/>
      <c r="F99" s="33"/>
      <c r="G99" s="33"/>
      <c r="H99" s="33"/>
      <c r="I99" s="33"/>
      <c r="J99" s="33"/>
      <c r="K99" s="33"/>
      <c r="L99" s="34"/>
      <c r="M99" s="34"/>
      <c r="N99" s="34"/>
      <c r="O99" s="34"/>
      <c r="P99" s="33"/>
      <c r="Q99" s="35"/>
      <c r="R99" s="33"/>
      <c r="S99" s="33"/>
      <c r="T99" s="33"/>
      <c r="U99" s="33"/>
      <c r="V99" s="33"/>
      <c r="W99" s="33"/>
    </row>
    <row r="100" customFormat="false" ht="15" hidden="false" customHeight="false" outlineLevel="0" collapsed="false">
      <c r="A100" s="33"/>
      <c r="B100" s="33"/>
      <c r="C100" s="33"/>
      <c r="D100" s="33"/>
      <c r="E100" s="33"/>
      <c r="F100" s="33"/>
      <c r="G100" s="33"/>
      <c r="H100" s="33"/>
      <c r="I100" s="33"/>
      <c r="J100" s="33"/>
      <c r="K100" s="33"/>
      <c r="L100" s="34"/>
      <c r="M100" s="34"/>
      <c r="N100" s="34"/>
      <c r="O100" s="34"/>
      <c r="P100" s="33"/>
      <c r="Q100" s="35"/>
      <c r="R100" s="33"/>
      <c r="S100" s="33"/>
      <c r="T100" s="33"/>
      <c r="U100" s="33"/>
      <c r="V100" s="33"/>
      <c r="W100" s="33"/>
    </row>
    <row r="101" customFormat="false" ht="15" hidden="false" customHeight="false" outlineLevel="0" collapsed="false">
      <c r="A101" s="33"/>
      <c r="B101" s="33"/>
      <c r="C101" s="33"/>
      <c r="D101" s="33"/>
      <c r="E101" s="33"/>
      <c r="F101" s="33"/>
      <c r="G101" s="33"/>
      <c r="H101" s="33"/>
      <c r="I101" s="33"/>
      <c r="J101" s="33"/>
      <c r="K101" s="33"/>
      <c r="L101" s="34"/>
      <c r="M101" s="34"/>
      <c r="N101" s="34"/>
      <c r="O101" s="34"/>
      <c r="P101" s="33"/>
      <c r="Q101" s="35"/>
      <c r="R101" s="33"/>
      <c r="S101" s="33"/>
      <c r="T101" s="33"/>
      <c r="U101" s="33"/>
      <c r="V101" s="33"/>
      <c r="W101" s="33"/>
    </row>
    <row r="102" customFormat="false" ht="15" hidden="false" customHeight="false" outlineLevel="0" collapsed="false">
      <c r="A102" s="33"/>
      <c r="B102" s="33"/>
      <c r="C102" s="33"/>
      <c r="D102" s="33"/>
      <c r="E102" s="33"/>
      <c r="F102" s="33"/>
      <c r="G102" s="33"/>
      <c r="H102" s="33"/>
      <c r="I102" s="33"/>
      <c r="J102" s="33"/>
      <c r="K102" s="33"/>
      <c r="L102" s="34"/>
      <c r="M102" s="34"/>
      <c r="N102" s="34"/>
      <c r="O102" s="34"/>
      <c r="P102" s="33"/>
      <c r="Q102" s="35"/>
      <c r="R102" s="33"/>
      <c r="S102" s="33"/>
      <c r="T102" s="33"/>
      <c r="U102" s="33"/>
      <c r="V102" s="33"/>
      <c r="W102" s="33"/>
    </row>
    <row r="103" customFormat="false" ht="15" hidden="false" customHeight="false" outlineLevel="0" collapsed="false">
      <c r="A103" s="33"/>
      <c r="B103" s="33"/>
      <c r="C103" s="33"/>
      <c r="D103" s="33"/>
      <c r="E103" s="33"/>
      <c r="F103" s="33"/>
      <c r="G103" s="33"/>
      <c r="H103" s="33"/>
      <c r="I103" s="33"/>
      <c r="J103" s="33"/>
      <c r="K103" s="33"/>
      <c r="L103" s="34"/>
      <c r="M103" s="34"/>
      <c r="N103" s="34"/>
      <c r="O103" s="34"/>
      <c r="P103" s="33"/>
      <c r="Q103" s="35"/>
      <c r="R103" s="33"/>
      <c r="S103" s="33"/>
      <c r="T103" s="33"/>
      <c r="U103" s="33"/>
      <c r="V103" s="33"/>
      <c r="W103" s="33"/>
    </row>
    <row r="104" customFormat="false" ht="15" hidden="false" customHeight="false" outlineLevel="0" collapsed="false">
      <c r="A104" s="33"/>
      <c r="B104" s="33"/>
      <c r="C104" s="33"/>
      <c r="D104" s="33"/>
      <c r="E104" s="33"/>
      <c r="F104" s="33"/>
      <c r="G104" s="33"/>
      <c r="H104" s="33"/>
      <c r="I104" s="33"/>
      <c r="J104" s="33"/>
      <c r="K104" s="33"/>
      <c r="L104" s="34"/>
      <c r="M104" s="34"/>
      <c r="N104" s="34"/>
      <c r="O104" s="34"/>
      <c r="P104" s="33"/>
      <c r="Q104" s="35"/>
      <c r="R104" s="33"/>
      <c r="S104" s="33"/>
      <c r="T104" s="33"/>
      <c r="U104" s="33"/>
      <c r="V104" s="33"/>
      <c r="W104" s="33"/>
    </row>
    <row r="105" customFormat="false" ht="15" hidden="false" customHeight="false" outlineLevel="0" collapsed="false">
      <c r="A105" s="33"/>
      <c r="B105" s="33"/>
      <c r="C105" s="33"/>
      <c r="D105" s="33"/>
      <c r="E105" s="33"/>
      <c r="F105" s="33"/>
      <c r="G105" s="33"/>
      <c r="H105" s="33"/>
      <c r="I105" s="33"/>
      <c r="J105" s="33"/>
      <c r="K105" s="33"/>
      <c r="L105" s="34"/>
      <c r="M105" s="34"/>
      <c r="N105" s="34"/>
      <c r="O105" s="34"/>
      <c r="P105" s="33"/>
      <c r="Q105" s="35"/>
      <c r="R105" s="33"/>
      <c r="S105" s="33"/>
      <c r="T105" s="33"/>
      <c r="U105" s="33"/>
      <c r="V105" s="33"/>
      <c r="W105" s="33"/>
    </row>
    <row r="106" customFormat="false" ht="15" hidden="false" customHeight="false" outlineLevel="0" collapsed="false">
      <c r="A106" s="33"/>
      <c r="B106" s="33"/>
      <c r="C106" s="33"/>
      <c r="D106" s="33"/>
      <c r="E106" s="33"/>
      <c r="F106" s="33"/>
      <c r="G106" s="33"/>
      <c r="H106" s="33"/>
      <c r="I106" s="33"/>
      <c r="J106" s="33"/>
      <c r="K106" s="33"/>
      <c r="L106" s="34"/>
      <c r="M106" s="34"/>
      <c r="N106" s="34"/>
      <c r="O106" s="34"/>
      <c r="P106" s="33"/>
      <c r="Q106" s="35"/>
      <c r="R106" s="33"/>
      <c r="S106" s="33"/>
      <c r="T106" s="33"/>
      <c r="U106" s="33"/>
      <c r="V106" s="33"/>
      <c r="W106" s="33"/>
    </row>
    <row r="107" customFormat="false" ht="15" hidden="false" customHeight="false" outlineLevel="0" collapsed="false">
      <c r="A107" s="33"/>
      <c r="B107" s="33"/>
      <c r="C107" s="33"/>
      <c r="D107" s="33"/>
      <c r="E107" s="33"/>
      <c r="F107" s="33"/>
      <c r="G107" s="33"/>
      <c r="H107" s="33"/>
      <c r="I107" s="33"/>
      <c r="J107" s="33"/>
      <c r="K107" s="33"/>
      <c r="L107" s="34"/>
      <c r="M107" s="34"/>
      <c r="N107" s="34"/>
      <c r="O107" s="34"/>
      <c r="P107" s="33"/>
      <c r="Q107" s="35"/>
      <c r="R107" s="33"/>
      <c r="S107" s="33"/>
      <c r="T107" s="33"/>
      <c r="U107" s="33"/>
      <c r="V107" s="33"/>
      <c r="W107" s="33"/>
    </row>
    <row r="108" customFormat="false" ht="15" hidden="false" customHeight="false" outlineLevel="0" collapsed="false">
      <c r="A108" s="33"/>
      <c r="B108" s="33"/>
      <c r="C108" s="33"/>
      <c r="D108" s="33"/>
      <c r="E108" s="33"/>
      <c r="F108" s="33"/>
      <c r="G108" s="33"/>
      <c r="H108" s="33"/>
      <c r="I108" s="33"/>
      <c r="J108" s="33"/>
      <c r="K108" s="33"/>
      <c r="L108" s="34"/>
      <c r="M108" s="34"/>
      <c r="N108" s="34"/>
      <c r="O108" s="34"/>
      <c r="P108" s="33"/>
      <c r="Q108" s="35"/>
      <c r="R108" s="33"/>
      <c r="S108" s="33"/>
      <c r="T108" s="33"/>
      <c r="U108" s="33"/>
      <c r="V108" s="33"/>
      <c r="W108" s="33"/>
    </row>
    <row r="109" customFormat="false" ht="15" hidden="false" customHeight="false" outlineLevel="0" collapsed="false">
      <c r="A109" s="33"/>
      <c r="B109" s="33"/>
      <c r="C109" s="33"/>
      <c r="D109" s="33"/>
      <c r="E109" s="33"/>
      <c r="F109" s="33"/>
      <c r="G109" s="33"/>
      <c r="H109" s="33"/>
      <c r="I109" s="33"/>
      <c r="J109" s="33"/>
      <c r="K109" s="33"/>
      <c r="L109" s="34"/>
      <c r="M109" s="34"/>
      <c r="N109" s="34"/>
      <c r="O109" s="34"/>
      <c r="P109" s="33"/>
      <c r="Q109" s="35"/>
      <c r="R109" s="33"/>
      <c r="S109" s="33"/>
      <c r="T109" s="33"/>
      <c r="U109" s="33"/>
      <c r="V109" s="33"/>
      <c r="W109" s="33"/>
    </row>
    <row r="110" customFormat="false" ht="15" hidden="false" customHeight="false" outlineLevel="0" collapsed="false">
      <c r="A110" s="33"/>
      <c r="B110" s="33"/>
      <c r="C110" s="33"/>
      <c r="D110" s="33"/>
      <c r="E110" s="33"/>
      <c r="F110" s="33"/>
      <c r="G110" s="33"/>
      <c r="H110" s="33"/>
      <c r="I110" s="33"/>
      <c r="J110" s="33"/>
      <c r="K110" s="33"/>
      <c r="L110" s="34"/>
      <c r="M110" s="34"/>
      <c r="N110" s="34"/>
      <c r="O110" s="34"/>
      <c r="P110" s="33"/>
      <c r="Q110" s="35"/>
      <c r="R110" s="33"/>
      <c r="S110" s="33"/>
      <c r="T110" s="33"/>
      <c r="U110" s="33"/>
      <c r="V110" s="33"/>
      <c r="W110" s="33"/>
    </row>
    <row r="111" customFormat="false" ht="15" hidden="false" customHeight="false" outlineLevel="0" collapsed="false">
      <c r="A111" s="33"/>
      <c r="B111" s="33"/>
      <c r="C111" s="33"/>
      <c r="D111" s="33"/>
      <c r="E111" s="33"/>
      <c r="F111" s="33"/>
      <c r="G111" s="33"/>
      <c r="H111" s="33"/>
      <c r="I111" s="33"/>
      <c r="J111" s="33"/>
      <c r="K111" s="33"/>
      <c r="L111" s="34"/>
      <c r="M111" s="34"/>
      <c r="N111" s="34"/>
      <c r="O111" s="34"/>
      <c r="P111" s="33"/>
      <c r="Q111" s="35"/>
      <c r="R111" s="33"/>
      <c r="S111" s="33"/>
      <c r="T111" s="33"/>
      <c r="U111" s="33"/>
      <c r="V111" s="33"/>
      <c r="W111" s="33"/>
    </row>
    <row r="112" customFormat="false" ht="15" hidden="false" customHeight="false" outlineLevel="0" collapsed="false">
      <c r="A112" s="33"/>
      <c r="B112" s="33"/>
      <c r="C112" s="33"/>
      <c r="D112" s="33"/>
      <c r="E112" s="33"/>
      <c r="F112" s="33"/>
      <c r="G112" s="33"/>
      <c r="H112" s="33"/>
      <c r="I112" s="33"/>
      <c r="J112" s="33"/>
      <c r="K112" s="33"/>
      <c r="L112" s="34"/>
      <c r="M112" s="34"/>
      <c r="N112" s="34"/>
      <c r="O112" s="34"/>
      <c r="P112" s="33"/>
      <c r="Q112" s="35"/>
      <c r="R112" s="33"/>
      <c r="S112" s="33"/>
      <c r="T112" s="33"/>
      <c r="U112" s="33"/>
      <c r="V112" s="33"/>
      <c r="W112" s="33"/>
    </row>
    <row r="113" customFormat="false" ht="15" hidden="false" customHeight="false" outlineLevel="0" collapsed="false">
      <c r="A113" s="33"/>
      <c r="B113" s="33"/>
      <c r="C113" s="33"/>
      <c r="D113" s="33"/>
      <c r="E113" s="33"/>
      <c r="F113" s="33"/>
      <c r="G113" s="33"/>
      <c r="H113" s="33"/>
      <c r="I113" s="33"/>
      <c r="J113" s="33"/>
      <c r="K113" s="33"/>
      <c r="L113" s="34"/>
      <c r="M113" s="34"/>
      <c r="N113" s="34"/>
      <c r="O113" s="34"/>
      <c r="P113" s="33"/>
      <c r="Q113" s="35"/>
      <c r="R113" s="33"/>
      <c r="S113" s="33"/>
      <c r="T113" s="33"/>
      <c r="U113" s="33"/>
      <c r="V113" s="33"/>
      <c r="W113" s="33"/>
    </row>
    <row r="114" customFormat="false" ht="15" hidden="false" customHeight="false" outlineLevel="0" collapsed="false">
      <c r="A114" s="33"/>
      <c r="B114" s="33"/>
      <c r="C114" s="33"/>
      <c r="D114" s="33"/>
      <c r="E114" s="33"/>
      <c r="F114" s="33"/>
      <c r="G114" s="33"/>
      <c r="H114" s="33"/>
      <c r="I114" s="33"/>
      <c r="J114" s="33"/>
      <c r="K114" s="33"/>
      <c r="L114" s="34"/>
      <c r="M114" s="34"/>
      <c r="N114" s="34"/>
      <c r="O114" s="34"/>
      <c r="P114" s="33"/>
      <c r="Q114" s="35"/>
      <c r="R114" s="33"/>
      <c r="S114" s="33"/>
      <c r="T114" s="33"/>
      <c r="U114" s="33"/>
      <c r="V114" s="33"/>
      <c r="W114" s="33"/>
    </row>
    <row r="115" customFormat="false" ht="15" hidden="false" customHeight="false" outlineLevel="0" collapsed="false">
      <c r="A115" s="33"/>
      <c r="B115" s="33"/>
      <c r="C115" s="33"/>
      <c r="D115" s="33"/>
      <c r="E115" s="33"/>
      <c r="F115" s="33"/>
      <c r="G115" s="33"/>
      <c r="H115" s="33"/>
      <c r="I115" s="33"/>
      <c r="J115" s="33"/>
      <c r="K115" s="33"/>
      <c r="L115" s="34"/>
      <c r="M115" s="34"/>
      <c r="N115" s="34"/>
      <c r="O115" s="34"/>
      <c r="P115" s="33"/>
      <c r="Q115" s="35"/>
      <c r="R115" s="33"/>
      <c r="S115" s="33"/>
      <c r="T115" s="33"/>
      <c r="U115" s="33"/>
      <c r="V115" s="33"/>
      <c r="W115" s="33"/>
    </row>
    <row r="116" customFormat="false" ht="15" hidden="false" customHeight="false" outlineLevel="0" collapsed="false">
      <c r="A116" s="33"/>
      <c r="B116" s="33"/>
      <c r="C116" s="33"/>
      <c r="D116" s="33"/>
      <c r="E116" s="33"/>
      <c r="F116" s="33"/>
      <c r="G116" s="33"/>
      <c r="H116" s="33"/>
      <c r="I116" s="33"/>
      <c r="J116" s="33"/>
      <c r="K116" s="33"/>
      <c r="L116" s="34"/>
      <c r="M116" s="34"/>
      <c r="N116" s="34"/>
      <c r="O116" s="34"/>
      <c r="P116" s="33"/>
      <c r="Q116" s="35"/>
      <c r="R116" s="33"/>
      <c r="S116" s="33"/>
      <c r="T116" s="33"/>
      <c r="U116" s="33"/>
      <c r="V116" s="33"/>
      <c r="W116" s="33"/>
    </row>
    <row r="117" customFormat="false" ht="15" hidden="false" customHeight="false" outlineLevel="0" collapsed="false">
      <c r="A117" s="33"/>
      <c r="B117" s="33"/>
      <c r="C117" s="33"/>
      <c r="D117" s="33"/>
      <c r="E117" s="33"/>
      <c r="F117" s="33"/>
      <c r="G117" s="33"/>
      <c r="H117" s="33"/>
      <c r="I117" s="33"/>
      <c r="J117" s="33"/>
      <c r="K117" s="33"/>
      <c r="L117" s="34"/>
      <c r="M117" s="34"/>
      <c r="N117" s="34"/>
      <c r="O117" s="34"/>
      <c r="P117" s="33"/>
      <c r="Q117" s="35"/>
      <c r="R117" s="33"/>
      <c r="S117" s="33"/>
      <c r="T117" s="33"/>
      <c r="U117" s="33"/>
      <c r="V117" s="33"/>
      <c r="W117" s="33"/>
    </row>
    <row r="118" customFormat="false" ht="15" hidden="false" customHeight="false" outlineLevel="0" collapsed="false">
      <c r="A118" s="33"/>
      <c r="B118" s="33"/>
      <c r="C118" s="33"/>
      <c r="D118" s="33"/>
      <c r="E118" s="33"/>
      <c r="F118" s="33"/>
      <c r="G118" s="33"/>
      <c r="H118" s="33"/>
      <c r="I118" s="33"/>
      <c r="J118" s="33"/>
      <c r="K118" s="33"/>
      <c r="L118" s="34"/>
      <c r="M118" s="34"/>
      <c r="N118" s="34"/>
      <c r="O118" s="34"/>
      <c r="P118" s="33"/>
      <c r="Q118" s="35"/>
      <c r="R118" s="33"/>
      <c r="S118" s="33"/>
      <c r="T118" s="33"/>
      <c r="U118" s="33"/>
      <c r="V118" s="33"/>
      <c r="W118" s="33"/>
    </row>
    <row r="119" customFormat="false" ht="15" hidden="false" customHeight="false" outlineLevel="0" collapsed="false">
      <c r="A119" s="33"/>
      <c r="B119" s="33"/>
      <c r="C119" s="33"/>
      <c r="D119" s="33"/>
      <c r="E119" s="33"/>
      <c r="F119" s="33"/>
      <c r="G119" s="33"/>
      <c r="H119" s="33"/>
      <c r="I119" s="33"/>
      <c r="J119" s="33"/>
      <c r="K119" s="33"/>
      <c r="L119" s="34"/>
      <c r="M119" s="34"/>
      <c r="N119" s="34"/>
      <c r="O119" s="34"/>
      <c r="P119" s="33"/>
      <c r="Q119" s="35"/>
      <c r="R119" s="33"/>
      <c r="S119" s="33"/>
      <c r="T119" s="33"/>
      <c r="U119" s="33"/>
      <c r="V119" s="33"/>
      <c r="W119" s="33"/>
    </row>
    <row r="120" customFormat="false" ht="15" hidden="false" customHeight="false" outlineLevel="0" collapsed="false">
      <c r="A120" s="33"/>
      <c r="B120" s="33"/>
      <c r="C120" s="33"/>
      <c r="D120" s="33"/>
      <c r="E120" s="33"/>
      <c r="F120" s="33"/>
      <c r="G120" s="33"/>
      <c r="H120" s="33"/>
      <c r="I120" s="33"/>
      <c r="J120" s="33"/>
      <c r="K120" s="33"/>
      <c r="L120" s="34"/>
      <c r="M120" s="34"/>
      <c r="N120" s="34"/>
      <c r="O120" s="34"/>
      <c r="P120" s="33"/>
      <c r="Q120" s="35"/>
      <c r="R120" s="33"/>
      <c r="S120" s="33"/>
      <c r="T120" s="33"/>
      <c r="U120" s="33"/>
      <c r="V120" s="33"/>
      <c r="W120" s="33"/>
    </row>
    <row r="121" customFormat="false" ht="15" hidden="false" customHeight="false" outlineLevel="0" collapsed="false">
      <c r="A121" s="33"/>
      <c r="B121" s="33"/>
      <c r="C121" s="33"/>
      <c r="D121" s="33"/>
      <c r="E121" s="33"/>
      <c r="F121" s="33"/>
      <c r="G121" s="33"/>
      <c r="H121" s="33"/>
      <c r="I121" s="33"/>
      <c r="J121" s="33"/>
      <c r="K121" s="33"/>
      <c r="L121" s="34"/>
      <c r="M121" s="34"/>
      <c r="N121" s="34"/>
      <c r="O121" s="34"/>
      <c r="P121" s="33"/>
      <c r="Q121" s="35"/>
      <c r="R121" s="33"/>
      <c r="S121" s="33"/>
      <c r="T121" s="33"/>
      <c r="U121" s="33"/>
      <c r="V121" s="33"/>
      <c r="W121" s="33"/>
    </row>
    <row r="122" customFormat="false" ht="15" hidden="false" customHeight="false" outlineLevel="0" collapsed="false">
      <c r="A122" s="33"/>
      <c r="B122" s="33"/>
      <c r="C122" s="33"/>
      <c r="D122" s="33"/>
      <c r="E122" s="33"/>
      <c r="F122" s="33"/>
      <c r="G122" s="33"/>
      <c r="H122" s="33"/>
      <c r="I122" s="33"/>
      <c r="J122" s="33"/>
      <c r="K122" s="33"/>
      <c r="L122" s="34"/>
      <c r="M122" s="34"/>
      <c r="N122" s="34"/>
      <c r="O122" s="34"/>
      <c r="P122" s="33"/>
      <c r="Q122" s="35"/>
      <c r="R122" s="33"/>
      <c r="S122" s="33"/>
      <c r="T122" s="33"/>
      <c r="U122" s="33"/>
      <c r="V122" s="33"/>
      <c r="W122" s="33"/>
    </row>
    <row r="123" customFormat="false" ht="15" hidden="false" customHeight="false" outlineLevel="0" collapsed="false">
      <c r="A123" s="33"/>
      <c r="B123" s="33"/>
      <c r="C123" s="33"/>
      <c r="D123" s="33"/>
      <c r="E123" s="33"/>
      <c r="F123" s="33"/>
      <c r="G123" s="33"/>
      <c r="H123" s="33"/>
      <c r="I123" s="33"/>
      <c r="J123" s="33"/>
      <c r="K123" s="33"/>
      <c r="L123" s="34"/>
      <c r="M123" s="34"/>
      <c r="N123" s="34"/>
      <c r="O123" s="34"/>
      <c r="P123" s="33"/>
      <c r="Q123" s="35"/>
      <c r="R123" s="33"/>
      <c r="S123" s="33"/>
      <c r="T123" s="33"/>
      <c r="U123" s="33"/>
      <c r="V123" s="33"/>
      <c r="W123" s="33"/>
    </row>
    <row r="124" customFormat="false" ht="15" hidden="false" customHeight="false" outlineLevel="0" collapsed="false">
      <c r="A124" s="33"/>
      <c r="B124" s="33"/>
      <c r="C124" s="33"/>
      <c r="D124" s="33"/>
      <c r="E124" s="33"/>
      <c r="F124" s="33"/>
      <c r="G124" s="33"/>
      <c r="H124" s="33"/>
      <c r="I124" s="33"/>
      <c r="J124" s="33"/>
      <c r="K124" s="33"/>
      <c r="L124" s="34"/>
      <c r="M124" s="34"/>
      <c r="N124" s="34"/>
      <c r="O124" s="34"/>
      <c r="P124" s="33"/>
      <c r="Q124" s="35"/>
      <c r="R124" s="33"/>
      <c r="S124" s="33"/>
      <c r="T124" s="33"/>
      <c r="U124" s="33"/>
      <c r="V124" s="33"/>
      <c r="W124" s="33"/>
    </row>
    <row r="125" customFormat="false" ht="15" hidden="false" customHeight="false" outlineLevel="0" collapsed="false">
      <c r="A125" s="33"/>
      <c r="B125" s="33"/>
      <c r="C125" s="33"/>
      <c r="D125" s="33"/>
      <c r="E125" s="33"/>
      <c r="F125" s="33"/>
      <c r="G125" s="33"/>
      <c r="H125" s="33"/>
      <c r="I125" s="33"/>
      <c r="J125" s="33"/>
      <c r="K125" s="33"/>
      <c r="L125" s="34"/>
      <c r="M125" s="34"/>
      <c r="N125" s="34"/>
      <c r="O125" s="34"/>
      <c r="P125" s="33"/>
      <c r="Q125" s="35"/>
      <c r="R125" s="33"/>
      <c r="S125" s="33"/>
      <c r="T125" s="33"/>
      <c r="U125" s="33"/>
      <c r="V125" s="33"/>
      <c r="W125" s="33"/>
    </row>
    <row r="126" customFormat="false" ht="15" hidden="false" customHeight="false" outlineLevel="0" collapsed="false">
      <c r="A126" s="33"/>
      <c r="B126" s="33"/>
      <c r="C126" s="33"/>
      <c r="D126" s="33"/>
      <c r="E126" s="33"/>
      <c r="F126" s="33"/>
      <c r="G126" s="33"/>
      <c r="H126" s="33"/>
      <c r="I126" s="33"/>
      <c r="J126" s="33"/>
      <c r="K126" s="33"/>
      <c r="L126" s="34"/>
      <c r="M126" s="34"/>
      <c r="N126" s="34"/>
      <c r="O126" s="34"/>
      <c r="P126" s="33"/>
      <c r="Q126" s="35"/>
      <c r="R126" s="33"/>
      <c r="S126" s="33"/>
      <c r="T126" s="33"/>
      <c r="U126" s="33"/>
      <c r="V126" s="33"/>
      <c r="W126" s="33"/>
    </row>
    <row r="127" customFormat="false" ht="15" hidden="false" customHeight="false" outlineLevel="0" collapsed="false">
      <c r="A127" s="33"/>
      <c r="B127" s="33"/>
      <c r="C127" s="33"/>
      <c r="D127" s="33"/>
      <c r="E127" s="33"/>
      <c r="F127" s="33"/>
      <c r="G127" s="33"/>
      <c r="H127" s="33"/>
      <c r="I127" s="33"/>
      <c r="J127" s="33"/>
      <c r="K127" s="33"/>
      <c r="L127" s="34"/>
      <c r="M127" s="34"/>
      <c r="N127" s="34"/>
      <c r="O127" s="34"/>
      <c r="P127" s="33"/>
      <c r="Q127" s="35"/>
      <c r="R127" s="33"/>
      <c r="S127" s="33"/>
      <c r="T127" s="33"/>
      <c r="U127" s="33"/>
      <c r="V127" s="33"/>
      <c r="W127" s="33"/>
    </row>
    <row r="128" customFormat="false" ht="15" hidden="false" customHeight="false" outlineLevel="0" collapsed="false">
      <c r="A128" s="33"/>
      <c r="B128" s="33"/>
      <c r="C128" s="33"/>
      <c r="D128" s="33"/>
      <c r="E128" s="33"/>
      <c r="F128" s="33"/>
      <c r="G128" s="33"/>
      <c r="H128" s="33"/>
      <c r="I128" s="33"/>
      <c r="J128" s="33"/>
      <c r="K128" s="33"/>
      <c r="L128" s="34"/>
      <c r="M128" s="34"/>
      <c r="N128" s="34"/>
      <c r="O128" s="34"/>
      <c r="P128" s="33"/>
      <c r="Q128" s="35"/>
      <c r="R128" s="33"/>
      <c r="S128" s="33"/>
      <c r="T128" s="33"/>
      <c r="U128" s="33"/>
      <c r="V128" s="33"/>
      <c r="W128" s="33"/>
    </row>
    <row r="129" customFormat="false" ht="15" hidden="false" customHeight="false" outlineLevel="0" collapsed="false">
      <c r="A129" s="33"/>
      <c r="B129" s="33"/>
      <c r="C129" s="33"/>
      <c r="D129" s="33"/>
      <c r="E129" s="33"/>
      <c r="F129" s="33"/>
      <c r="G129" s="33"/>
      <c r="H129" s="33"/>
      <c r="I129" s="33"/>
      <c r="J129" s="33"/>
      <c r="K129" s="33"/>
      <c r="L129" s="34"/>
      <c r="M129" s="34"/>
      <c r="N129" s="34"/>
      <c r="O129" s="34"/>
      <c r="P129" s="33"/>
      <c r="Q129" s="35"/>
      <c r="R129" s="33"/>
      <c r="S129" s="33"/>
      <c r="T129" s="33"/>
      <c r="U129" s="33"/>
      <c r="V129" s="33"/>
      <c r="W129" s="33"/>
    </row>
    <row r="130" customFormat="false" ht="15" hidden="false" customHeight="false" outlineLevel="0" collapsed="false">
      <c r="A130" s="33"/>
      <c r="B130" s="33"/>
      <c r="C130" s="33"/>
      <c r="D130" s="33"/>
      <c r="E130" s="33"/>
      <c r="F130" s="33"/>
      <c r="G130" s="33"/>
      <c r="H130" s="33"/>
      <c r="I130" s="33"/>
      <c r="J130" s="33"/>
      <c r="K130" s="33"/>
      <c r="L130" s="34"/>
      <c r="M130" s="34"/>
      <c r="N130" s="34"/>
      <c r="O130" s="34"/>
      <c r="P130" s="33"/>
      <c r="Q130" s="35"/>
      <c r="R130" s="33"/>
      <c r="S130" s="33"/>
      <c r="T130" s="33"/>
      <c r="U130" s="33"/>
      <c r="V130" s="33"/>
      <c r="W130" s="33"/>
    </row>
    <row r="131" customFormat="false" ht="15" hidden="false" customHeight="false" outlineLevel="0" collapsed="false">
      <c r="A131" s="33"/>
      <c r="B131" s="33"/>
      <c r="C131" s="33"/>
      <c r="D131" s="33"/>
      <c r="E131" s="33"/>
      <c r="F131" s="33"/>
      <c r="G131" s="33"/>
      <c r="H131" s="33"/>
      <c r="I131" s="33"/>
      <c r="J131" s="33"/>
      <c r="K131" s="33"/>
      <c r="L131" s="34"/>
      <c r="M131" s="34"/>
      <c r="N131" s="34"/>
      <c r="O131" s="34"/>
      <c r="P131" s="33"/>
      <c r="Q131" s="35"/>
      <c r="R131" s="33"/>
      <c r="S131" s="33"/>
      <c r="T131" s="33"/>
      <c r="U131" s="33"/>
      <c r="V131" s="33"/>
      <c r="W131" s="33"/>
    </row>
    <row r="132" customFormat="false" ht="15" hidden="false" customHeight="false" outlineLevel="0" collapsed="false">
      <c r="A132" s="33"/>
      <c r="B132" s="33"/>
      <c r="C132" s="33"/>
      <c r="D132" s="33"/>
      <c r="E132" s="33"/>
      <c r="F132" s="33"/>
      <c r="G132" s="33"/>
      <c r="H132" s="33"/>
      <c r="I132" s="33"/>
      <c r="J132" s="33"/>
      <c r="K132" s="33"/>
      <c r="L132" s="34"/>
      <c r="M132" s="34"/>
      <c r="N132" s="34"/>
      <c r="O132" s="34"/>
      <c r="P132" s="33"/>
      <c r="Q132" s="35"/>
      <c r="R132" s="33"/>
      <c r="S132" s="33"/>
      <c r="T132" s="33"/>
      <c r="U132" s="33"/>
      <c r="V132" s="33"/>
      <c r="W132" s="33"/>
    </row>
    <row r="133" customFormat="false" ht="15" hidden="false" customHeight="false" outlineLevel="0" collapsed="false">
      <c r="A133" s="33"/>
      <c r="B133" s="33"/>
      <c r="C133" s="33"/>
      <c r="D133" s="33"/>
      <c r="E133" s="33"/>
      <c r="F133" s="33"/>
      <c r="G133" s="33"/>
      <c r="H133" s="33"/>
      <c r="I133" s="33"/>
      <c r="J133" s="33"/>
      <c r="K133" s="33"/>
      <c r="L133" s="34"/>
      <c r="M133" s="34"/>
      <c r="N133" s="34"/>
      <c r="O133" s="34"/>
      <c r="P133" s="33"/>
      <c r="Q133" s="35"/>
      <c r="R133" s="33"/>
      <c r="S133" s="33"/>
      <c r="T133" s="33"/>
      <c r="U133" s="33"/>
      <c r="V133" s="33"/>
      <c r="W133" s="33"/>
    </row>
    <row r="134" customFormat="false" ht="15" hidden="false" customHeight="false" outlineLevel="0" collapsed="false">
      <c r="A134" s="33"/>
      <c r="B134" s="33"/>
      <c r="C134" s="33"/>
      <c r="D134" s="33"/>
      <c r="E134" s="33"/>
      <c r="F134" s="33"/>
      <c r="G134" s="33"/>
      <c r="H134" s="33"/>
      <c r="I134" s="33"/>
      <c r="J134" s="33"/>
      <c r="K134" s="33"/>
      <c r="L134" s="34"/>
      <c r="M134" s="34"/>
      <c r="N134" s="34"/>
      <c r="O134" s="34"/>
      <c r="P134" s="33"/>
      <c r="Q134" s="35"/>
      <c r="R134" s="33"/>
      <c r="S134" s="33"/>
      <c r="T134" s="33"/>
      <c r="U134" s="33"/>
      <c r="V134" s="33"/>
      <c r="W134" s="33"/>
    </row>
    <row r="135" customFormat="false" ht="15" hidden="false" customHeight="false" outlineLevel="0" collapsed="false">
      <c r="A135" s="33"/>
      <c r="B135" s="33"/>
      <c r="C135" s="33"/>
      <c r="D135" s="33"/>
      <c r="E135" s="33"/>
      <c r="F135" s="33"/>
      <c r="G135" s="33"/>
      <c r="H135" s="33"/>
      <c r="I135" s="33"/>
      <c r="J135" s="33"/>
      <c r="K135" s="33"/>
      <c r="L135" s="34"/>
      <c r="M135" s="34"/>
      <c r="N135" s="34"/>
      <c r="O135" s="34"/>
      <c r="P135" s="33"/>
      <c r="Q135" s="35"/>
      <c r="R135" s="33"/>
      <c r="S135" s="33"/>
      <c r="T135" s="33"/>
      <c r="U135" s="33"/>
      <c r="V135" s="33"/>
      <c r="W135" s="33"/>
    </row>
    <row r="136" customFormat="false" ht="15" hidden="false" customHeight="false" outlineLevel="0" collapsed="false">
      <c r="A136" s="33"/>
      <c r="B136" s="33"/>
      <c r="C136" s="33"/>
      <c r="D136" s="33"/>
      <c r="E136" s="33"/>
      <c r="F136" s="33"/>
      <c r="G136" s="33"/>
      <c r="H136" s="33"/>
      <c r="I136" s="33"/>
      <c r="J136" s="33"/>
      <c r="K136" s="33"/>
      <c r="L136" s="34"/>
      <c r="M136" s="34"/>
      <c r="N136" s="34"/>
      <c r="O136" s="34"/>
      <c r="P136" s="33"/>
      <c r="Q136" s="35"/>
      <c r="R136" s="33"/>
      <c r="S136" s="33"/>
      <c r="T136" s="33"/>
      <c r="U136" s="33"/>
      <c r="V136" s="33"/>
      <c r="W136" s="33"/>
    </row>
    <row r="137" customFormat="false" ht="15" hidden="false" customHeight="false" outlineLevel="0" collapsed="false">
      <c r="A137" s="33"/>
      <c r="B137" s="33"/>
      <c r="C137" s="33"/>
      <c r="D137" s="33"/>
      <c r="E137" s="33"/>
      <c r="F137" s="33"/>
      <c r="G137" s="33"/>
      <c r="H137" s="33"/>
      <c r="I137" s="33"/>
      <c r="J137" s="33"/>
      <c r="K137" s="33"/>
      <c r="L137" s="34"/>
      <c r="M137" s="34"/>
      <c r="N137" s="34"/>
      <c r="O137" s="34"/>
      <c r="P137" s="33"/>
      <c r="Q137" s="35"/>
      <c r="R137" s="33"/>
      <c r="S137" s="33"/>
      <c r="T137" s="33"/>
      <c r="U137" s="33"/>
      <c r="V137" s="33"/>
      <c r="W137" s="33"/>
    </row>
    <row r="138" customFormat="false" ht="15" hidden="false" customHeight="false" outlineLevel="0" collapsed="false">
      <c r="A138" s="33"/>
      <c r="B138" s="33"/>
      <c r="C138" s="33"/>
      <c r="D138" s="33"/>
      <c r="E138" s="33"/>
      <c r="F138" s="33"/>
      <c r="G138" s="33"/>
      <c r="H138" s="33"/>
      <c r="I138" s="33"/>
      <c r="J138" s="33"/>
      <c r="K138" s="33"/>
      <c r="L138" s="34"/>
      <c r="M138" s="34"/>
      <c r="N138" s="34"/>
      <c r="O138" s="34"/>
      <c r="P138" s="33"/>
      <c r="Q138" s="35"/>
      <c r="R138" s="33"/>
      <c r="S138" s="33"/>
      <c r="T138" s="33"/>
      <c r="U138" s="33"/>
      <c r="V138" s="33"/>
      <c r="W138" s="33"/>
    </row>
    <row r="139" customFormat="false" ht="15" hidden="false" customHeight="false" outlineLevel="0" collapsed="false">
      <c r="A139" s="33"/>
      <c r="B139" s="33"/>
      <c r="C139" s="33"/>
      <c r="D139" s="33"/>
      <c r="E139" s="33"/>
      <c r="F139" s="33"/>
      <c r="G139" s="33"/>
      <c r="H139" s="33"/>
      <c r="I139" s="33"/>
      <c r="J139" s="33"/>
      <c r="K139" s="33"/>
      <c r="L139" s="34"/>
      <c r="M139" s="34"/>
      <c r="N139" s="34"/>
      <c r="O139" s="34"/>
      <c r="P139" s="33"/>
      <c r="Q139" s="35"/>
      <c r="R139" s="33"/>
      <c r="S139" s="33"/>
      <c r="T139" s="33"/>
      <c r="U139" s="33"/>
      <c r="V139" s="33"/>
      <c r="W139" s="33"/>
    </row>
    <row r="140" customFormat="false" ht="15" hidden="false" customHeight="false" outlineLevel="0" collapsed="false">
      <c r="A140" s="33"/>
      <c r="B140" s="33"/>
      <c r="C140" s="33"/>
      <c r="D140" s="33"/>
      <c r="E140" s="33"/>
      <c r="F140" s="33"/>
      <c r="G140" s="33"/>
      <c r="H140" s="33"/>
      <c r="I140" s="33"/>
      <c r="J140" s="33"/>
      <c r="K140" s="33"/>
      <c r="L140" s="34"/>
      <c r="M140" s="34"/>
      <c r="N140" s="34"/>
      <c r="O140" s="34"/>
      <c r="P140" s="33"/>
      <c r="Q140" s="35"/>
      <c r="R140" s="33"/>
      <c r="S140" s="33"/>
      <c r="T140" s="33"/>
      <c r="U140" s="33"/>
      <c r="V140" s="33"/>
      <c r="W140" s="33"/>
    </row>
    <row r="141" customFormat="false" ht="15" hidden="false" customHeight="false" outlineLevel="0" collapsed="false">
      <c r="A141" s="33"/>
      <c r="B141" s="33"/>
      <c r="C141" s="33"/>
      <c r="D141" s="33"/>
      <c r="E141" s="33"/>
      <c r="F141" s="33"/>
      <c r="G141" s="33"/>
      <c r="H141" s="33"/>
      <c r="I141" s="33"/>
      <c r="J141" s="33"/>
      <c r="K141" s="33"/>
      <c r="L141" s="34"/>
      <c r="M141" s="34"/>
      <c r="N141" s="34"/>
      <c r="O141" s="34"/>
      <c r="P141" s="33"/>
      <c r="Q141" s="35"/>
      <c r="R141" s="33"/>
      <c r="S141" s="33"/>
      <c r="T141" s="33"/>
      <c r="U141" s="33"/>
      <c r="V141" s="33"/>
      <c r="W141" s="33"/>
    </row>
    <row r="142" customFormat="false" ht="15" hidden="false" customHeight="false" outlineLevel="0" collapsed="false">
      <c r="A142" s="33"/>
      <c r="B142" s="33"/>
      <c r="C142" s="33"/>
      <c r="D142" s="33"/>
      <c r="E142" s="33"/>
      <c r="F142" s="33"/>
      <c r="G142" s="33"/>
      <c r="H142" s="33"/>
      <c r="I142" s="33"/>
      <c r="J142" s="33"/>
      <c r="K142" s="33"/>
      <c r="L142" s="34"/>
      <c r="M142" s="34"/>
      <c r="N142" s="34"/>
      <c r="O142" s="34"/>
      <c r="P142" s="33"/>
      <c r="Q142" s="35"/>
      <c r="R142" s="33"/>
      <c r="S142" s="33"/>
      <c r="T142" s="33"/>
      <c r="U142" s="33"/>
      <c r="V142" s="33"/>
      <c r="W142" s="33"/>
    </row>
    <row r="143" customFormat="false" ht="15" hidden="false" customHeight="false" outlineLevel="0" collapsed="false">
      <c r="A143" s="33"/>
      <c r="B143" s="33"/>
      <c r="C143" s="33"/>
      <c r="D143" s="33"/>
      <c r="E143" s="33"/>
      <c r="F143" s="33"/>
      <c r="G143" s="33"/>
      <c r="H143" s="33"/>
      <c r="I143" s="33"/>
      <c r="J143" s="33"/>
      <c r="K143" s="33"/>
      <c r="L143" s="34"/>
      <c r="M143" s="34"/>
      <c r="N143" s="34"/>
      <c r="O143" s="34"/>
      <c r="P143" s="33"/>
      <c r="Q143" s="35"/>
      <c r="R143" s="33"/>
      <c r="S143" s="33"/>
      <c r="T143" s="33"/>
      <c r="U143" s="33"/>
      <c r="V143" s="33"/>
      <c r="W143" s="33"/>
    </row>
    <row r="144" customFormat="false" ht="15" hidden="false" customHeight="false" outlineLevel="0" collapsed="false">
      <c r="A144" s="33"/>
      <c r="B144" s="33"/>
      <c r="C144" s="33"/>
      <c r="D144" s="33"/>
      <c r="E144" s="33"/>
      <c r="F144" s="33"/>
      <c r="G144" s="33"/>
      <c r="H144" s="33"/>
      <c r="I144" s="33"/>
      <c r="J144" s="33"/>
      <c r="K144" s="33"/>
      <c r="L144" s="34"/>
      <c r="M144" s="34"/>
      <c r="N144" s="34"/>
      <c r="O144" s="34"/>
      <c r="P144" s="33"/>
      <c r="Q144" s="35"/>
      <c r="R144" s="33"/>
      <c r="S144" s="33"/>
      <c r="T144" s="33"/>
      <c r="U144" s="33"/>
      <c r="V144" s="33"/>
      <c r="W144" s="33"/>
    </row>
    <row r="145" customFormat="false" ht="15" hidden="false" customHeight="false" outlineLevel="0" collapsed="false">
      <c r="A145" s="33"/>
      <c r="B145" s="33"/>
      <c r="C145" s="33"/>
      <c r="D145" s="33"/>
      <c r="E145" s="33"/>
      <c r="F145" s="33"/>
      <c r="G145" s="33"/>
      <c r="H145" s="33"/>
      <c r="I145" s="33"/>
      <c r="J145" s="33"/>
      <c r="K145" s="33"/>
      <c r="L145" s="34"/>
      <c r="M145" s="34"/>
      <c r="N145" s="34"/>
      <c r="O145" s="34"/>
      <c r="P145" s="33"/>
      <c r="Q145" s="35"/>
      <c r="R145" s="33"/>
      <c r="S145" s="33"/>
      <c r="T145" s="33"/>
      <c r="U145" s="33"/>
      <c r="V145" s="33"/>
      <c r="W145" s="33"/>
    </row>
    <row r="146" customFormat="false" ht="15" hidden="false" customHeight="false" outlineLevel="0" collapsed="false">
      <c r="A146" s="33"/>
      <c r="B146" s="33"/>
      <c r="C146" s="33"/>
      <c r="D146" s="33"/>
      <c r="E146" s="33"/>
      <c r="F146" s="33"/>
      <c r="G146" s="33"/>
      <c r="H146" s="33"/>
      <c r="I146" s="33"/>
      <c r="J146" s="33"/>
      <c r="K146" s="33"/>
      <c r="L146" s="34"/>
      <c r="M146" s="34"/>
      <c r="N146" s="34"/>
      <c r="O146" s="34"/>
      <c r="P146" s="33"/>
      <c r="Q146" s="35"/>
      <c r="R146" s="33"/>
      <c r="S146" s="33"/>
      <c r="T146" s="33"/>
      <c r="U146" s="33"/>
      <c r="V146" s="33"/>
      <c r="W146" s="33"/>
    </row>
    <row r="147" customFormat="false" ht="15" hidden="false" customHeight="false" outlineLevel="0" collapsed="false">
      <c r="A147" s="33"/>
      <c r="B147" s="33"/>
      <c r="C147" s="33"/>
      <c r="D147" s="33"/>
      <c r="E147" s="33"/>
      <c r="F147" s="33"/>
      <c r="G147" s="33"/>
      <c r="H147" s="33"/>
      <c r="I147" s="33"/>
      <c r="J147" s="33"/>
      <c r="K147" s="33"/>
      <c r="L147" s="34"/>
      <c r="M147" s="34"/>
      <c r="N147" s="34"/>
      <c r="O147" s="34"/>
      <c r="P147" s="33"/>
      <c r="Q147" s="35"/>
      <c r="R147" s="33"/>
      <c r="S147" s="33"/>
      <c r="T147" s="33"/>
      <c r="U147" s="33"/>
      <c r="V147" s="33"/>
      <c r="W147" s="33"/>
    </row>
    <row r="148" customFormat="false" ht="15" hidden="false" customHeight="false" outlineLevel="0" collapsed="false">
      <c r="A148" s="33"/>
      <c r="B148" s="33"/>
      <c r="C148" s="33"/>
      <c r="D148" s="33"/>
      <c r="E148" s="33"/>
      <c r="F148" s="33"/>
      <c r="G148" s="33"/>
      <c r="H148" s="33"/>
      <c r="I148" s="33"/>
      <c r="J148" s="33"/>
      <c r="K148" s="33"/>
      <c r="L148" s="34"/>
      <c r="M148" s="34"/>
      <c r="N148" s="34"/>
      <c r="O148" s="34"/>
      <c r="P148" s="33"/>
      <c r="Q148" s="35"/>
      <c r="R148" s="33"/>
      <c r="S148" s="33"/>
      <c r="T148" s="33"/>
      <c r="U148" s="33"/>
      <c r="V148" s="33"/>
      <c r="W148" s="33"/>
    </row>
    <row r="149" customFormat="false" ht="15" hidden="false" customHeight="false" outlineLevel="0" collapsed="false">
      <c r="A149" s="33"/>
      <c r="B149" s="33"/>
      <c r="C149" s="33"/>
      <c r="D149" s="33"/>
      <c r="E149" s="33"/>
      <c r="F149" s="33"/>
      <c r="G149" s="33"/>
      <c r="H149" s="33"/>
      <c r="I149" s="33"/>
      <c r="J149" s="33"/>
      <c r="K149" s="33"/>
      <c r="L149" s="34"/>
      <c r="M149" s="34"/>
      <c r="N149" s="34"/>
      <c r="O149" s="34"/>
      <c r="P149" s="33"/>
      <c r="Q149" s="35"/>
      <c r="R149" s="33"/>
      <c r="S149" s="33"/>
      <c r="T149" s="33"/>
      <c r="U149" s="33"/>
      <c r="V149" s="33"/>
      <c r="W149" s="33"/>
    </row>
    <row r="150" customFormat="false" ht="15" hidden="false" customHeight="false" outlineLevel="0" collapsed="false">
      <c r="A150" s="33"/>
      <c r="B150" s="33"/>
      <c r="C150" s="33"/>
      <c r="D150" s="33"/>
      <c r="E150" s="33"/>
      <c r="F150" s="33"/>
      <c r="G150" s="33"/>
      <c r="H150" s="33"/>
      <c r="I150" s="33"/>
      <c r="J150" s="33"/>
      <c r="K150" s="33"/>
      <c r="L150" s="34"/>
      <c r="M150" s="34"/>
      <c r="N150" s="34"/>
      <c r="O150" s="34"/>
      <c r="P150" s="33"/>
      <c r="Q150" s="35"/>
      <c r="R150" s="33"/>
      <c r="S150" s="33"/>
      <c r="T150" s="33"/>
      <c r="U150" s="33"/>
      <c r="V150" s="33"/>
      <c r="W150" s="33"/>
    </row>
    <row r="151" customFormat="false" ht="15" hidden="false" customHeight="false" outlineLevel="0" collapsed="false">
      <c r="A151" s="33"/>
      <c r="B151" s="33"/>
      <c r="C151" s="33"/>
      <c r="D151" s="33"/>
      <c r="E151" s="33"/>
      <c r="F151" s="33"/>
      <c r="G151" s="33"/>
      <c r="H151" s="33"/>
      <c r="I151" s="33"/>
      <c r="J151" s="33"/>
      <c r="K151" s="33"/>
      <c r="L151" s="34"/>
      <c r="M151" s="34"/>
      <c r="N151" s="34"/>
      <c r="O151" s="34"/>
      <c r="P151" s="33"/>
      <c r="Q151" s="35"/>
      <c r="R151" s="33"/>
      <c r="S151" s="33"/>
      <c r="T151" s="33"/>
      <c r="U151" s="33"/>
      <c r="V151" s="33"/>
      <c r="W151" s="33"/>
    </row>
    <row r="152" customFormat="false" ht="15" hidden="false" customHeight="false" outlineLevel="0" collapsed="false">
      <c r="A152" s="33"/>
      <c r="B152" s="33"/>
      <c r="C152" s="33"/>
      <c r="D152" s="33"/>
      <c r="E152" s="33"/>
      <c r="F152" s="33"/>
      <c r="G152" s="33"/>
      <c r="H152" s="33"/>
      <c r="I152" s="33"/>
      <c r="J152" s="33"/>
      <c r="K152" s="33"/>
      <c r="L152" s="34"/>
      <c r="M152" s="34"/>
      <c r="N152" s="34"/>
      <c r="O152" s="34"/>
      <c r="P152" s="33"/>
      <c r="Q152" s="35"/>
      <c r="R152" s="33"/>
      <c r="S152" s="33"/>
      <c r="T152" s="33"/>
      <c r="U152" s="33"/>
      <c r="V152" s="33"/>
      <c r="W152" s="33"/>
    </row>
    <row r="153" customFormat="false" ht="15" hidden="false" customHeight="false" outlineLevel="0" collapsed="false">
      <c r="A153" s="33"/>
      <c r="B153" s="33"/>
      <c r="C153" s="33"/>
      <c r="D153" s="33"/>
      <c r="E153" s="33"/>
      <c r="F153" s="33"/>
      <c r="G153" s="33"/>
      <c r="H153" s="33"/>
      <c r="I153" s="33"/>
      <c r="J153" s="33"/>
      <c r="K153" s="33"/>
      <c r="L153" s="34"/>
      <c r="M153" s="34"/>
      <c r="N153" s="34"/>
      <c r="O153" s="34"/>
      <c r="P153" s="33"/>
      <c r="Q153" s="35"/>
      <c r="R153" s="33"/>
      <c r="S153" s="33"/>
      <c r="T153" s="33"/>
      <c r="U153" s="33"/>
      <c r="V153" s="33"/>
      <c r="W153" s="33"/>
    </row>
    <row r="154" customFormat="false" ht="15" hidden="false" customHeight="false" outlineLevel="0" collapsed="false">
      <c r="A154" s="33"/>
      <c r="B154" s="33"/>
      <c r="C154" s="33"/>
      <c r="D154" s="33"/>
      <c r="E154" s="33"/>
      <c r="F154" s="33"/>
      <c r="G154" s="33"/>
      <c r="H154" s="33"/>
      <c r="I154" s="33"/>
      <c r="J154" s="33"/>
      <c r="K154" s="33"/>
      <c r="L154" s="34"/>
      <c r="M154" s="34"/>
      <c r="N154" s="34"/>
      <c r="O154" s="34"/>
      <c r="P154" s="33"/>
      <c r="Q154" s="35"/>
      <c r="R154" s="33"/>
      <c r="S154" s="33"/>
      <c r="T154" s="33"/>
      <c r="U154" s="33"/>
      <c r="V154" s="33"/>
      <c r="W154" s="33"/>
    </row>
    <row r="155" customFormat="false" ht="15" hidden="false" customHeight="false" outlineLevel="0" collapsed="false">
      <c r="A155" s="33"/>
      <c r="B155" s="33"/>
      <c r="C155" s="33"/>
      <c r="D155" s="33"/>
      <c r="E155" s="33"/>
      <c r="F155" s="33"/>
      <c r="G155" s="33"/>
      <c r="H155" s="33"/>
      <c r="I155" s="33"/>
      <c r="J155" s="33"/>
      <c r="K155" s="33"/>
      <c r="L155" s="34"/>
      <c r="M155" s="34"/>
      <c r="N155" s="34"/>
      <c r="O155" s="34"/>
      <c r="P155" s="33"/>
      <c r="Q155" s="35"/>
      <c r="R155" s="33"/>
      <c r="S155" s="33"/>
      <c r="T155" s="33"/>
      <c r="U155" s="33"/>
      <c r="V155" s="33"/>
      <c r="W155" s="33"/>
    </row>
    <row r="156" customFormat="false" ht="15" hidden="false" customHeight="false" outlineLevel="0" collapsed="false">
      <c r="A156" s="33"/>
      <c r="B156" s="33"/>
      <c r="C156" s="33"/>
      <c r="D156" s="33"/>
      <c r="E156" s="33"/>
      <c r="F156" s="33"/>
      <c r="G156" s="33"/>
      <c r="H156" s="33"/>
      <c r="I156" s="33"/>
      <c r="J156" s="33"/>
      <c r="K156" s="33"/>
      <c r="L156" s="34"/>
      <c r="M156" s="34"/>
      <c r="N156" s="34"/>
      <c r="O156" s="34"/>
      <c r="P156" s="33"/>
      <c r="Q156" s="35"/>
      <c r="R156" s="33"/>
      <c r="S156" s="33"/>
      <c r="T156" s="33"/>
      <c r="U156" s="33"/>
      <c r="V156" s="33"/>
      <c r="W156" s="33"/>
    </row>
    <row r="157" customFormat="false" ht="15" hidden="false" customHeight="false" outlineLevel="0" collapsed="false">
      <c r="A157" s="33"/>
      <c r="B157" s="33"/>
      <c r="C157" s="33"/>
      <c r="D157" s="33"/>
      <c r="E157" s="33"/>
      <c r="F157" s="33"/>
      <c r="G157" s="33"/>
      <c r="H157" s="33"/>
      <c r="I157" s="33"/>
      <c r="J157" s="33"/>
      <c r="K157" s="33"/>
      <c r="L157" s="34"/>
      <c r="M157" s="34"/>
      <c r="N157" s="34"/>
      <c r="O157" s="34"/>
      <c r="P157" s="33"/>
      <c r="Q157" s="35"/>
      <c r="R157" s="33"/>
      <c r="S157" s="33"/>
      <c r="T157" s="33"/>
      <c r="U157" s="33"/>
      <c r="V157" s="33"/>
      <c r="W157" s="33"/>
    </row>
    <row r="158" customFormat="false" ht="15" hidden="false" customHeight="false" outlineLevel="0" collapsed="false">
      <c r="A158" s="33"/>
      <c r="B158" s="33"/>
      <c r="C158" s="33"/>
      <c r="D158" s="33"/>
      <c r="E158" s="33"/>
      <c r="F158" s="33"/>
      <c r="G158" s="33"/>
      <c r="H158" s="33"/>
      <c r="I158" s="33"/>
      <c r="J158" s="33"/>
      <c r="K158" s="33"/>
      <c r="L158" s="34"/>
      <c r="M158" s="34"/>
      <c r="N158" s="34"/>
      <c r="O158" s="34"/>
      <c r="P158" s="33"/>
      <c r="Q158" s="35"/>
      <c r="R158" s="33"/>
      <c r="S158" s="33"/>
      <c r="T158" s="33"/>
      <c r="U158" s="33"/>
      <c r="V158" s="33"/>
      <c r="W158" s="33"/>
    </row>
    <row r="159" customFormat="false" ht="15" hidden="false" customHeight="false" outlineLevel="0" collapsed="false">
      <c r="A159" s="33"/>
      <c r="B159" s="33"/>
      <c r="C159" s="33"/>
      <c r="D159" s="33"/>
      <c r="E159" s="33"/>
      <c r="F159" s="33"/>
      <c r="G159" s="33"/>
      <c r="H159" s="33"/>
      <c r="I159" s="33"/>
      <c r="J159" s="33"/>
      <c r="K159" s="33"/>
      <c r="L159" s="34"/>
      <c r="M159" s="34"/>
      <c r="N159" s="34"/>
      <c r="O159" s="34"/>
      <c r="P159" s="33"/>
      <c r="Q159" s="35"/>
      <c r="R159" s="33"/>
      <c r="S159" s="33"/>
      <c r="T159" s="33"/>
      <c r="U159" s="33"/>
      <c r="V159" s="33"/>
      <c r="W159" s="33"/>
    </row>
    <row r="160" customFormat="false" ht="15" hidden="false" customHeight="false" outlineLevel="0" collapsed="false">
      <c r="A160" s="33"/>
      <c r="B160" s="33"/>
      <c r="C160" s="33"/>
      <c r="D160" s="33"/>
      <c r="E160" s="33"/>
      <c r="F160" s="33"/>
      <c r="G160" s="33"/>
      <c r="H160" s="33"/>
      <c r="I160" s="33"/>
      <c r="J160" s="33"/>
      <c r="K160" s="33"/>
      <c r="L160" s="34"/>
      <c r="M160" s="34"/>
      <c r="N160" s="34"/>
      <c r="O160" s="34"/>
      <c r="P160" s="33"/>
      <c r="Q160" s="35"/>
      <c r="R160" s="33"/>
      <c r="S160" s="33"/>
      <c r="T160" s="33"/>
      <c r="U160" s="33"/>
      <c r="V160" s="33"/>
      <c r="W160" s="33"/>
    </row>
    <row r="161" customFormat="false" ht="15" hidden="false" customHeight="false" outlineLevel="0" collapsed="false">
      <c r="A161" s="33"/>
      <c r="B161" s="33"/>
      <c r="C161" s="33"/>
      <c r="D161" s="33"/>
      <c r="E161" s="33"/>
      <c r="F161" s="33"/>
      <c r="G161" s="33"/>
      <c r="H161" s="33"/>
      <c r="I161" s="33"/>
      <c r="J161" s="33"/>
      <c r="K161" s="33"/>
      <c r="L161" s="34"/>
      <c r="M161" s="34"/>
      <c r="N161" s="34"/>
      <c r="O161" s="34"/>
      <c r="P161" s="33"/>
      <c r="Q161" s="35"/>
      <c r="R161" s="33"/>
      <c r="S161" s="33"/>
      <c r="T161" s="33"/>
      <c r="U161" s="33"/>
      <c r="V161" s="33"/>
      <c r="W161" s="33"/>
    </row>
    <row r="162" customFormat="false" ht="15" hidden="false" customHeight="false" outlineLevel="0" collapsed="false">
      <c r="A162" s="33"/>
      <c r="B162" s="33"/>
      <c r="C162" s="33"/>
      <c r="D162" s="33"/>
      <c r="E162" s="33"/>
      <c r="F162" s="33"/>
      <c r="G162" s="33"/>
      <c r="H162" s="33"/>
      <c r="I162" s="33"/>
      <c r="J162" s="33"/>
      <c r="K162" s="33"/>
      <c r="L162" s="34"/>
      <c r="M162" s="34"/>
      <c r="N162" s="34"/>
      <c r="O162" s="34"/>
      <c r="P162" s="33"/>
      <c r="Q162" s="35"/>
      <c r="R162" s="33"/>
      <c r="S162" s="33"/>
      <c r="T162" s="33"/>
      <c r="U162" s="33"/>
      <c r="V162" s="33"/>
      <c r="W162" s="33"/>
    </row>
    <row r="163" customFormat="false" ht="15" hidden="false" customHeight="false" outlineLevel="0" collapsed="false">
      <c r="A163" s="33"/>
      <c r="B163" s="33"/>
      <c r="C163" s="33"/>
      <c r="D163" s="33"/>
      <c r="E163" s="33"/>
      <c r="F163" s="33"/>
      <c r="G163" s="33"/>
      <c r="H163" s="33"/>
      <c r="I163" s="33"/>
      <c r="J163" s="33"/>
      <c r="K163" s="33"/>
      <c r="L163" s="34"/>
      <c r="M163" s="34"/>
      <c r="N163" s="34"/>
      <c r="O163" s="34"/>
      <c r="P163" s="33"/>
      <c r="Q163" s="35"/>
      <c r="R163" s="33"/>
      <c r="S163" s="33"/>
      <c r="T163" s="33"/>
      <c r="U163" s="33"/>
      <c r="V163" s="33"/>
      <c r="W163" s="33"/>
    </row>
    <row r="164" customFormat="false" ht="15" hidden="false" customHeight="false" outlineLevel="0" collapsed="false">
      <c r="A164" s="33"/>
      <c r="B164" s="33"/>
      <c r="C164" s="33"/>
      <c r="D164" s="33"/>
      <c r="E164" s="33"/>
      <c r="F164" s="33"/>
      <c r="G164" s="33"/>
      <c r="H164" s="33"/>
      <c r="I164" s="33"/>
      <c r="J164" s="33"/>
      <c r="K164" s="33"/>
      <c r="L164" s="34"/>
      <c r="M164" s="34"/>
      <c r="N164" s="34"/>
      <c r="O164" s="34"/>
      <c r="P164" s="33"/>
      <c r="Q164" s="35"/>
      <c r="R164" s="33"/>
      <c r="S164" s="33"/>
      <c r="T164" s="33"/>
      <c r="U164" s="33"/>
      <c r="V164" s="33"/>
      <c r="W164" s="33"/>
    </row>
    <row r="165" customFormat="false" ht="15" hidden="false" customHeight="false" outlineLevel="0" collapsed="false">
      <c r="A165" s="33"/>
      <c r="B165" s="33"/>
      <c r="C165" s="33"/>
      <c r="D165" s="33"/>
      <c r="E165" s="33"/>
      <c r="F165" s="33"/>
      <c r="G165" s="33"/>
      <c r="H165" s="33"/>
      <c r="I165" s="33"/>
      <c r="J165" s="33"/>
      <c r="K165" s="33"/>
      <c r="L165" s="34"/>
      <c r="M165" s="34"/>
      <c r="N165" s="34"/>
      <c r="O165" s="34"/>
      <c r="P165" s="33"/>
      <c r="Q165" s="35"/>
      <c r="R165" s="33"/>
      <c r="S165" s="33"/>
      <c r="T165" s="33"/>
      <c r="U165" s="33"/>
      <c r="V165" s="33"/>
      <c r="W165" s="33"/>
    </row>
    <row r="166" customFormat="false" ht="15" hidden="false" customHeight="false" outlineLevel="0" collapsed="false">
      <c r="A166" s="33"/>
      <c r="B166" s="33"/>
      <c r="C166" s="33"/>
      <c r="D166" s="33"/>
      <c r="E166" s="33"/>
      <c r="F166" s="33"/>
      <c r="G166" s="33"/>
      <c r="H166" s="33"/>
      <c r="I166" s="33"/>
      <c r="J166" s="33"/>
      <c r="K166" s="33"/>
      <c r="L166" s="34"/>
      <c r="M166" s="34"/>
      <c r="N166" s="34"/>
      <c r="O166" s="34"/>
      <c r="P166" s="33"/>
      <c r="Q166" s="35"/>
      <c r="R166" s="33"/>
      <c r="S166" s="33"/>
      <c r="T166" s="33"/>
      <c r="U166" s="33"/>
      <c r="V166" s="33"/>
      <c r="W166" s="33"/>
    </row>
    <row r="167" customFormat="false" ht="15" hidden="false" customHeight="false" outlineLevel="0" collapsed="false">
      <c r="A167" s="33"/>
      <c r="B167" s="33"/>
      <c r="C167" s="33"/>
      <c r="D167" s="33"/>
      <c r="E167" s="33"/>
      <c r="F167" s="33"/>
      <c r="G167" s="33"/>
      <c r="H167" s="33"/>
      <c r="I167" s="33"/>
      <c r="J167" s="33"/>
      <c r="K167" s="33"/>
      <c r="L167" s="34"/>
      <c r="M167" s="34"/>
      <c r="N167" s="34"/>
      <c r="O167" s="34"/>
      <c r="P167" s="33"/>
      <c r="Q167" s="35"/>
      <c r="R167" s="33"/>
      <c r="S167" s="33"/>
      <c r="T167" s="33"/>
      <c r="U167" s="33"/>
      <c r="V167" s="33"/>
      <c r="W167" s="33"/>
    </row>
    <row r="168" customFormat="false" ht="15" hidden="false" customHeight="false" outlineLevel="0" collapsed="false">
      <c r="A168" s="33"/>
      <c r="B168" s="33"/>
      <c r="C168" s="33"/>
      <c r="D168" s="33"/>
      <c r="E168" s="33"/>
      <c r="F168" s="33"/>
      <c r="G168" s="33"/>
      <c r="H168" s="33"/>
      <c r="I168" s="33"/>
      <c r="J168" s="33"/>
      <c r="K168" s="33"/>
      <c r="L168" s="34"/>
      <c r="M168" s="34"/>
      <c r="N168" s="34"/>
      <c r="O168" s="34"/>
      <c r="P168" s="33"/>
      <c r="Q168" s="35"/>
      <c r="R168" s="33"/>
      <c r="S168" s="33"/>
      <c r="T168" s="33"/>
      <c r="U168" s="33"/>
      <c r="V168" s="33"/>
      <c r="W168" s="33"/>
    </row>
    <row r="169" customFormat="false" ht="15" hidden="false" customHeight="false" outlineLevel="0" collapsed="false">
      <c r="A169" s="33"/>
      <c r="B169" s="33"/>
      <c r="C169" s="33"/>
      <c r="D169" s="33"/>
      <c r="E169" s="33"/>
      <c r="F169" s="33"/>
      <c r="G169" s="33"/>
      <c r="H169" s="33"/>
      <c r="I169" s="33"/>
      <c r="J169" s="33"/>
      <c r="K169" s="33"/>
      <c r="L169" s="34"/>
      <c r="M169" s="34"/>
      <c r="N169" s="34"/>
      <c r="O169" s="34"/>
      <c r="P169" s="33"/>
      <c r="Q169" s="35"/>
      <c r="R169" s="33"/>
      <c r="S169" s="33"/>
      <c r="T169" s="33"/>
      <c r="U169" s="33"/>
      <c r="V169" s="33"/>
      <c r="W169" s="33"/>
    </row>
    <row r="170" customFormat="false" ht="15" hidden="false" customHeight="false" outlineLevel="0" collapsed="false">
      <c r="A170" s="33"/>
      <c r="B170" s="33"/>
      <c r="C170" s="33"/>
      <c r="D170" s="33"/>
      <c r="E170" s="33"/>
      <c r="F170" s="33"/>
      <c r="G170" s="33"/>
      <c r="H170" s="33"/>
      <c r="I170" s="33"/>
      <c r="J170" s="33"/>
      <c r="K170" s="33"/>
      <c r="L170" s="34"/>
      <c r="M170" s="34"/>
      <c r="N170" s="34"/>
      <c r="O170" s="34"/>
      <c r="P170" s="33"/>
      <c r="Q170" s="35"/>
      <c r="R170" s="33"/>
      <c r="S170" s="33"/>
      <c r="T170" s="33"/>
      <c r="U170" s="33"/>
      <c r="V170" s="33"/>
      <c r="W170" s="33"/>
    </row>
    <row r="171" customFormat="false" ht="15" hidden="false" customHeight="false" outlineLevel="0" collapsed="false">
      <c r="A171" s="33"/>
      <c r="B171" s="33"/>
      <c r="C171" s="33"/>
      <c r="D171" s="33"/>
      <c r="E171" s="33"/>
      <c r="F171" s="33"/>
      <c r="G171" s="33"/>
      <c r="H171" s="33"/>
      <c r="I171" s="33"/>
      <c r="J171" s="33"/>
      <c r="K171" s="33"/>
      <c r="L171" s="34"/>
      <c r="M171" s="34"/>
      <c r="N171" s="34"/>
      <c r="O171" s="34"/>
      <c r="P171" s="33"/>
      <c r="Q171" s="35"/>
      <c r="R171" s="33"/>
      <c r="S171" s="33"/>
      <c r="T171" s="33"/>
      <c r="U171" s="33"/>
      <c r="V171" s="33"/>
      <c r="W171" s="33"/>
    </row>
    <row r="172" customFormat="false" ht="15" hidden="false" customHeight="false" outlineLevel="0" collapsed="false">
      <c r="A172" s="33"/>
      <c r="B172" s="33"/>
      <c r="C172" s="33"/>
      <c r="D172" s="33"/>
      <c r="E172" s="33"/>
      <c r="F172" s="33"/>
      <c r="G172" s="33"/>
      <c r="H172" s="33"/>
      <c r="I172" s="33"/>
      <c r="J172" s="33"/>
      <c r="K172" s="33"/>
      <c r="L172" s="34"/>
      <c r="M172" s="34"/>
      <c r="N172" s="34"/>
      <c r="O172" s="34"/>
      <c r="P172" s="33"/>
      <c r="Q172" s="35"/>
      <c r="R172" s="33"/>
      <c r="S172" s="33"/>
      <c r="T172" s="33"/>
      <c r="U172" s="33"/>
      <c r="V172" s="33"/>
      <c r="W172" s="33"/>
    </row>
    <row r="173" customFormat="false" ht="15" hidden="false" customHeight="false" outlineLevel="0" collapsed="false">
      <c r="A173" s="33"/>
      <c r="B173" s="33"/>
      <c r="C173" s="33"/>
      <c r="D173" s="33"/>
      <c r="E173" s="33"/>
      <c r="F173" s="33"/>
      <c r="G173" s="33"/>
      <c r="H173" s="33"/>
      <c r="I173" s="33"/>
      <c r="J173" s="33"/>
      <c r="K173" s="33"/>
      <c r="L173" s="34"/>
      <c r="M173" s="34"/>
      <c r="N173" s="34"/>
      <c r="O173" s="34"/>
      <c r="P173" s="33"/>
      <c r="Q173" s="35"/>
      <c r="R173" s="33"/>
      <c r="S173" s="33"/>
      <c r="T173" s="33"/>
      <c r="U173" s="33"/>
      <c r="V173" s="33"/>
      <c r="W173" s="33"/>
    </row>
    <row r="174" customFormat="false" ht="15" hidden="false" customHeight="false" outlineLevel="0" collapsed="false">
      <c r="A174" s="33"/>
      <c r="B174" s="33"/>
      <c r="C174" s="33"/>
      <c r="D174" s="33"/>
      <c r="E174" s="33"/>
      <c r="F174" s="33"/>
      <c r="G174" s="33"/>
      <c r="H174" s="33"/>
      <c r="I174" s="33"/>
      <c r="J174" s="33"/>
      <c r="K174" s="33"/>
      <c r="L174" s="34"/>
      <c r="M174" s="34"/>
      <c r="N174" s="34"/>
      <c r="O174" s="34"/>
      <c r="P174" s="33"/>
      <c r="Q174" s="35"/>
      <c r="R174" s="33"/>
      <c r="S174" s="33"/>
      <c r="T174" s="33"/>
      <c r="U174" s="33"/>
      <c r="V174" s="33"/>
      <c r="W174" s="33"/>
    </row>
    <row r="175" customFormat="false" ht="15" hidden="false" customHeight="false" outlineLevel="0" collapsed="false">
      <c r="A175" s="33"/>
      <c r="B175" s="33"/>
      <c r="C175" s="33"/>
      <c r="D175" s="33"/>
      <c r="E175" s="33"/>
      <c r="F175" s="33"/>
      <c r="G175" s="33"/>
      <c r="H175" s="33"/>
      <c r="I175" s="33"/>
      <c r="J175" s="33"/>
      <c r="K175" s="33"/>
      <c r="L175" s="34"/>
      <c r="M175" s="34"/>
      <c r="N175" s="34"/>
      <c r="O175" s="34"/>
      <c r="P175" s="33"/>
      <c r="Q175" s="35"/>
      <c r="R175" s="33"/>
      <c r="S175" s="33"/>
      <c r="T175" s="33"/>
      <c r="U175" s="33"/>
      <c r="V175" s="33"/>
      <c r="W175" s="33"/>
    </row>
    <row r="176" customFormat="false" ht="15" hidden="false" customHeight="false" outlineLevel="0" collapsed="false">
      <c r="A176" s="33"/>
      <c r="B176" s="33"/>
      <c r="C176" s="33"/>
      <c r="D176" s="33"/>
      <c r="E176" s="33"/>
      <c r="F176" s="33"/>
      <c r="G176" s="33"/>
      <c r="H176" s="33"/>
      <c r="I176" s="33"/>
      <c r="J176" s="33"/>
      <c r="K176" s="33"/>
      <c r="L176" s="34"/>
      <c r="M176" s="34"/>
      <c r="N176" s="34"/>
      <c r="O176" s="34"/>
      <c r="P176" s="33"/>
      <c r="Q176" s="35"/>
      <c r="R176" s="33"/>
      <c r="S176" s="33"/>
      <c r="T176" s="33"/>
      <c r="U176" s="33"/>
      <c r="V176" s="33"/>
      <c r="W176" s="33"/>
    </row>
    <row r="177" customFormat="false" ht="15" hidden="false" customHeight="false" outlineLevel="0" collapsed="false">
      <c r="A177" s="33"/>
      <c r="B177" s="33"/>
      <c r="C177" s="33"/>
      <c r="D177" s="33"/>
      <c r="E177" s="33"/>
      <c r="F177" s="33"/>
      <c r="G177" s="33"/>
      <c r="H177" s="33"/>
      <c r="I177" s="33"/>
      <c r="J177" s="33"/>
      <c r="K177" s="33"/>
      <c r="L177" s="34"/>
      <c r="M177" s="34"/>
      <c r="N177" s="34"/>
      <c r="O177" s="34"/>
      <c r="P177" s="33"/>
      <c r="Q177" s="35"/>
      <c r="R177" s="33"/>
      <c r="S177" s="33"/>
      <c r="T177" s="33"/>
      <c r="U177" s="33"/>
      <c r="V177" s="33"/>
      <c r="W177" s="33"/>
    </row>
    <row r="178" customFormat="false" ht="15" hidden="false" customHeight="false" outlineLevel="0" collapsed="false">
      <c r="A178" s="33"/>
      <c r="B178" s="33"/>
      <c r="C178" s="33"/>
      <c r="D178" s="33"/>
      <c r="E178" s="33"/>
      <c r="F178" s="33"/>
      <c r="G178" s="33"/>
      <c r="H178" s="33"/>
      <c r="I178" s="33"/>
      <c r="J178" s="33"/>
      <c r="K178" s="33"/>
      <c r="L178" s="34"/>
      <c r="M178" s="34"/>
      <c r="N178" s="34"/>
      <c r="O178" s="34"/>
      <c r="P178" s="33"/>
      <c r="Q178" s="35"/>
      <c r="R178" s="33"/>
      <c r="S178" s="33"/>
      <c r="T178" s="33"/>
      <c r="U178" s="33"/>
      <c r="V178" s="33"/>
      <c r="W178" s="33"/>
    </row>
    <row r="179" customFormat="false" ht="15" hidden="false" customHeight="false" outlineLevel="0" collapsed="false">
      <c r="A179" s="33"/>
      <c r="B179" s="33"/>
      <c r="C179" s="33"/>
      <c r="D179" s="33"/>
      <c r="E179" s="33"/>
      <c r="F179" s="33"/>
      <c r="G179" s="33"/>
      <c r="H179" s="33"/>
      <c r="I179" s="33"/>
      <c r="J179" s="33"/>
      <c r="K179" s="33"/>
      <c r="L179" s="34"/>
      <c r="M179" s="34"/>
      <c r="N179" s="34"/>
      <c r="O179" s="34"/>
      <c r="P179" s="33"/>
      <c r="Q179" s="35"/>
      <c r="R179" s="33"/>
      <c r="S179" s="33"/>
      <c r="T179" s="33"/>
      <c r="U179" s="33"/>
      <c r="V179" s="33"/>
      <c r="W179" s="33"/>
    </row>
    <row r="180" customFormat="false" ht="15" hidden="false" customHeight="false" outlineLevel="0" collapsed="false">
      <c r="A180" s="33"/>
      <c r="B180" s="33"/>
      <c r="C180" s="33"/>
      <c r="D180" s="33"/>
      <c r="E180" s="33"/>
      <c r="F180" s="33"/>
      <c r="G180" s="33"/>
      <c r="H180" s="33"/>
      <c r="I180" s="33"/>
      <c r="J180" s="33"/>
      <c r="K180" s="33"/>
      <c r="L180" s="34"/>
      <c r="M180" s="34"/>
      <c r="N180" s="34"/>
      <c r="O180" s="34"/>
      <c r="P180" s="33"/>
      <c r="Q180" s="35"/>
      <c r="R180" s="33"/>
      <c r="S180" s="33"/>
      <c r="T180" s="33"/>
      <c r="U180" s="33"/>
      <c r="V180" s="33"/>
      <c r="W180" s="33"/>
    </row>
    <row r="181" customFormat="false" ht="15" hidden="false" customHeight="false" outlineLevel="0" collapsed="false">
      <c r="A181" s="33"/>
      <c r="B181" s="33"/>
      <c r="C181" s="33"/>
      <c r="D181" s="33"/>
      <c r="E181" s="33"/>
      <c r="F181" s="33"/>
      <c r="G181" s="33"/>
      <c r="H181" s="33"/>
      <c r="I181" s="33"/>
      <c r="J181" s="33"/>
      <c r="K181" s="33"/>
      <c r="L181" s="34"/>
      <c r="M181" s="34"/>
      <c r="N181" s="34"/>
      <c r="O181" s="34"/>
      <c r="P181" s="33"/>
      <c r="Q181" s="35"/>
      <c r="R181" s="33"/>
      <c r="S181" s="33"/>
      <c r="T181" s="33"/>
      <c r="U181" s="33"/>
      <c r="V181" s="33"/>
      <c r="W181" s="33"/>
    </row>
    <row r="182" customFormat="false" ht="15" hidden="false" customHeight="false" outlineLevel="0" collapsed="false">
      <c r="A182" s="33"/>
      <c r="B182" s="33"/>
      <c r="C182" s="33"/>
      <c r="D182" s="33"/>
      <c r="E182" s="33"/>
      <c r="F182" s="33"/>
      <c r="G182" s="33"/>
      <c r="H182" s="33"/>
      <c r="I182" s="33"/>
      <c r="J182" s="33"/>
      <c r="K182" s="33"/>
      <c r="L182" s="34"/>
      <c r="M182" s="34"/>
      <c r="N182" s="34"/>
      <c r="O182" s="34"/>
      <c r="P182" s="33"/>
      <c r="Q182" s="35"/>
      <c r="R182" s="33"/>
      <c r="S182" s="33"/>
      <c r="T182" s="33"/>
      <c r="U182" s="33"/>
      <c r="V182" s="33"/>
      <c r="W182" s="33"/>
    </row>
    <row r="183" customFormat="false" ht="15" hidden="false" customHeight="false" outlineLevel="0" collapsed="false">
      <c r="A183" s="33"/>
      <c r="B183" s="33"/>
      <c r="C183" s="33"/>
      <c r="D183" s="33"/>
      <c r="E183" s="33"/>
      <c r="F183" s="33"/>
      <c r="G183" s="33"/>
      <c r="H183" s="33"/>
      <c r="I183" s="33"/>
      <c r="J183" s="33"/>
      <c r="K183" s="33"/>
      <c r="L183" s="34"/>
      <c r="M183" s="34"/>
      <c r="N183" s="34"/>
      <c r="O183" s="34"/>
      <c r="P183" s="33"/>
      <c r="Q183" s="35"/>
      <c r="R183" s="33"/>
      <c r="S183" s="33"/>
      <c r="T183" s="33"/>
      <c r="U183" s="33"/>
      <c r="V183" s="33"/>
      <c r="W183" s="33"/>
    </row>
    <row r="184" customFormat="false" ht="15" hidden="false" customHeight="false" outlineLevel="0" collapsed="false">
      <c r="A184" s="33"/>
      <c r="B184" s="33"/>
      <c r="C184" s="33"/>
      <c r="D184" s="33"/>
      <c r="E184" s="33"/>
      <c r="F184" s="33"/>
      <c r="G184" s="33"/>
      <c r="H184" s="33"/>
      <c r="I184" s="33"/>
      <c r="J184" s="33"/>
      <c r="K184" s="33"/>
      <c r="L184" s="34"/>
      <c r="M184" s="34"/>
      <c r="N184" s="34"/>
      <c r="O184" s="34"/>
      <c r="P184" s="33"/>
      <c r="Q184" s="35"/>
      <c r="R184" s="33"/>
      <c r="S184" s="33"/>
      <c r="T184" s="33"/>
      <c r="U184" s="33"/>
      <c r="V184" s="33"/>
      <c r="W184" s="33"/>
    </row>
    <row r="185" customFormat="false" ht="15" hidden="false" customHeight="false" outlineLevel="0" collapsed="false">
      <c r="A185" s="33"/>
      <c r="B185" s="33"/>
      <c r="C185" s="33"/>
      <c r="D185" s="33"/>
      <c r="E185" s="33"/>
      <c r="F185" s="33"/>
      <c r="G185" s="33"/>
      <c r="H185" s="33"/>
      <c r="I185" s="33"/>
      <c r="J185" s="33"/>
      <c r="K185" s="33"/>
      <c r="L185" s="34"/>
      <c r="M185" s="34"/>
      <c r="N185" s="34"/>
      <c r="O185" s="34"/>
      <c r="P185" s="33"/>
      <c r="Q185" s="35"/>
      <c r="R185" s="33"/>
      <c r="S185" s="33"/>
      <c r="T185" s="33"/>
      <c r="U185" s="33"/>
      <c r="V185" s="33"/>
      <c r="W185" s="33"/>
    </row>
    <row r="186" customFormat="false" ht="15" hidden="false" customHeight="false" outlineLevel="0" collapsed="false">
      <c r="A186" s="33"/>
      <c r="B186" s="33"/>
      <c r="C186" s="33"/>
      <c r="D186" s="33"/>
      <c r="E186" s="33"/>
      <c r="F186" s="33"/>
      <c r="G186" s="33"/>
      <c r="H186" s="33"/>
      <c r="I186" s="33"/>
      <c r="J186" s="33"/>
      <c r="K186" s="33"/>
      <c r="L186" s="34"/>
      <c r="M186" s="34"/>
      <c r="N186" s="34"/>
      <c r="O186" s="34"/>
      <c r="P186" s="33"/>
      <c r="Q186" s="35"/>
      <c r="R186" s="33"/>
      <c r="S186" s="33"/>
      <c r="T186" s="33"/>
      <c r="U186" s="33"/>
      <c r="V186" s="33"/>
      <c r="W186" s="33"/>
    </row>
    <row r="187" customFormat="false" ht="15" hidden="false" customHeight="false" outlineLevel="0" collapsed="false">
      <c r="A187" s="33"/>
      <c r="B187" s="33"/>
      <c r="C187" s="33"/>
      <c r="D187" s="33"/>
      <c r="E187" s="33"/>
      <c r="F187" s="33"/>
      <c r="G187" s="33"/>
      <c r="H187" s="33"/>
      <c r="I187" s="33"/>
      <c r="J187" s="33"/>
      <c r="K187" s="33"/>
      <c r="L187" s="34"/>
      <c r="M187" s="34"/>
      <c r="N187" s="34"/>
      <c r="O187" s="34"/>
      <c r="P187" s="33"/>
      <c r="Q187" s="35"/>
      <c r="R187" s="33"/>
      <c r="S187" s="33"/>
      <c r="T187" s="33"/>
      <c r="U187" s="33"/>
      <c r="V187" s="33"/>
      <c r="W187" s="33"/>
    </row>
    <row r="188" customFormat="false" ht="15" hidden="false" customHeight="false" outlineLevel="0" collapsed="false">
      <c r="A188" s="33"/>
      <c r="B188" s="33"/>
      <c r="C188" s="33"/>
      <c r="D188" s="33"/>
      <c r="E188" s="33"/>
      <c r="F188" s="33"/>
      <c r="G188" s="33"/>
      <c r="H188" s="33"/>
      <c r="I188" s="33"/>
      <c r="J188" s="33"/>
      <c r="K188" s="33"/>
      <c r="L188" s="34"/>
      <c r="M188" s="34"/>
      <c r="N188" s="34"/>
      <c r="O188" s="34"/>
      <c r="P188" s="33"/>
      <c r="Q188" s="35"/>
      <c r="R188" s="33"/>
      <c r="S188" s="33"/>
      <c r="T188" s="33"/>
      <c r="U188" s="33"/>
      <c r="V188" s="33"/>
      <c r="W188" s="33"/>
    </row>
    <row r="189" customFormat="false" ht="15" hidden="false" customHeight="false" outlineLevel="0" collapsed="false">
      <c r="A189" s="33"/>
      <c r="B189" s="33"/>
      <c r="C189" s="33"/>
      <c r="D189" s="33"/>
      <c r="E189" s="33"/>
      <c r="F189" s="33"/>
      <c r="G189" s="33"/>
      <c r="H189" s="33"/>
      <c r="I189" s="33"/>
      <c r="J189" s="33"/>
      <c r="K189" s="33"/>
      <c r="L189" s="34"/>
      <c r="M189" s="34"/>
      <c r="N189" s="34"/>
      <c r="O189" s="34"/>
      <c r="P189" s="33"/>
      <c r="Q189" s="35"/>
      <c r="R189" s="33"/>
      <c r="S189" s="33"/>
      <c r="T189" s="33"/>
      <c r="U189" s="33"/>
      <c r="V189" s="33"/>
      <c r="W189" s="33"/>
    </row>
    <row r="190" customFormat="false" ht="15" hidden="false" customHeight="false" outlineLevel="0" collapsed="false">
      <c r="A190" s="33"/>
      <c r="B190" s="33"/>
      <c r="C190" s="33"/>
      <c r="D190" s="33"/>
      <c r="E190" s="33"/>
      <c r="F190" s="33"/>
      <c r="G190" s="33"/>
      <c r="H190" s="33"/>
      <c r="I190" s="33"/>
      <c r="J190" s="33"/>
      <c r="K190" s="33"/>
      <c r="L190" s="34"/>
      <c r="M190" s="34"/>
      <c r="N190" s="34"/>
      <c r="O190" s="34"/>
      <c r="P190" s="33"/>
      <c r="Q190" s="35"/>
      <c r="R190" s="33"/>
      <c r="S190" s="33"/>
      <c r="T190" s="33"/>
      <c r="U190" s="33"/>
      <c r="V190" s="33"/>
      <c r="W190" s="33"/>
    </row>
    <row r="191" customFormat="false" ht="15" hidden="false" customHeight="false" outlineLevel="0" collapsed="false">
      <c r="A191" s="33"/>
      <c r="B191" s="33"/>
      <c r="C191" s="33"/>
      <c r="D191" s="33"/>
      <c r="E191" s="33"/>
      <c r="F191" s="33"/>
      <c r="G191" s="33"/>
      <c r="H191" s="33"/>
      <c r="I191" s="33"/>
      <c r="J191" s="33"/>
      <c r="K191" s="33"/>
      <c r="L191" s="34"/>
      <c r="M191" s="34"/>
      <c r="N191" s="34"/>
      <c r="O191" s="34"/>
      <c r="P191" s="33"/>
      <c r="Q191" s="35"/>
      <c r="R191" s="33"/>
      <c r="S191" s="33"/>
      <c r="T191" s="33"/>
      <c r="U191" s="33"/>
      <c r="V191" s="33"/>
      <c r="W191" s="33"/>
    </row>
    <row r="192" customFormat="false" ht="15" hidden="false" customHeight="false" outlineLevel="0" collapsed="false">
      <c r="A192" s="33"/>
      <c r="B192" s="33"/>
      <c r="C192" s="33"/>
      <c r="D192" s="33"/>
      <c r="E192" s="33"/>
      <c r="F192" s="33"/>
      <c r="G192" s="33"/>
      <c r="H192" s="33"/>
      <c r="I192" s="33"/>
      <c r="J192" s="33"/>
      <c r="K192" s="33"/>
      <c r="L192" s="34"/>
      <c r="M192" s="34"/>
      <c r="N192" s="34"/>
      <c r="O192" s="34"/>
      <c r="P192" s="33"/>
      <c r="Q192" s="35"/>
      <c r="R192" s="33"/>
      <c r="S192" s="33"/>
      <c r="T192" s="33"/>
      <c r="U192" s="33"/>
      <c r="V192" s="33"/>
      <c r="W192" s="33"/>
    </row>
    <row r="193" customFormat="false" ht="15" hidden="false" customHeight="false" outlineLevel="0" collapsed="false">
      <c r="A193" s="33"/>
      <c r="B193" s="33"/>
      <c r="C193" s="33"/>
      <c r="D193" s="33"/>
      <c r="E193" s="33"/>
      <c r="F193" s="33"/>
      <c r="G193" s="33"/>
      <c r="H193" s="33"/>
      <c r="I193" s="33"/>
      <c r="J193" s="33"/>
      <c r="K193" s="33"/>
      <c r="L193" s="34"/>
      <c r="M193" s="34"/>
      <c r="N193" s="34"/>
      <c r="O193" s="34"/>
      <c r="P193" s="33"/>
      <c r="Q193" s="35"/>
      <c r="R193" s="33"/>
      <c r="S193" s="33"/>
      <c r="T193" s="33"/>
      <c r="U193" s="33"/>
      <c r="V193" s="33"/>
      <c r="W193" s="33"/>
    </row>
    <row r="194" customFormat="false" ht="15" hidden="false" customHeight="false" outlineLevel="0" collapsed="false">
      <c r="A194" s="33"/>
      <c r="B194" s="33"/>
      <c r="C194" s="33"/>
      <c r="D194" s="33"/>
      <c r="E194" s="33"/>
      <c r="F194" s="33"/>
      <c r="G194" s="33"/>
      <c r="H194" s="33"/>
      <c r="I194" s="33"/>
      <c r="J194" s="33"/>
      <c r="K194" s="33"/>
      <c r="L194" s="34"/>
      <c r="M194" s="34"/>
      <c r="N194" s="34"/>
      <c r="O194" s="34"/>
      <c r="P194" s="33"/>
      <c r="Q194" s="35"/>
      <c r="R194" s="33"/>
      <c r="S194" s="33"/>
      <c r="T194" s="33"/>
      <c r="U194" s="33"/>
      <c r="V194" s="33"/>
      <c r="W194" s="33"/>
    </row>
    <row r="195" customFormat="false" ht="15" hidden="false" customHeight="false" outlineLevel="0" collapsed="false">
      <c r="A195" s="33"/>
      <c r="B195" s="33"/>
      <c r="C195" s="33"/>
      <c r="D195" s="33"/>
      <c r="E195" s="33"/>
      <c r="F195" s="33"/>
      <c r="G195" s="33"/>
      <c r="H195" s="33"/>
      <c r="I195" s="33"/>
      <c r="J195" s="33"/>
      <c r="K195" s="33"/>
      <c r="L195" s="34"/>
      <c r="M195" s="34"/>
      <c r="N195" s="34"/>
      <c r="O195" s="34"/>
      <c r="P195" s="33"/>
      <c r="Q195" s="35"/>
      <c r="R195" s="33"/>
      <c r="S195" s="33"/>
      <c r="T195" s="33"/>
      <c r="U195" s="33"/>
      <c r="V195" s="33"/>
      <c r="W195" s="33"/>
    </row>
    <row r="196" customFormat="false" ht="15" hidden="false" customHeight="false" outlineLevel="0" collapsed="false">
      <c r="A196" s="33"/>
      <c r="B196" s="33"/>
      <c r="C196" s="33"/>
      <c r="D196" s="33"/>
      <c r="E196" s="33"/>
      <c r="F196" s="33"/>
      <c r="G196" s="33"/>
      <c r="H196" s="33"/>
      <c r="I196" s="33"/>
      <c r="J196" s="33"/>
      <c r="K196" s="33"/>
      <c r="L196" s="34"/>
      <c r="M196" s="34"/>
      <c r="N196" s="34"/>
      <c r="O196" s="34"/>
      <c r="P196" s="33"/>
      <c r="Q196" s="35"/>
      <c r="R196" s="33"/>
      <c r="S196" s="33"/>
      <c r="T196" s="33"/>
      <c r="U196" s="33"/>
      <c r="V196" s="33"/>
      <c r="W196" s="33"/>
    </row>
    <row r="197" customFormat="false" ht="15" hidden="false" customHeight="false" outlineLevel="0" collapsed="false">
      <c r="A197" s="33"/>
      <c r="B197" s="33"/>
      <c r="C197" s="33"/>
      <c r="D197" s="33"/>
      <c r="E197" s="33"/>
      <c r="F197" s="33"/>
      <c r="G197" s="33"/>
      <c r="H197" s="33"/>
      <c r="I197" s="33"/>
      <c r="J197" s="33"/>
      <c r="K197" s="33"/>
      <c r="L197" s="34"/>
      <c r="M197" s="34"/>
      <c r="N197" s="34"/>
      <c r="O197" s="34"/>
      <c r="P197" s="33"/>
      <c r="Q197" s="35"/>
      <c r="R197" s="33"/>
      <c r="S197" s="33"/>
      <c r="T197" s="33"/>
      <c r="U197" s="33"/>
      <c r="V197" s="33"/>
      <c r="W197" s="33"/>
    </row>
    <row r="198" customFormat="false" ht="15" hidden="false" customHeight="false" outlineLevel="0" collapsed="false">
      <c r="A198" s="33"/>
      <c r="B198" s="33"/>
      <c r="C198" s="33"/>
      <c r="D198" s="33"/>
      <c r="E198" s="33"/>
      <c r="F198" s="33"/>
      <c r="G198" s="33"/>
      <c r="H198" s="33"/>
      <c r="I198" s="33"/>
      <c r="J198" s="33"/>
      <c r="K198" s="33"/>
      <c r="L198" s="34"/>
      <c r="M198" s="34"/>
      <c r="N198" s="34"/>
      <c r="O198" s="34"/>
      <c r="P198" s="33"/>
      <c r="Q198" s="35"/>
      <c r="R198" s="33"/>
      <c r="S198" s="33"/>
      <c r="T198" s="33"/>
      <c r="U198" s="33"/>
      <c r="V198" s="33"/>
      <c r="W198" s="33"/>
    </row>
    <row r="199" customFormat="false" ht="15" hidden="false" customHeight="false" outlineLevel="0" collapsed="false">
      <c r="A199" s="33"/>
      <c r="B199" s="33"/>
      <c r="C199" s="33"/>
      <c r="D199" s="33"/>
      <c r="E199" s="33"/>
      <c r="F199" s="33"/>
      <c r="G199" s="33"/>
      <c r="H199" s="33"/>
      <c r="I199" s="33"/>
      <c r="J199" s="33"/>
      <c r="K199" s="33"/>
      <c r="L199" s="34"/>
      <c r="M199" s="34"/>
      <c r="N199" s="34"/>
      <c r="O199" s="34"/>
      <c r="P199" s="33"/>
      <c r="Q199" s="35"/>
      <c r="R199" s="33"/>
      <c r="S199" s="33"/>
      <c r="T199" s="33"/>
      <c r="U199" s="33"/>
      <c r="V199" s="33"/>
      <c r="W199" s="33"/>
    </row>
    <row r="200" customFormat="false" ht="15" hidden="false" customHeight="false" outlineLevel="0" collapsed="false">
      <c r="A200" s="33"/>
      <c r="B200" s="33"/>
      <c r="C200" s="33"/>
      <c r="D200" s="33"/>
      <c r="E200" s="33"/>
      <c r="F200" s="33"/>
      <c r="G200" s="33"/>
      <c r="H200" s="33"/>
      <c r="I200" s="33"/>
      <c r="J200" s="33"/>
      <c r="K200" s="33"/>
      <c r="L200" s="34"/>
      <c r="M200" s="34"/>
      <c r="N200" s="34"/>
      <c r="O200" s="34"/>
      <c r="P200" s="33"/>
      <c r="Q200" s="35"/>
      <c r="R200" s="33"/>
      <c r="S200" s="33"/>
      <c r="T200" s="33"/>
      <c r="U200" s="33"/>
      <c r="V200" s="33"/>
      <c r="W200" s="33"/>
    </row>
    <row r="201" customFormat="false" ht="15" hidden="false" customHeight="false" outlineLevel="0" collapsed="false">
      <c r="A201" s="33"/>
      <c r="B201" s="33"/>
      <c r="C201" s="33"/>
      <c r="D201" s="33"/>
      <c r="E201" s="33"/>
      <c r="F201" s="33"/>
      <c r="G201" s="33"/>
      <c r="H201" s="33"/>
      <c r="I201" s="33"/>
      <c r="J201" s="33"/>
      <c r="K201" s="33"/>
      <c r="L201" s="34"/>
      <c r="M201" s="34"/>
      <c r="N201" s="34"/>
      <c r="O201" s="34"/>
      <c r="P201" s="33"/>
      <c r="Q201" s="35"/>
      <c r="R201" s="33"/>
      <c r="S201" s="33"/>
      <c r="T201" s="33"/>
      <c r="U201" s="33"/>
      <c r="V201" s="33"/>
      <c r="W201" s="33"/>
    </row>
    <row r="202" customFormat="false" ht="15" hidden="false" customHeight="false" outlineLevel="0" collapsed="false">
      <c r="A202" s="33"/>
      <c r="B202" s="33"/>
      <c r="C202" s="33"/>
      <c r="D202" s="33"/>
      <c r="E202" s="33"/>
      <c r="F202" s="33"/>
      <c r="G202" s="33"/>
      <c r="H202" s="33"/>
      <c r="I202" s="33"/>
      <c r="J202" s="33"/>
      <c r="K202" s="33"/>
      <c r="L202" s="34"/>
      <c r="M202" s="34"/>
      <c r="N202" s="34"/>
      <c r="O202" s="34"/>
      <c r="P202" s="33"/>
      <c r="Q202" s="35"/>
      <c r="R202" s="33"/>
      <c r="S202" s="33"/>
      <c r="T202" s="33"/>
      <c r="U202" s="33"/>
      <c r="V202" s="33"/>
      <c r="W202" s="33"/>
    </row>
    <row r="203" customFormat="false" ht="15" hidden="false" customHeight="false" outlineLevel="0" collapsed="false">
      <c r="A203" s="33"/>
      <c r="B203" s="33"/>
      <c r="C203" s="33"/>
      <c r="D203" s="33"/>
      <c r="E203" s="33"/>
      <c r="F203" s="33"/>
      <c r="G203" s="33"/>
      <c r="H203" s="33"/>
      <c r="I203" s="33"/>
      <c r="J203" s="33"/>
      <c r="K203" s="33"/>
      <c r="L203" s="34"/>
      <c r="M203" s="34"/>
      <c r="N203" s="34"/>
      <c r="O203" s="34"/>
      <c r="P203" s="33"/>
      <c r="Q203" s="35"/>
      <c r="R203" s="33"/>
      <c r="S203" s="33"/>
      <c r="T203" s="33"/>
      <c r="U203" s="33"/>
      <c r="V203" s="33"/>
      <c r="W203" s="33"/>
    </row>
    <row r="204" customFormat="false" ht="15" hidden="false" customHeight="false" outlineLevel="0" collapsed="false">
      <c r="A204" s="33"/>
      <c r="B204" s="33"/>
      <c r="C204" s="33"/>
      <c r="D204" s="33"/>
      <c r="E204" s="33"/>
      <c r="F204" s="33"/>
      <c r="G204" s="33"/>
      <c r="H204" s="33"/>
      <c r="I204" s="33"/>
      <c r="J204" s="33"/>
      <c r="K204" s="33"/>
      <c r="L204" s="34"/>
      <c r="M204" s="34"/>
      <c r="N204" s="34"/>
      <c r="O204" s="34"/>
      <c r="P204" s="33"/>
      <c r="Q204" s="35"/>
      <c r="R204" s="33"/>
      <c r="S204" s="33"/>
      <c r="T204" s="33"/>
      <c r="U204" s="33"/>
      <c r="V204" s="33"/>
      <c r="W204" s="33"/>
    </row>
    <row r="205" customFormat="false" ht="15" hidden="false" customHeight="false" outlineLevel="0" collapsed="false">
      <c r="A205" s="33"/>
      <c r="B205" s="33"/>
      <c r="C205" s="33"/>
      <c r="D205" s="33"/>
      <c r="E205" s="33"/>
      <c r="F205" s="33"/>
      <c r="G205" s="33"/>
      <c r="H205" s="33"/>
      <c r="I205" s="33"/>
      <c r="J205" s="33"/>
      <c r="K205" s="33"/>
      <c r="L205" s="34"/>
      <c r="M205" s="34"/>
      <c r="N205" s="34"/>
      <c r="O205" s="34"/>
      <c r="P205" s="33"/>
      <c r="Q205" s="35"/>
      <c r="R205" s="33"/>
      <c r="S205" s="33"/>
      <c r="T205" s="33"/>
      <c r="U205" s="33"/>
      <c r="V205" s="33"/>
      <c r="W205" s="33"/>
    </row>
    <row r="206" customFormat="false" ht="15" hidden="false" customHeight="false" outlineLevel="0" collapsed="false">
      <c r="A206" s="33"/>
      <c r="B206" s="33"/>
      <c r="C206" s="33"/>
      <c r="D206" s="33"/>
      <c r="E206" s="33"/>
      <c r="F206" s="33"/>
      <c r="G206" s="33"/>
      <c r="H206" s="33"/>
      <c r="I206" s="33"/>
      <c r="J206" s="33"/>
      <c r="K206" s="33"/>
      <c r="L206" s="34"/>
      <c r="M206" s="34"/>
      <c r="N206" s="34"/>
      <c r="O206" s="34"/>
      <c r="P206" s="33"/>
      <c r="Q206" s="35"/>
      <c r="R206" s="33"/>
      <c r="S206" s="33"/>
      <c r="T206" s="33"/>
      <c r="U206" s="33"/>
      <c r="V206" s="33"/>
      <c r="W206" s="33"/>
    </row>
    <row r="207" customFormat="false" ht="15" hidden="false" customHeight="false" outlineLevel="0" collapsed="false">
      <c r="A207" s="33"/>
      <c r="B207" s="33"/>
      <c r="C207" s="33"/>
      <c r="D207" s="33"/>
      <c r="E207" s="33"/>
      <c r="F207" s="33"/>
      <c r="G207" s="33"/>
      <c r="H207" s="33"/>
      <c r="I207" s="33"/>
      <c r="J207" s="33"/>
      <c r="K207" s="33"/>
      <c r="L207" s="34"/>
      <c r="M207" s="34"/>
      <c r="N207" s="34"/>
      <c r="O207" s="34"/>
      <c r="P207" s="33"/>
      <c r="Q207" s="35"/>
      <c r="R207" s="33"/>
      <c r="S207" s="33"/>
      <c r="T207" s="33"/>
      <c r="U207" s="33"/>
      <c r="V207" s="33"/>
      <c r="W207" s="33"/>
    </row>
    <row r="208" customFormat="false" ht="15" hidden="false" customHeight="false" outlineLevel="0" collapsed="false">
      <c r="A208" s="33"/>
      <c r="B208" s="33"/>
      <c r="C208" s="33"/>
      <c r="D208" s="33"/>
      <c r="E208" s="33"/>
      <c r="F208" s="33"/>
      <c r="G208" s="33"/>
      <c r="H208" s="33"/>
      <c r="I208" s="33"/>
      <c r="J208" s="33"/>
      <c r="K208" s="33"/>
      <c r="L208" s="34"/>
      <c r="M208" s="34"/>
      <c r="N208" s="34"/>
      <c r="O208" s="34"/>
      <c r="P208" s="33"/>
      <c r="Q208" s="35"/>
      <c r="R208" s="33"/>
      <c r="S208" s="33"/>
      <c r="T208" s="33"/>
      <c r="U208" s="33"/>
      <c r="V208" s="33"/>
      <c r="W208" s="33"/>
    </row>
    <row r="209" customFormat="false" ht="15" hidden="false" customHeight="false" outlineLevel="0" collapsed="false">
      <c r="A209" s="33"/>
      <c r="B209" s="33"/>
      <c r="C209" s="33"/>
      <c r="D209" s="33"/>
      <c r="E209" s="33"/>
      <c r="F209" s="33"/>
      <c r="G209" s="33"/>
      <c r="H209" s="33"/>
      <c r="I209" s="33"/>
      <c r="J209" s="33"/>
      <c r="K209" s="33"/>
      <c r="L209" s="34"/>
      <c r="M209" s="34"/>
      <c r="N209" s="34"/>
      <c r="O209" s="34"/>
      <c r="P209" s="33"/>
      <c r="Q209" s="35"/>
      <c r="R209" s="33"/>
      <c r="S209" s="33"/>
      <c r="T209" s="33"/>
      <c r="U209" s="33"/>
      <c r="V209" s="33"/>
      <c r="W209" s="33"/>
    </row>
    <row r="210" customFormat="false" ht="15" hidden="false" customHeight="false" outlineLevel="0" collapsed="false">
      <c r="A210" s="33"/>
      <c r="B210" s="33"/>
      <c r="C210" s="33"/>
      <c r="D210" s="33"/>
      <c r="E210" s="33"/>
      <c r="F210" s="33"/>
      <c r="G210" s="33"/>
      <c r="H210" s="33"/>
      <c r="I210" s="33"/>
      <c r="J210" s="33"/>
      <c r="K210" s="33"/>
      <c r="L210" s="34"/>
      <c r="M210" s="34"/>
      <c r="N210" s="34"/>
      <c r="O210" s="34"/>
      <c r="P210" s="33"/>
      <c r="Q210" s="35"/>
      <c r="R210" s="33"/>
      <c r="S210" s="33"/>
      <c r="T210" s="33"/>
      <c r="U210" s="33"/>
      <c r="V210" s="33"/>
      <c r="W210" s="33"/>
    </row>
    <row r="211" customFormat="false" ht="15" hidden="false" customHeight="false" outlineLevel="0" collapsed="false">
      <c r="A211" s="33"/>
      <c r="B211" s="33"/>
      <c r="C211" s="33"/>
      <c r="D211" s="33"/>
      <c r="E211" s="33"/>
      <c r="F211" s="33"/>
      <c r="G211" s="33"/>
      <c r="H211" s="33"/>
      <c r="I211" s="33"/>
      <c r="J211" s="33"/>
      <c r="K211" s="33"/>
      <c r="L211" s="34"/>
      <c r="M211" s="34"/>
      <c r="N211" s="34"/>
      <c r="O211" s="34"/>
      <c r="P211" s="33"/>
      <c r="Q211" s="35"/>
      <c r="R211" s="33"/>
      <c r="S211" s="33"/>
      <c r="T211" s="33"/>
      <c r="U211" s="33"/>
      <c r="V211" s="33"/>
      <c r="W211" s="33"/>
    </row>
    <row r="212" customFormat="false" ht="15" hidden="false" customHeight="false" outlineLevel="0" collapsed="false">
      <c r="A212" s="33"/>
      <c r="B212" s="33"/>
      <c r="C212" s="33"/>
      <c r="D212" s="33"/>
      <c r="E212" s="33"/>
      <c r="F212" s="33"/>
      <c r="G212" s="33"/>
      <c r="H212" s="33"/>
      <c r="I212" s="33"/>
      <c r="J212" s="33"/>
      <c r="K212" s="33"/>
      <c r="L212" s="34"/>
      <c r="M212" s="34"/>
      <c r="N212" s="34"/>
      <c r="O212" s="34"/>
      <c r="P212" s="33"/>
      <c r="Q212" s="35"/>
      <c r="R212" s="33"/>
      <c r="S212" s="33"/>
      <c r="T212" s="33"/>
      <c r="U212" s="33"/>
      <c r="V212" s="33"/>
      <c r="W212" s="33"/>
    </row>
    <row r="213" customFormat="false" ht="15" hidden="false" customHeight="false" outlineLevel="0" collapsed="false">
      <c r="A213" s="33"/>
      <c r="B213" s="33"/>
      <c r="C213" s="33"/>
      <c r="D213" s="33"/>
      <c r="E213" s="33"/>
      <c r="F213" s="33"/>
      <c r="G213" s="33"/>
      <c r="H213" s="33"/>
      <c r="I213" s="33"/>
      <c r="J213" s="33"/>
      <c r="K213" s="33"/>
      <c r="L213" s="34"/>
      <c r="M213" s="34"/>
      <c r="N213" s="34"/>
      <c r="O213" s="34"/>
      <c r="P213" s="33"/>
      <c r="Q213" s="35"/>
      <c r="R213" s="33"/>
      <c r="S213" s="33"/>
      <c r="T213" s="33"/>
      <c r="U213" s="33"/>
      <c r="V213" s="33"/>
      <c r="W213" s="33"/>
    </row>
    <row r="214" customFormat="false" ht="15" hidden="false" customHeight="false" outlineLevel="0" collapsed="false">
      <c r="A214" s="33"/>
      <c r="B214" s="33"/>
      <c r="C214" s="33"/>
      <c r="D214" s="33"/>
      <c r="E214" s="33"/>
      <c r="F214" s="33"/>
      <c r="G214" s="33"/>
      <c r="H214" s="33"/>
      <c r="I214" s="33"/>
      <c r="J214" s="33"/>
      <c r="K214" s="33"/>
      <c r="L214" s="34"/>
      <c r="M214" s="34"/>
      <c r="N214" s="34"/>
      <c r="O214" s="34"/>
      <c r="P214" s="33"/>
      <c r="Q214" s="35"/>
      <c r="R214" s="33"/>
      <c r="S214" s="33"/>
      <c r="T214" s="33"/>
      <c r="U214" s="33"/>
      <c r="V214" s="33"/>
      <c r="W214" s="33"/>
    </row>
    <row r="215" customFormat="false" ht="15" hidden="false" customHeight="false" outlineLevel="0" collapsed="false">
      <c r="A215" s="33"/>
      <c r="B215" s="33"/>
      <c r="C215" s="33"/>
      <c r="D215" s="33"/>
      <c r="E215" s="33"/>
      <c r="F215" s="33"/>
      <c r="G215" s="33"/>
      <c r="H215" s="33"/>
      <c r="I215" s="33"/>
      <c r="J215" s="33"/>
      <c r="K215" s="33"/>
      <c r="L215" s="34"/>
      <c r="M215" s="34"/>
      <c r="N215" s="34"/>
      <c r="O215" s="34"/>
      <c r="P215" s="33"/>
      <c r="Q215" s="35"/>
      <c r="R215" s="33"/>
      <c r="S215" s="33"/>
      <c r="T215" s="33"/>
      <c r="U215" s="33"/>
      <c r="V215" s="33"/>
      <c r="W215" s="33"/>
    </row>
    <row r="216" customFormat="false" ht="15" hidden="false" customHeight="false" outlineLevel="0" collapsed="false">
      <c r="A216" s="33"/>
      <c r="B216" s="33"/>
      <c r="C216" s="33"/>
      <c r="D216" s="33"/>
      <c r="E216" s="33"/>
      <c r="F216" s="33"/>
      <c r="G216" s="33"/>
      <c r="H216" s="33"/>
      <c r="I216" s="33"/>
      <c r="J216" s="33"/>
      <c r="K216" s="33"/>
      <c r="L216" s="34"/>
      <c r="M216" s="34"/>
      <c r="N216" s="34"/>
      <c r="O216" s="34"/>
      <c r="P216" s="33"/>
      <c r="Q216" s="35"/>
      <c r="R216" s="33"/>
      <c r="S216" s="33"/>
      <c r="T216" s="33"/>
      <c r="U216" s="33"/>
      <c r="V216" s="33"/>
      <c r="W216" s="33"/>
    </row>
    <row r="217" customFormat="false" ht="15" hidden="false" customHeight="false" outlineLevel="0" collapsed="false">
      <c r="A217" s="33"/>
      <c r="B217" s="33"/>
      <c r="C217" s="33"/>
      <c r="D217" s="33"/>
      <c r="E217" s="33"/>
      <c r="F217" s="33"/>
      <c r="G217" s="33"/>
      <c r="H217" s="33"/>
      <c r="I217" s="33"/>
      <c r="J217" s="33"/>
      <c r="K217" s="33"/>
      <c r="L217" s="34"/>
      <c r="M217" s="34"/>
      <c r="N217" s="34"/>
      <c r="O217" s="34"/>
      <c r="P217" s="33"/>
      <c r="Q217" s="35"/>
      <c r="R217" s="33"/>
      <c r="S217" s="33"/>
      <c r="T217" s="33"/>
      <c r="U217" s="33"/>
      <c r="V217" s="33"/>
      <c r="W217" s="33"/>
    </row>
    <row r="218" customFormat="false" ht="15" hidden="false" customHeight="false" outlineLevel="0" collapsed="false">
      <c r="A218" s="33"/>
      <c r="B218" s="33"/>
      <c r="C218" s="33"/>
      <c r="D218" s="33"/>
      <c r="E218" s="33"/>
      <c r="F218" s="33"/>
      <c r="G218" s="33"/>
      <c r="H218" s="33"/>
      <c r="I218" s="33"/>
      <c r="J218" s="33"/>
      <c r="K218" s="33"/>
      <c r="L218" s="34"/>
      <c r="M218" s="34"/>
      <c r="N218" s="34"/>
      <c r="O218" s="34"/>
      <c r="P218" s="33"/>
      <c r="Q218" s="35"/>
      <c r="R218" s="33"/>
      <c r="S218" s="33"/>
      <c r="T218" s="33"/>
      <c r="U218" s="33"/>
      <c r="V218" s="33"/>
      <c r="W218" s="33"/>
    </row>
    <row r="219" customFormat="false" ht="15" hidden="false" customHeight="false" outlineLevel="0" collapsed="false">
      <c r="A219" s="33"/>
      <c r="B219" s="33"/>
      <c r="C219" s="33"/>
      <c r="D219" s="33"/>
      <c r="E219" s="33"/>
      <c r="F219" s="33"/>
      <c r="G219" s="33"/>
      <c r="H219" s="33"/>
      <c r="I219" s="33"/>
      <c r="J219" s="33"/>
      <c r="K219" s="33"/>
      <c r="L219" s="34"/>
      <c r="M219" s="34"/>
      <c r="N219" s="34"/>
      <c r="O219" s="34"/>
      <c r="P219" s="33"/>
      <c r="Q219" s="35"/>
      <c r="R219" s="33"/>
      <c r="S219" s="33"/>
      <c r="T219" s="33"/>
      <c r="U219" s="33"/>
      <c r="V219" s="33"/>
      <c r="W219" s="33"/>
    </row>
    <row r="220" customFormat="false" ht="15" hidden="false" customHeight="false" outlineLevel="0" collapsed="false">
      <c r="A220" s="33"/>
      <c r="B220" s="33"/>
      <c r="C220" s="33"/>
      <c r="D220" s="33"/>
      <c r="E220" s="33"/>
      <c r="F220" s="33"/>
      <c r="G220" s="33"/>
      <c r="H220" s="33"/>
      <c r="I220" s="33"/>
      <c r="J220" s="33"/>
      <c r="K220" s="33"/>
      <c r="L220" s="34"/>
      <c r="M220" s="34"/>
      <c r="N220" s="34"/>
      <c r="O220" s="34"/>
      <c r="P220" s="33"/>
      <c r="Q220" s="35"/>
      <c r="R220" s="33"/>
      <c r="S220" s="33"/>
      <c r="T220" s="33"/>
      <c r="U220" s="33"/>
      <c r="V220" s="33"/>
      <c r="W220" s="33"/>
    </row>
    <row r="221" customFormat="false" ht="15" hidden="false" customHeight="false" outlineLevel="0" collapsed="false">
      <c r="A221" s="33"/>
      <c r="B221" s="33"/>
      <c r="C221" s="33"/>
      <c r="D221" s="33"/>
      <c r="E221" s="33"/>
      <c r="F221" s="33"/>
      <c r="G221" s="33"/>
      <c r="H221" s="33"/>
      <c r="I221" s="33"/>
      <c r="J221" s="33"/>
      <c r="K221" s="33"/>
      <c r="L221" s="34"/>
      <c r="M221" s="34"/>
      <c r="N221" s="34"/>
      <c r="O221" s="34"/>
      <c r="P221" s="33"/>
      <c r="Q221" s="35"/>
      <c r="R221" s="33"/>
      <c r="S221" s="33"/>
      <c r="T221" s="33"/>
      <c r="U221" s="33"/>
      <c r="V221" s="33"/>
      <c r="W221" s="33"/>
    </row>
    <row r="222" customFormat="false" ht="15" hidden="false" customHeight="false" outlineLevel="0" collapsed="false">
      <c r="A222" s="33"/>
      <c r="B222" s="33"/>
      <c r="C222" s="33"/>
      <c r="D222" s="33"/>
      <c r="E222" s="33"/>
      <c r="F222" s="33"/>
      <c r="G222" s="33"/>
      <c r="H222" s="33"/>
      <c r="I222" s="33"/>
      <c r="J222" s="33"/>
      <c r="K222" s="33"/>
      <c r="L222" s="34"/>
      <c r="M222" s="34"/>
      <c r="N222" s="34"/>
      <c r="O222" s="34"/>
      <c r="P222" s="33"/>
      <c r="Q222" s="35"/>
      <c r="R222" s="33"/>
      <c r="S222" s="33"/>
      <c r="T222" s="33"/>
      <c r="U222" s="33"/>
      <c r="V222" s="33"/>
      <c r="W222" s="33"/>
    </row>
    <row r="223" customFormat="false" ht="15" hidden="false" customHeight="false" outlineLevel="0" collapsed="false">
      <c r="A223" s="33"/>
      <c r="B223" s="33"/>
      <c r="C223" s="33"/>
      <c r="D223" s="33"/>
      <c r="E223" s="33"/>
      <c r="F223" s="33"/>
      <c r="G223" s="33"/>
      <c r="H223" s="33"/>
      <c r="I223" s="33"/>
      <c r="J223" s="33"/>
      <c r="K223" s="33"/>
      <c r="L223" s="34"/>
      <c r="M223" s="34"/>
      <c r="N223" s="34"/>
      <c r="O223" s="34"/>
      <c r="P223" s="33"/>
      <c r="Q223" s="35"/>
      <c r="R223" s="33"/>
      <c r="S223" s="33"/>
      <c r="T223" s="33"/>
      <c r="U223" s="33"/>
      <c r="V223" s="33"/>
      <c r="W223" s="33"/>
    </row>
    <row r="224" customFormat="false" ht="15" hidden="false" customHeight="false" outlineLevel="0" collapsed="false">
      <c r="A224" s="33"/>
      <c r="B224" s="33"/>
      <c r="C224" s="33"/>
      <c r="D224" s="33"/>
      <c r="E224" s="33"/>
      <c r="F224" s="33"/>
      <c r="G224" s="33"/>
      <c r="H224" s="33"/>
      <c r="I224" s="33"/>
      <c r="J224" s="33"/>
      <c r="K224" s="33"/>
      <c r="L224" s="34"/>
      <c r="M224" s="34"/>
      <c r="N224" s="34"/>
      <c r="O224" s="34"/>
      <c r="P224" s="33"/>
      <c r="Q224" s="35"/>
      <c r="R224" s="33"/>
      <c r="S224" s="33"/>
      <c r="T224" s="33"/>
      <c r="U224" s="33"/>
      <c r="V224" s="33"/>
      <c r="W224" s="33"/>
    </row>
    <row r="225" customFormat="false" ht="15" hidden="false" customHeight="false" outlineLevel="0" collapsed="false">
      <c r="A225" s="33"/>
      <c r="B225" s="33"/>
      <c r="C225" s="33"/>
      <c r="D225" s="33"/>
      <c r="E225" s="33"/>
      <c r="F225" s="33"/>
      <c r="G225" s="33"/>
      <c r="H225" s="33"/>
      <c r="I225" s="33"/>
      <c r="J225" s="33"/>
      <c r="K225" s="33"/>
      <c r="L225" s="34"/>
      <c r="M225" s="34"/>
      <c r="N225" s="34"/>
      <c r="O225" s="34"/>
      <c r="P225" s="33"/>
      <c r="Q225" s="35"/>
      <c r="R225" s="33"/>
      <c r="S225" s="33"/>
      <c r="T225" s="33"/>
      <c r="U225" s="33"/>
      <c r="V225" s="33"/>
      <c r="W225" s="33"/>
    </row>
    <row r="226" customFormat="false" ht="15" hidden="false" customHeight="false" outlineLevel="0" collapsed="false">
      <c r="A226" s="33"/>
      <c r="B226" s="33"/>
      <c r="C226" s="33"/>
      <c r="D226" s="33"/>
      <c r="E226" s="33"/>
      <c r="F226" s="33"/>
      <c r="G226" s="33"/>
      <c r="H226" s="33"/>
      <c r="I226" s="33"/>
      <c r="J226" s="33"/>
      <c r="K226" s="33"/>
      <c r="L226" s="34"/>
      <c r="M226" s="34"/>
      <c r="N226" s="34"/>
      <c r="O226" s="34"/>
      <c r="P226" s="33"/>
      <c r="Q226" s="35"/>
      <c r="R226" s="33"/>
      <c r="S226" s="33"/>
      <c r="T226" s="33"/>
      <c r="U226" s="33"/>
      <c r="V226" s="33"/>
      <c r="W226" s="33"/>
    </row>
    <row r="227" customFormat="false" ht="15" hidden="false" customHeight="false" outlineLevel="0" collapsed="false">
      <c r="A227" s="33"/>
      <c r="B227" s="33"/>
      <c r="C227" s="33"/>
      <c r="D227" s="33"/>
      <c r="E227" s="33"/>
      <c r="F227" s="33"/>
      <c r="G227" s="33"/>
      <c r="H227" s="33"/>
      <c r="I227" s="33"/>
      <c r="J227" s="33"/>
      <c r="K227" s="33"/>
      <c r="L227" s="34"/>
      <c r="M227" s="34"/>
      <c r="N227" s="34"/>
      <c r="O227" s="34"/>
      <c r="P227" s="33"/>
      <c r="Q227" s="35"/>
      <c r="R227" s="33"/>
      <c r="S227" s="33"/>
      <c r="T227" s="33"/>
      <c r="U227" s="33"/>
      <c r="V227" s="33"/>
      <c r="W227" s="33"/>
    </row>
    <row r="228" customFormat="false" ht="15" hidden="false" customHeight="false" outlineLevel="0" collapsed="false">
      <c r="A228" s="33"/>
      <c r="B228" s="33"/>
      <c r="C228" s="33"/>
      <c r="D228" s="33"/>
      <c r="E228" s="33"/>
      <c r="F228" s="33"/>
      <c r="G228" s="33"/>
      <c r="H228" s="33"/>
      <c r="I228" s="33"/>
      <c r="J228" s="33"/>
      <c r="K228" s="33"/>
      <c r="L228" s="34"/>
      <c r="M228" s="34"/>
      <c r="N228" s="34"/>
      <c r="O228" s="34"/>
      <c r="P228" s="33"/>
      <c r="Q228" s="35"/>
      <c r="R228" s="33"/>
      <c r="S228" s="33"/>
      <c r="T228" s="33"/>
      <c r="U228" s="33"/>
      <c r="V228" s="33"/>
      <c r="W228" s="33"/>
    </row>
    <row r="229" customFormat="false" ht="15" hidden="false" customHeight="false" outlineLevel="0" collapsed="false">
      <c r="A229" s="33"/>
      <c r="B229" s="33"/>
      <c r="C229" s="33"/>
      <c r="D229" s="33"/>
      <c r="E229" s="33"/>
      <c r="F229" s="33"/>
      <c r="G229" s="33"/>
      <c r="H229" s="33"/>
      <c r="I229" s="33"/>
      <c r="J229" s="33"/>
      <c r="K229" s="33"/>
      <c r="L229" s="34"/>
      <c r="M229" s="34"/>
      <c r="N229" s="34"/>
      <c r="O229" s="34"/>
      <c r="P229" s="33"/>
      <c r="Q229" s="35"/>
      <c r="R229" s="33"/>
      <c r="S229" s="33"/>
      <c r="T229" s="33"/>
      <c r="U229" s="33"/>
      <c r="V229" s="33"/>
      <c r="W229" s="33"/>
    </row>
    <row r="230" customFormat="false" ht="15" hidden="false" customHeight="false" outlineLevel="0" collapsed="false">
      <c r="A230" s="33"/>
      <c r="B230" s="33"/>
      <c r="C230" s="33"/>
      <c r="D230" s="33"/>
      <c r="E230" s="33"/>
      <c r="F230" s="33"/>
      <c r="G230" s="33"/>
      <c r="H230" s="33"/>
      <c r="I230" s="33"/>
      <c r="J230" s="33"/>
      <c r="K230" s="33"/>
      <c r="L230" s="34"/>
      <c r="M230" s="34"/>
      <c r="N230" s="34"/>
      <c r="O230" s="34"/>
      <c r="P230" s="33"/>
      <c r="Q230" s="35"/>
      <c r="R230" s="33"/>
      <c r="S230" s="33"/>
      <c r="T230" s="33"/>
      <c r="U230" s="33"/>
      <c r="V230" s="33"/>
      <c r="W230" s="33"/>
    </row>
    <row r="231" customFormat="false" ht="15" hidden="false" customHeight="false" outlineLevel="0" collapsed="false">
      <c r="A231" s="33"/>
      <c r="B231" s="33"/>
      <c r="C231" s="33"/>
      <c r="D231" s="33"/>
      <c r="E231" s="33"/>
      <c r="F231" s="33"/>
      <c r="G231" s="33"/>
      <c r="H231" s="33"/>
      <c r="I231" s="33"/>
      <c r="J231" s="33"/>
      <c r="K231" s="33"/>
      <c r="L231" s="34"/>
      <c r="M231" s="34"/>
      <c r="N231" s="34"/>
      <c r="O231" s="34"/>
      <c r="P231" s="33"/>
      <c r="Q231" s="35"/>
      <c r="R231" s="33"/>
      <c r="S231" s="33"/>
      <c r="T231" s="33"/>
      <c r="U231" s="33"/>
      <c r="V231" s="33"/>
      <c r="W231" s="33"/>
    </row>
    <row r="232" customFormat="false" ht="15" hidden="false" customHeight="false" outlineLevel="0" collapsed="false">
      <c r="A232" s="33"/>
      <c r="B232" s="33"/>
      <c r="C232" s="33"/>
      <c r="D232" s="33"/>
      <c r="E232" s="33"/>
      <c r="F232" s="33"/>
      <c r="G232" s="33"/>
      <c r="H232" s="33"/>
      <c r="I232" s="33"/>
      <c r="J232" s="33"/>
      <c r="K232" s="33"/>
      <c r="L232" s="34"/>
      <c r="M232" s="34"/>
      <c r="N232" s="34"/>
      <c r="O232" s="34"/>
      <c r="P232" s="33"/>
      <c r="Q232" s="35"/>
      <c r="R232" s="33"/>
      <c r="S232" s="33"/>
      <c r="T232" s="33"/>
      <c r="U232" s="33"/>
      <c r="V232" s="33"/>
      <c r="W232" s="33"/>
    </row>
    <row r="233" customFormat="false" ht="15" hidden="false" customHeight="false" outlineLevel="0" collapsed="false">
      <c r="A233" s="33"/>
      <c r="B233" s="33"/>
      <c r="C233" s="33"/>
      <c r="D233" s="33"/>
      <c r="E233" s="33"/>
      <c r="F233" s="33"/>
      <c r="G233" s="33"/>
      <c r="H233" s="33"/>
      <c r="I233" s="33"/>
      <c r="J233" s="33"/>
      <c r="K233" s="33"/>
      <c r="L233" s="34"/>
      <c r="M233" s="34"/>
      <c r="N233" s="34"/>
      <c r="O233" s="34"/>
      <c r="P233" s="33"/>
      <c r="Q233" s="35"/>
      <c r="R233" s="33"/>
      <c r="S233" s="33"/>
      <c r="T233" s="33"/>
      <c r="U233" s="33"/>
      <c r="V233" s="33"/>
      <c r="W233" s="33"/>
    </row>
    <row r="234" customFormat="false" ht="15" hidden="false" customHeight="false" outlineLevel="0" collapsed="false">
      <c r="A234" s="33"/>
      <c r="B234" s="33"/>
      <c r="C234" s="33"/>
      <c r="D234" s="33"/>
      <c r="E234" s="33"/>
      <c r="F234" s="33"/>
      <c r="G234" s="33"/>
      <c r="H234" s="33"/>
      <c r="I234" s="33"/>
      <c r="J234" s="33"/>
      <c r="K234" s="33"/>
      <c r="L234" s="34"/>
      <c r="M234" s="34"/>
      <c r="N234" s="34"/>
      <c r="O234" s="34"/>
      <c r="P234" s="33"/>
      <c r="Q234" s="35"/>
      <c r="R234" s="33"/>
      <c r="S234" s="33"/>
      <c r="T234" s="33"/>
      <c r="U234" s="33"/>
      <c r="V234" s="33"/>
      <c r="W234" s="33"/>
    </row>
    <row r="235" customFormat="false" ht="15" hidden="false" customHeight="false" outlineLevel="0" collapsed="false">
      <c r="A235" s="33"/>
      <c r="B235" s="33"/>
      <c r="C235" s="33"/>
      <c r="D235" s="33"/>
      <c r="E235" s="33"/>
      <c r="F235" s="33"/>
      <c r="G235" s="33"/>
      <c r="H235" s="33"/>
      <c r="I235" s="33"/>
      <c r="J235" s="33"/>
      <c r="K235" s="33"/>
      <c r="L235" s="34"/>
      <c r="M235" s="34"/>
      <c r="N235" s="34"/>
      <c r="O235" s="34"/>
      <c r="P235" s="33"/>
      <c r="Q235" s="35"/>
      <c r="R235" s="33"/>
      <c r="S235" s="33"/>
      <c r="T235" s="33"/>
      <c r="U235" s="33"/>
      <c r="V235" s="33"/>
      <c r="W235" s="33"/>
    </row>
    <row r="236" customFormat="false" ht="15" hidden="false" customHeight="false" outlineLevel="0" collapsed="false">
      <c r="A236" s="33"/>
      <c r="B236" s="33"/>
      <c r="C236" s="33"/>
      <c r="D236" s="33"/>
      <c r="E236" s="33"/>
      <c r="F236" s="33"/>
      <c r="G236" s="33"/>
      <c r="H236" s="33"/>
      <c r="I236" s="33"/>
      <c r="J236" s="33"/>
      <c r="K236" s="33"/>
      <c r="L236" s="34"/>
      <c r="M236" s="34"/>
      <c r="N236" s="34"/>
      <c r="O236" s="34"/>
      <c r="P236" s="33"/>
      <c r="Q236" s="35"/>
      <c r="R236" s="33"/>
      <c r="S236" s="33"/>
      <c r="T236" s="33"/>
      <c r="U236" s="33"/>
      <c r="V236" s="33"/>
      <c r="W236" s="33"/>
    </row>
    <row r="237" customFormat="false" ht="15" hidden="false" customHeight="false" outlineLevel="0" collapsed="false">
      <c r="A237" s="33"/>
      <c r="B237" s="33"/>
      <c r="C237" s="33"/>
      <c r="D237" s="33"/>
      <c r="E237" s="33"/>
      <c r="F237" s="33"/>
      <c r="G237" s="33"/>
      <c r="H237" s="33"/>
      <c r="I237" s="33"/>
      <c r="J237" s="33"/>
      <c r="K237" s="33"/>
      <c r="L237" s="34"/>
      <c r="M237" s="34"/>
      <c r="N237" s="34"/>
      <c r="O237" s="34"/>
      <c r="P237" s="33"/>
      <c r="Q237" s="35"/>
      <c r="R237" s="33"/>
      <c r="S237" s="33"/>
      <c r="T237" s="33"/>
      <c r="U237" s="33"/>
      <c r="V237" s="33"/>
      <c r="W237" s="33"/>
    </row>
    <row r="238" customFormat="false" ht="15" hidden="false" customHeight="false" outlineLevel="0" collapsed="false">
      <c r="A238" s="33"/>
      <c r="B238" s="33"/>
      <c r="C238" s="33"/>
      <c r="D238" s="33"/>
      <c r="E238" s="33"/>
      <c r="F238" s="33"/>
      <c r="G238" s="33"/>
      <c r="H238" s="33"/>
      <c r="I238" s="33"/>
      <c r="J238" s="33"/>
      <c r="K238" s="33"/>
      <c r="L238" s="34"/>
      <c r="M238" s="34"/>
      <c r="N238" s="34"/>
      <c r="O238" s="34"/>
      <c r="P238" s="33"/>
      <c r="Q238" s="35"/>
      <c r="R238" s="33"/>
      <c r="S238" s="33"/>
      <c r="T238" s="33"/>
      <c r="U238" s="33"/>
      <c r="V238" s="33"/>
      <c r="W238" s="33"/>
    </row>
    <row r="239" customFormat="false" ht="15" hidden="false" customHeight="false" outlineLevel="0" collapsed="false">
      <c r="A239" s="33"/>
      <c r="B239" s="33"/>
      <c r="C239" s="33"/>
      <c r="D239" s="33"/>
      <c r="E239" s="33"/>
      <c r="F239" s="33"/>
      <c r="G239" s="33"/>
      <c r="H239" s="33"/>
      <c r="I239" s="33"/>
      <c r="J239" s="33"/>
      <c r="K239" s="33"/>
      <c r="L239" s="34"/>
      <c r="M239" s="34"/>
      <c r="N239" s="34"/>
      <c r="O239" s="34"/>
      <c r="P239" s="33"/>
      <c r="Q239" s="35"/>
      <c r="R239" s="33"/>
      <c r="S239" s="33"/>
      <c r="T239" s="33"/>
      <c r="U239" s="33"/>
      <c r="V239" s="33"/>
      <c r="W239" s="33"/>
    </row>
    <row r="240" customFormat="false" ht="15" hidden="false" customHeight="false" outlineLevel="0" collapsed="false">
      <c r="A240" s="33"/>
      <c r="B240" s="33"/>
      <c r="C240" s="33"/>
      <c r="D240" s="33"/>
      <c r="E240" s="33"/>
      <c r="F240" s="33"/>
      <c r="G240" s="33"/>
      <c r="H240" s="33"/>
      <c r="I240" s="33"/>
      <c r="J240" s="33"/>
      <c r="K240" s="33"/>
      <c r="L240" s="34"/>
      <c r="M240" s="34"/>
      <c r="N240" s="34"/>
      <c r="O240" s="34"/>
      <c r="P240" s="33"/>
      <c r="Q240" s="35"/>
      <c r="R240" s="33"/>
      <c r="S240" s="33"/>
      <c r="T240" s="33"/>
      <c r="U240" s="33"/>
      <c r="V240" s="33"/>
      <c r="W240" s="33"/>
    </row>
    <row r="241" customFormat="false" ht="15" hidden="false" customHeight="false" outlineLevel="0" collapsed="false">
      <c r="A241" s="33"/>
      <c r="B241" s="33"/>
      <c r="C241" s="33"/>
      <c r="D241" s="33"/>
      <c r="E241" s="33"/>
      <c r="F241" s="33"/>
      <c r="G241" s="33"/>
      <c r="H241" s="33"/>
      <c r="I241" s="33"/>
      <c r="J241" s="33"/>
      <c r="K241" s="33"/>
      <c r="L241" s="34"/>
      <c r="M241" s="34"/>
      <c r="N241" s="34"/>
      <c r="O241" s="34"/>
      <c r="P241" s="33"/>
      <c r="Q241" s="35"/>
      <c r="R241" s="33"/>
      <c r="S241" s="33"/>
      <c r="T241" s="33"/>
      <c r="U241" s="33"/>
      <c r="V241" s="33"/>
      <c r="W241" s="33"/>
    </row>
    <row r="242" customFormat="false" ht="15" hidden="false" customHeight="false" outlineLevel="0" collapsed="false">
      <c r="A242" s="33"/>
      <c r="B242" s="33"/>
      <c r="C242" s="33"/>
      <c r="D242" s="33"/>
      <c r="E242" s="33"/>
      <c r="F242" s="33"/>
      <c r="G242" s="33"/>
      <c r="H242" s="33"/>
      <c r="I242" s="33"/>
      <c r="J242" s="33"/>
      <c r="K242" s="33"/>
      <c r="L242" s="34"/>
      <c r="M242" s="34"/>
      <c r="N242" s="34"/>
      <c r="O242" s="34"/>
      <c r="P242" s="33"/>
      <c r="Q242" s="35"/>
      <c r="R242" s="33"/>
      <c r="S242" s="33"/>
      <c r="T242" s="33"/>
      <c r="U242" s="33"/>
      <c r="V242" s="33"/>
      <c r="W242" s="33"/>
    </row>
    <row r="243" customFormat="false" ht="15" hidden="false" customHeight="false" outlineLevel="0" collapsed="false">
      <c r="A243" s="33"/>
      <c r="B243" s="33"/>
      <c r="C243" s="33"/>
      <c r="D243" s="33"/>
      <c r="E243" s="33"/>
      <c r="F243" s="33"/>
      <c r="G243" s="33"/>
      <c r="H243" s="33"/>
      <c r="I243" s="33"/>
      <c r="J243" s="33"/>
      <c r="K243" s="33"/>
      <c r="L243" s="34"/>
      <c r="M243" s="34"/>
      <c r="N243" s="34"/>
      <c r="O243" s="34"/>
      <c r="P243" s="33"/>
      <c r="Q243" s="35"/>
      <c r="R243" s="33"/>
      <c r="S243" s="33"/>
      <c r="T243" s="33"/>
      <c r="U243" s="33"/>
      <c r="V243" s="33"/>
      <c r="W243" s="33"/>
    </row>
    <row r="244" customFormat="false" ht="15" hidden="false" customHeight="false" outlineLevel="0" collapsed="false">
      <c r="A244" s="33"/>
      <c r="B244" s="33"/>
      <c r="C244" s="33"/>
      <c r="D244" s="33"/>
      <c r="E244" s="33"/>
      <c r="F244" s="33"/>
      <c r="G244" s="33"/>
      <c r="H244" s="33"/>
      <c r="I244" s="33"/>
      <c r="J244" s="33"/>
      <c r="K244" s="33"/>
      <c r="L244" s="34"/>
      <c r="M244" s="34"/>
      <c r="N244" s="34"/>
      <c r="O244" s="34"/>
      <c r="P244" s="33"/>
      <c r="Q244" s="35"/>
      <c r="R244" s="33"/>
      <c r="S244" s="33"/>
      <c r="T244" s="33"/>
      <c r="U244" s="33"/>
      <c r="V244" s="33"/>
      <c r="W244" s="33"/>
    </row>
    <row r="245" customFormat="false" ht="15" hidden="false" customHeight="false" outlineLevel="0" collapsed="false">
      <c r="A245" s="33"/>
      <c r="B245" s="33"/>
      <c r="C245" s="33"/>
      <c r="D245" s="33"/>
      <c r="E245" s="33"/>
      <c r="F245" s="33"/>
      <c r="G245" s="33"/>
      <c r="H245" s="33"/>
      <c r="I245" s="33"/>
      <c r="J245" s="33"/>
      <c r="K245" s="33"/>
      <c r="L245" s="34"/>
      <c r="M245" s="34"/>
      <c r="N245" s="34"/>
      <c r="O245" s="34"/>
      <c r="P245" s="33"/>
      <c r="Q245" s="35"/>
      <c r="R245" s="33"/>
      <c r="S245" s="33"/>
      <c r="T245" s="33"/>
      <c r="U245" s="33"/>
      <c r="V245" s="33"/>
      <c r="W245" s="33"/>
    </row>
    <row r="246" customFormat="false" ht="15" hidden="false" customHeight="false" outlineLevel="0" collapsed="false">
      <c r="A246" s="33"/>
      <c r="B246" s="33"/>
      <c r="C246" s="33"/>
      <c r="D246" s="33"/>
      <c r="E246" s="33"/>
      <c r="F246" s="33"/>
      <c r="G246" s="33"/>
      <c r="H246" s="33"/>
      <c r="I246" s="33"/>
      <c r="J246" s="33"/>
      <c r="K246" s="33"/>
      <c r="L246" s="34"/>
      <c r="M246" s="34"/>
      <c r="N246" s="34"/>
      <c r="O246" s="34"/>
      <c r="P246" s="33"/>
      <c r="Q246" s="35"/>
      <c r="R246" s="33"/>
      <c r="S246" s="33"/>
      <c r="T246" s="33"/>
      <c r="U246" s="33"/>
      <c r="V246" s="33"/>
      <c r="W246" s="33"/>
    </row>
    <row r="247" customFormat="false" ht="15" hidden="false" customHeight="false" outlineLevel="0" collapsed="false">
      <c r="A247" s="33"/>
      <c r="B247" s="33"/>
      <c r="C247" s="33"/>
      <c r="D247" s="33"/>
      <c r="E247" s="33"/>
      <c r="F247" s="33"/>
      <c r="G247" s="33"/>
      <c r="H247" s="33"/>
      <c r="I247" s="33"/>
      <c r="J247" s="33"/>
      <c r="K247" s="33"/>
      <c r="L247" s="34"/>
      <c r="M247" s="34"/>
      <c r="N247" s="34"/>
      <c r="O247" s="34"/>
      <c r="P247" s="33"/>
      <c r="Q247" s="35"/>
      <c r="R247" s="33"/>
      <c r="S247" s="33"/>
      <c r="T247" s="33"/>
      <c r="U247" s="33"/>
      <c r="V247" s="33"/>
      <c r="W247" s="33"/>
    </row>
    <row r="248" customFormat="false" ht="15" hidden="false" customHeight="false" outlineLevel="0" collapsed="false">
      <c r="A248" s="33"/>
      <c r="B248" s="33"/>
      <c r="C248" s="33"/>
      <c r="D248" s="33"/>
      <c r="E248" s="33"/>
      <c r="F248" s="33"/>
      <c r="G248" s="33"/>
      <c r="H248" s="33"/>
      <c r="I248" s="33"/>
      <c r="J248" s="33"/>
      <c r="K248" s="33"/>
      <c r="L248" s="34"/>
      <c r="M248" s="34"/>
      <c r="N248" s="34"/>
      <c r="O248" s="34"/>
      <c r="P248" s="33"/>
      <c r="Q248" s="35"/>
      <c r="R248" s="33"/>
      <c r="S248" s="33"/>
      <c r="T248" s="33"/>
      <c r="U248" s="33"/>
      <c r="V248" s="33"/>
      <c r="W248" s="33"/>
    </row>
    <row r="249" customFormat="false" ht="15" hidden="false" customHeight="false" outlineLevel="0" collapsed="false">
      <c r="A249" s="33"/>
      <c r="B249" s="33"/>
      <c r="C249" s="33"/>
      <c r="D249" s="33"/>
      <c r="E249" s="33"/>
      <c r="F249" s="33"/>
      <c r="G249" s="33"/>
      <c r="H249" s="33"/>
      <c r="I249" s="33"/>
      <c r="J249" s="33"/>
      <c r="K249" s="33"/>
      <c r="L249" s="34"/>
      <c r="M249" s="34"/>
      <c r="N249" s="34"/>
      <c r="O249" s="34"/>
      <c r="P249" s="33"/>
      <c r="Q249" s="35"/>
      <c r="R249" s="33"/>
      <c r="S249" s="33"/>
      <c r="T249" s="33"/>
      <c r="U249" s="33"/>
      <c r="V249" s="33"/>
      <c r="W249" s="33"/>
    </row>
    <row r="250" customFormat="false" ht="15" hidden="false" customHeight="false" outlineLevel="0" collapsed="false">
      <c r="A250" s="33"/>
      <c r="B250" s="33"/>
      <c r="C250" s="33"/>
      <c r="D250" s="33"/>
      <c r="E250" s="33"/>
      <c r="F250" s="33"/>
      <c r="G250" s="33"/>
      <c r="H250" s="33"/>
      <c r="I250" s="33"/>
      <c r="J250" s="33"/>
      <c r="K250" s="33"/>
      <c r="L250" s="34"/>
      <c r="M250" s="34"/>
      <c r="N250" s="34"/>
      <c r="O250" s="34"/>
      <c r="P250" s="33"/>
      <c r="Q250" s="35"/>
      <c r="R250" s="33"/>
      <c r="S250" s="33"/>
      <c r="T250" s="33"/>
      <c r="U250" s="33"/>
      <c r="V250" s="33"/>
      <c r="W250" s="33"/>
    </row>
    <row r="251" customFormat="false" ht="15" hidden="false" customHeight="false" outlineLevel="0" collapsed="false">
      <c r="A251" s="33"/>
      <c r="B251" s="33"/>
      <c r="C251" s="33"/>
      <c r="D251" s="33"/>
      <c r="E251" s="33"/>
      <c r="F251" s="33"/>
      <c r="G251" s="33"/>
      <c r="H251" s="33"/>
      <c r="I251" s="33"/>
      <c r="J251" s="33"/>
      <c r="K251" s="33"/>
      <c r="L251" s="34"/>
      <c r="M251" s="34"/>
      <c r="N251" s="34"/>
      <c r="O251" s="34"/>
      <c r="P251" s="33"/>
      <c r="Q251" s="35"/>
      <c r="R251" s="33"/>
      <c r="S251" s="33"/>
      <c r="T251" s="33"/>
      <c r="U251" s="33"/>
      <c r="V251" s="33"/>
      <c r="W251" s="33"/>
    </row>
    <row r="252" customFormat="false" ht="15" hidden="false" customHeight="false" outlineLevel="0" collapsed="false">
      <c r="A252" s="33"/>
      <c r="B252" s="33"/>
      <c r="C252" s="33"/>
      <c r="D252" s="33"/>
      <c r="E252" s="33"/>
      <c r="F252" s="33"/>
      <c r="G252" s="33"/>
      <c r="H252" s="33"/>
      <c r="I252" s="33"/>
      <c r="J252" s="33"/>
      <c r="K252" s="33"/>
      <c r="L252" s="34"/>
      <c r="M252" s="34"/>
      <c r="N252" s="34"/>
      <c r="O252" s="34"/>
      <c r="P252" s="33"/>
      <c r="Q252" s="35"/>
      <c r="R252" s="33"/>
      <c r="S252" s="33"/>
      <c r="T252" s="33"/>
      <c r="U252" s="33"/>
      <c r="V252" s="33"/>
      <c r="W252" s="33"/>
    </row>
    <row r="253" customFormat="false" ht="15" hidden="false" customHeight="false" outlineLevel="0" collapsed="false">
      <c r="A253" s="33"/>
      <c r="B253" s="33"/>
      <c r="C253" s="33"/>
      <c r="D253" s="33"/>
      <c r="E253" s="33"/>
      <c r="F253" s="33"/>
      <c r="G253" s="33"/>
      <c r="H253" s="33"/>
      <c r="I253" s="33"/>
      <c r="J253" s="33"/>
      <c r="K253" s="33"/>
      <c r="L253" s="34"/>
      <c r="M253" s="34"/>
      <c r="N253" s="34"/>
      <c r="O253" s="34"/>
      <c r="P253" s="33"/>
      <c r="Q253" s="35"/>
      <c r="R253" s="33"/>
      <c r="S253" s="33"/>
      <c r="T253" s="33"/>
      <c r="U253" s="33"/>
      <c r="V253" s="33"/>
      <c r="W253" s="33"/>
    </row>
    <row r="254" customFormat="false" ht="15" hidden="false" customHeight="false" outlineLevel="0" collapsed="false">
      <c r="A254" s="33"/>
      <c r="B254" s="33"/>
      <c r="C254" s="33"/>
      <c r="D254" s="33"/>
      <c r="E254" s="33"/>
      <c r="F254" s="33"/>
      <c r="G254" s="33"/>
      <c r="H254" s="33"/>
      <c r="I254" s="33"/>
      <c r="J254" s="33"/>
      <c r="K254" s="33"/>
      <c r="L254" s="34"/>
      <c r="M254" s="34"/>
      <c r="N254" s="34"/>
      <c r="O254" s="34"/>
      <c r="P254" s="33"/>
      <c r="Q254" s="35"/>
      <c r="R254" s="33"/>
      <c r="S254" s="33"/>
      <c r="T254" s="33"/>
      <c r="U254" s="33"/>
      <c r="V254" s="33"/>
      <c r="W254" s="33"/>
    </row>
    <row r="255" customFormat="false" ht="15" hidden="false" customHeight="false" outlineLevel="0" collapsed="false">
      <c r="A255" s="33"/>
      <c r="B255" s="33"/>
      <c r="C255" s="33"/>
      <c r="D255" s="33"/>
      <c r="E255" s="33"/>
      <c r="F255" s="33"/>
      <c r="G255" s="33"/>
      <c r="H255" s="33"/>
      <c r="I255" s="33"/>
      <c r="J255" s="33"/>
      <c r="K255" s="33"/>
      <c r="L255" s="34"/>
      <c r="M255" s="34"/>
      <c r="N255" s="34"/>
      <c r="O255" s="34"/>
      <c r="P255" s="33"/>
      <c r="Q255" s="35"/>
      <c r="R255" s="33"/>
      <c r="S255" s="33"/>
      <c r="T255" s="33"/>
      <c r="U255" s="33"/>
      <c r="V255" s="33"/>
      <c r="W255" s="33"/>
    </row>
    <row r="256" customFormat="false" ht="15" hidden="false" customHeight="false" outlineLevel="0" collapsed="false">
      <c r="A256" s="33"/>
      <c r="B256" s="33"/>
      <c r="C256" s="33"/>
      <c r="D256" s="33"/>
      <c r="E256" s="33"/>
      <c r="F256" s="33"/>
      <c r="G256" s="33"/>
      <c r="H256" s="33"/>
      <c r="I256" s="33"/>
      <c r="J256" s="33"/>
      <c r="K256" s="33"/>
      <c r="L256" s="34"/>
      <c r="M256" s="34"/>
      <c r="N256" s="34"/>
      <c r="O256" s="34"/>
      <c r="P256" s="33"/>
      <c r="Q256" s="35"/>
      <c r="R256" s="33"/>
      <c r="S256" s="33"/>
      <c r="T256" s="33"/>
      <c r="U256" s="33"/>
      <c r="V256" s="33"/>
      <c r="W256" s="33"/>
    </row>
    <row r="257" customFormat="false" ht="15" hidden="false" customHeight="false" outlineLevel="0" collapsed="false">
      <c r="A257" s="33"/>
      <c r="B257" s="33"/>
      <c r="C257" s="33"/>
      <c r="D257" s="33"/>
      <c r="E257" s="33"/>
      <c r="F257" s="33"/>
      <c r="G257" s="33"/>
      <c r="H257" s="33"/>
      <c r="I257" s="33"/>
      <c r="J257" s="33"/>
      <c r="K257" s="33"/>
      <c r="L257" s="34"/>
      <c r="M257" s="34"/>
      <c r="N257" s="34"/>
      <c r="O257" s="34"/>
      <c r="P257" s="33"/>
      <c r="Q257" s="35"/>
      <c r="R257" s="33"/>
      <c r="S257" s="33"/>
      <c r="T257" s="33"/>
      <c r="U257" s="33"/>
      <c r="V257" s="33"/>
      <c r="W257" s="33"/>
    </row>
    <row r="258" customFormat="false" ht="15" hidden="false" customHeight="false" outlineLevel="0" collapsed="false">
      <c r="A258" s="33"/>
      <c r="B258" s="33"/>
      <c r="C258" s="33"/>
      <c r="D258" s="33"/>
      <c r="E258" s="33"/>
      <c r="F258" s="33"/>
      <c r="G258" s="33"/>
      <c r="H258" s="33"/>
      <c r="I258" s="33"/>
      <c r="J258" s="33"/>
      <c r="K258" s="33"/>
      <c r="L258" s="34"/>
      <c r="M258" s="34"/>
      <c r="N258" s="34"/>
      <c r="O258" s="34"/>
      <c r="P258" s="33"/>
      <c r="Q258" s="35"/>
      <c r="R258" s="33"/>
      <c r="S258" s="33"/>
      <c r="T258" s="33"/>
      <c r="U258" s="33"/>
      <c r="V258" s="33"/>
      <c r="W258" s="33"/>
    </row>
    <row r="259" customFormat="false" ht="15" hidden="false" customHeight="false" outlineLevel="0" collapsed="false">
      <c r="A259" s="33"/>
      <c r="B259" s="33"/>
      <c r="C259" s="33"/>
      <c r="D259" s="33"/>
      <c r="E259" s="33"/>
      <c r="F259" s="33"/>
      <c r="G259" s="33"/>
      <c r="H259" s="33"/>
      <c r="I259" s="33"/>
      <c r="J259" s="33"/>
      <c r="K259" s="33"/>
      <c r="L259" s="34"/>
      <c r="M259" s="34"/>
      <c r="N259" s="34"/>
      <c r="O259" s="34"/>
      <c r="P259" s="33"/>
      <c r="Q259" s="35"/>
      <c r="R259" s="33"/>
      <c r="S259" s="33"/>
      <c r="T259" s="33"/>
      <c r="U259" s="33"/>
      <c r="V259" s="33"/>
      <c r="W259" s="33"/>
    </row>
    <row r="260" customFormat="false" ht="15" hidden="false" customHeight="false" outlineLevel="0" collapsed="false">
      <c r="A260" s="33"/>
      <c r="B260" s="33"/>
      <c r="C260" s="33"/>
      <c r="D260" s="33"/>
      <c r="E260" s="33"/>
      <c r="F260" s="33"/>
      <c r="G260" s="33"/>
      <c r="H260" s="33"/>
      <c r="I260" s="33"/>
      <c r="J260" s="33"/>
      <c r="K260" s="33"/>
      <c r="L260" s="34"/>
      <c r="M260" s="34"/>
      <c r="N260" s="34"/>
      <c r="O260" s="34"/>
      <c r="P260" s="33"/>
      <c r="Q260" s="35"/>
      <c r="R260" s="33"/>
      <c r="S260" s="33"/>
      <c r="T260" s="33"/>
      <c r="U260" s="33"/>
      <c r="V260" s="33"/>
      <c r="W260" s="33"/>
    </row>
    <row r="261" customFormat="false" ht="15" hidden="false" customHeight="false" outlineLevel="0" collapsed="false">
      <c r="A261" s="33"/>
      <c r="B261" s="33"/>
      <c r="C261" s="33"/>
      <c r="D261" s="33"/>
      <c r="E261" s="33"/>
      <c r="F261" s="33"/>
      <c r="G261" s="33"/>
      <c r="H261" s="33"/>
      <c r="I261" s="33"/>
      <c r="J261" s="33"/>
      <c r="K261" s="33"/>
      <c r="L261" s="34"/>
      <c r="M261" s="34"/>
      <c r="N261" s="34"/>
      <c r="O261" s="34"/>
      <c r="P261" s="33"/>
      <c r="Q261" s="35"/>
      <c r="R261" s="33"/>
      <c r="S261" s="33"/>
      <c r="T261" s="33"/>
      <c r="U261" s="33"/>
      <c r="V261" s="33"/>
      <c r="W261" s="33"/>
    </row>
    <row r="262" customFormat="false" ht="15" hidden="false" customHeight="false" outlineLevel="0" collapsed="false">
      <c r="A262" s="33"/>
      <c r="B262" s="33"/>
      <c r="C262" s="33"/>
      <c r="D262" s="33"/>
      <c r="E262" s="33"/>
      <c r="F262" s="33"/>
      <c r="G262" s="33"/>
      <c r="H262" s="33"/>
      <c r="I262" s="33"/>
      <c r="J262" s="33"/>
      <c r="K262" s="33"/>
      <c r="L262" s="34"/>
      <c r="M262" s="34"/>
      <c r="N262" s="34"/>
      <c r="O262" s="34"/>
      <c r="P262" s="33"/>
      <c r="Q262" s="35"/>
      <c r="R262" s="33"/>
      <c r="S262" s="33"/>
      <c r="T262" s="33"/>
      <c r="U262" s="33"/>
      <c r="V262" s="33"/>
      <c r="W262" s="33"/>
    </row>
    <row r="263" customFormat="false" ht="15" hidden="false" customHeight="false" outlineLevel="0" collapsed="false">
      <c r="A263" s="33"/>
      <c r="B263" s="33"/>
      <c r="C263" s="33"/>
      <c r="D263" s="33"/>
      <c r="E263" s="33"/>
      <c r="F263" s="33"/>
      <c r="G263" s="33"/>
      <c r="H263" s="33"/>
      <c r="I263" s="33"/>
      <c r="J263" s="33"/>
      <c r="K263" s="33"/>
      <c r="L263" s="34"/>
      <c r="M263" s="34"/>
      <c r="N263" s="34"/>
      <c r="O263" s="34"/>
      <c r="P263" s="33"/>
      <c r="Q263" s="35"/>
      <c r="R263" s="33"/>
      <c r="S263" s="33"/>
      <c r="T263" s="33"/>
      <c r="U263" s="33"/>
      <c r="V263" s="33"/>
      <c r="W263" s="33"/>
    </row>
    <row r="264" customFormat="false" ht="15" hidden="false" customHeight="false" outlineLevel="0" collapsed="false">
      <c r="A264" s="33"/>
      <c r="B264" s="33"/>
      <c r="C264" s="33"/>
      <c r="D264" s="33"/>
      <c r="E264" s="33"/>
      <c r="F264" s="33"/>
      <c r="G264" s="33"/>
      <c r="H264" s="33"/>
      <c r="I264" s="33"/>
      <c r="J264" s="33"/>
      <c r="K264" s="33"/>
      <c r="L264" s="34"/>
      <c r="M264" s="34"/>
      <c r="N264" s="34"/>
      <c r="O264" s="34"/>
      <c r="P264" s="33"/>
      <c r="Q264" s="35"/>
      <c r="R264" s="33"/>
      <c r="S264" s="33"/>
      <c r="T264" s="33"/>
      <c r="U264" s="33"/>
      <c r="V264" s="33"/>
      <c r="W264" s="33"/>
    </row>
    <row r="265" customFormat="false" ht="15" hidden="false" customHeight="false" outlineLevel="0" collapsed="false">
      <c r="A265" s="33"/>
      <c r="B265" s="33"/>
      <c r="C265" s="33"/>
      <c r="D265" s="33"/>
      <c r="E265" s="33"/>
      <c r="F265" s="33"/>
      <c r="G265" s="33"/>
      <c r="H265" s="33"/>
      <c r="I265" s="33"/>
      <c r="J265" s="33"/>
      <c r="K265" s="33"/>
      <c r="L265" s="34"/>
      <c r="M265" s="34"/>
      <c r="N265" s="34"/>
      <c r="O265" s="34"/>
      <c r="P265" s="33"/>
      <c r="Q265" s="35"/>
      <c r="R265" s="33"/>
      <c r="S265" s="33"/>
      <c r="T265" s="33"/>
      <c r="U265" s="33"/>
      <c r="V265" s="33"/>
      <c r="W265" s="33"/>
    </row>
    <row r="266" customFormat="false" ht="15" hidden="false" customHeight="false" outlineLevel="0" collapsed="false">
      <c r="A266" s="33"/>
      <c r="B266" s="33"/>
      <c r="C266" s="33"/>
      <c r="D266" s="33"/>
      <c r="E266" s="33"/>
      <c r="F266" s="33"/>
      <c r="G266" s="33"/>
      <c r="H266" s="33"/>
      <c r="I266" s="33"/>
      <c r="J266" s="33"/>
      <c r="K266" s="33"/>
      <c r="L266" s="34"/>
      <c r="M266" s="34"/>
      <c r="N266" s="34"/>
      <c r="O266" s="34"/>
      <c r="P266" s="33"/>
      <c r="Q266" s="35"/>
      <c r="R266" s="33"/>
      <c r="S266" s="33"/>
      <c r="T266" s="33"/>
      <c r="U266" s="33"/>
      <c r="V266" s="33"/>
      <c r="W266" s="33"/>
    </row>
    <row r="267" customFormat="false" ht="15" hidden="false" customHeight="false" outlineLevel="0" collapsed="false">
      <c r="A267" s="33"/>
      <c r="B267" s="33"/>
      <c r="C267" s="33"/>
      <c r="D267" s="33"/>
      <c r="E267" s="33"/>
      <c r="F267" s="33"/>
      <c r="G267" s="33"/>
      <c r="H267" s="33"/>
      <c r="I267" s="33"/>
      <c r="J267" s="33"/>
      <c r="K267" s="33"/>
      <c r="L267" s="34"/>
      <c r="M267" s="34"/>
      <c r="N267" s="34"/>
      <c r="O267" s="34"/>
      <c r="P267" s="33"/>
      <c r="Q267" s="35"/>
      <c r="R267" s="33"/>
      <c r="S267" s="33"/>
      <c r="T267" s="33"/>
      <c r="U267" s="33"/>
      <c r="V267" s="33"/>
      <c r="W267" s="33"/>
    </row>
    <row r="268" customFormat="false" ht="15" hidden="false" customHeight="false" outlineLevel="0" collapsed="false">
      <c r="A268" s="33"/>
      <c r="B268" s="33"/>
      <c r="C268" s="33"/>
      <c r="D268" s="33"/>
      <c r="E268" s="33"/>
      <c r="F268" s="33"/>
      <c r="G268" s="33"/>
      <c r="H268" s="33"/>
      <c r="I268" s="33"/>
      <c r="J268" s="33"/>
      <c r="K268" s="33"/>
      <c r="L268" s="34"/>
      <c r="M268" s="34"/>
      <c r="N268" s="34"/>
      <c r="O268" s="34"/>
      <c r="P268" s="33"/>
      <c r="Q268" s="35"/>
      <c r="R268" s="33"/>
      <c r="S268" s="33"/>
      <c r="T268" s="33"/>
      <c r="U268" s="33"/>
      <c r="V268" s="33"/>
      <c r="W268" s="33"/>
    </row>
    <row r="269" customFormat="false" ht="15" hidden="false" customHeight="false" outlineLevel="0" collapsed="false">
      <c r="A269" s="33"/>
      <c r="B269" s="33"/>
      <c r="C269" s="33"/>
      <c r="D269" s="33"/>
      <c r="E269" s="33"/>
      <c r="F269" s="33"/>
      <c r="G269" s="33"/>
      <c r="H269" s="33"/>
      <c r="I269" s="33"/>
      <c r="J269" s="33"/>
      <c r="K269" s="33"/>
      <c r="L269" s="34"/>
      <c r="M269" s="34"/>
      <c r="N269" s="34"/>
      <c r="O269" s="34"/>
      <c r="P269" s="33"/>
      <c r="Q269" s="35"/>
      <c r="R269" s="33"/>
      <c r="S269" s="33"/>
      <c r="T269" s="33"/>
      <c r="U269" s="33"/>
      <c r="V269" s="33"/>
      <c r="W269" s="33"/>
    </row>
    <row r="270" customFormat="false" ht="15" hidden="false" customHeight="false" outlineLevel="0" collapsed="false">
      <c r="A270" s="33"/>
      <c r="B270" s="33"/>
      <c r="C270" s="33"/>
      <c r="D270" s="33"/>
      <c r="E270" s="33"/>
      <c r="F270" s="33"/>
      <c r="G270" s="33"/>
      <c r="H270" s="33"/>
      <c r="I270" s="33"/>
      <c r="J270" s="33"/>
      <c r="K270" s="33"/>
      <c r="L270" s="34"/>
      <c r="M270" s="34"/>
      <c r="N270" s="34"/>
      <c r="O270" s="34"/>
      <c r="P270" s="33"/>
      <c r="Q270" s="35"/>
      <c r="R270" s="33"/>
      <c r="S270" s="33"/>
      <c r="T270" s="33"/>
      <c r="U270" s="33"/>
      <c r="V270" s="33"/>
      <c r="W270" s="33"/>
    </row>
    <row r="271" customFormat="false" ht="15" hidden="false" customHeight="false" outlineLevel="0" collapsed="false">
      <c r="A271" s="33"/>
      <c r="B271" s="33"/>
      <c r="C271" s="33"/>
      <c r="D271" s="33"/>
      <c r="E271" s="33"/>
      <c r="F271" s="33"/>
      <c r="G271" s="33"/>
      <c r="H271" s="33"/>
      <c r="I271" s="33"/>
      <c r="J271" s="33"/>
      <c r="K271" s="33"/>
      <c r="L271" s="34"/>
      <c r="M271" s="34"/>
      <c r="N271" s="34"/>
      <c r="O271" s="34"/>
      <c r="P271" s="33"/>
      <c r="Q271" s="35"/>
      <c r="R271" s="33"/>
      <c r="S271" s="33"/>
      <c r="T271" s="33"/>
      <c r="U271" s="33"/>
      <c r="V271" s="33"/>
      <c r="W271" s="33"/>
    </row>
    <row r="272" customFormat="false" ht="15" hidden="false" customHeight="false" outlineLevel="0" collapsed="false">
      <c r="A272" s="33"/>
      <c r="B272" s="33"/>
      <c r="C272" s="33"/>
      <c r="D272" s="33"/>
      <c r="E272" s="33"/>
      <c r="F272" s="33"/>
      <c r="G272" s="33"/>
      <c r="H272" s="33"/>
      <c r="I272" s="33"/>
      <c r="J272" s="33"/>
      <c r="K272" s="33"/>
      <c r="L272" s="34"/>
      <c r="M272" s="34"/>
      <c r="N272" s="34"/>
      <c r="O272" s="34"/>
      <c r="P272" s="33"/>
      <c r="Q272" s="35"/>
      <c r="R272" s="33"/>
      <c r="S272" s="33"/>
      <c r="T272" s="33"/>
      <c r="U272" s="33"/>
      <c r="V272" s="33"/>
      <c r="W272" s="33"/>
    </row>
    <row r="273" customFormat="false" ht="15" hidden="false" customHeight="false" outlineLevel="0" collapsed="false">
      <c r="A273" s="33"/>
      <c r="B273" s="33"/>
      <c r="C273" s="33"/>
      <c r="D273" s="33"/>
      <c r="E273" s="33"/>
      <c r="F273" s="33"/>
      <c r="G273" s="33"/>
      <c r="H273" s="33"/>
      <c r="I273" s="33"/>
      <c r="J273" s="33"/>
      <c r="K273" s="33"/>
      <c r="L273" s="34"/>
      <c r="M273" s="34"/>
      <c r="N273" s="34"/>
      <c r="O273" s="34"/>
      <c r="P273" s="33"/>
      <c r="Q273" s="35"/>
      <c r="R273" s="33"/>
      <c r="S273" s="33"/>
      <c r="T273" s="33"/>
      <c r="U273" s="33"/>
      <c r="V273" s="33"/>
      <c r="W273" s="33"/>
    </row>
    <row r="274" customFormat="false" ht="15" hidden="false" customHeight="false" outlineLevel="0" collapsed="false">
      <c r="A274" s="33"/>
      <c r="B274" s="33"/>
      <c r="C274" s="33"/>
      <c r="D274" s="33"/>
      <c r="E274" s="33"/>
      <c r="F274" s="33"/>
      <c r="G274" s="33"/>
      <c r="H274" s="33"/>
      <c r="I274" s="33"/>
      <c r="J274" s="33"/>
      <c r="K274" s="33"/>
      <c r="L274" s="34"/>
      <c r="M274" s="34"/>
      <c r="N274" s="34"/>
      <c r="O274" s="34"/>
      <c r="P274" s="33"/>
      <c r="Q274" s="35"/>
      <c r="R274" s="33"/>
      <c r="S274" s="33"/>
      <c r="T274" s="33"/>
      <c r="U274" s="33"/>
      <c r="V274" s="33"/>
      <c r="W274" s="33"/>
    </row>
    <row r="275" customFormat="false" ht="15" hidden="false" customHeight="false" outlineLevel="0" collapsed="false">
      <c r="A275" s="33"/>
      <c r="B275" s="33"/>
      <c r="C275" s="33"/>
      <c r="D275" s="33"/>
      <c r="E275" s="33"/>
      <c r="F275" s="33"/>
      <c r="G275" s="33"/>
      <c r="H275" s="33"/>
      <c r="I275" s="33"/>
      <c r="J275" s="33"/>
      <c r="K275" s="33"/>
      <c r="L275" s="34"/>
      <c r="M275" s="34"/>
      <c r="N275" s="34"/>
      <c r="O275" s="34"/>
      <c r="P275" s="33"/>
      <c r="Q275" s="35"/>
      <c r="R275" s="33"/>
      <c r="S275" s="33"/>
      <c r="T275" s="33"/>
      <c r="U275" s="33"/>
      <c r="V275" s="33"/>
      <c r="W275" s="33"/>
    </row>
    <row r="276" customFormat="false" ht="15" hidden="false" customHeight="false" outlineLevel="0" collapsed="false">
      <c r="A276" s="33"/>
      <c r="B276" s="33"/>
      <c r="C276" s="33"/>
      <c r="D276" s="33"/>
      <c r="E276" s="33"/>
      <c r="F276" s="33"/>
      <c r="G276" s="33"/>
      <c r="H276" s="33"/>
      <c r="I276" s="33"/>
      <c r="J276" s="33"/>
      <c r="K276" s="33"/>
      <c r="L276" s="34"/>
      <c r="M276" s="34"/>
      <c r="N276" s="34"/>
      <c r="O276" s="34"/>
      <c r="P276" s="33"/>
      <c r="Q276" s="35"/>
      <c r="R276" s="33"/>
      <c r="S276" s="33"/>
      <c r="T276" s="33"/>
      <c r="U276" s="33"/>
      <c r="V276" s="33"/>
      <c r="W276" s="33"/>
    </row>
    <row r="277" customFormat="false" ht="15" hidden="false" customHeight="false" outlineLevel="0" collapsed="false">
      <c r="A277" s="33"/>
      <c r="B277" s="33"/>
      <c r="C277" s="33"/>
      <c r="D277" s="33"/>
      <c r="E277" s="33"/>
      <c r="F277" s="33"/>
      <c r="G277" s="33"/>
      <c r="H277" s="33"/>
      <c r="I277" s="33"/>
      <c r="J277" s="33"/>
      <c r="K277" s="33"/>
      <c r="L277" s="34"/>
      <c r="M277" s="34"/>
      <c r="N277" s="34"/>
      <c r="O277" s="34"/>
      <c r="P277" s="33"/>
      <c r="Q277" s="35"/>
      <c r="R277" s="33"/>
      <c r="S277" s="33"/>
      <c r="T277" s="33"/>
      <c r="U277" s="33"/>
      <c r="V277" s="33"/>
      <c r="W277" s="33"/>
    </row>
    <row r="278" customFormat="false" ht="15" hidden="false" customHeight="false" outlineLevel="0" collapsed="false">
      <c r="A278" s="33"/>
      <c r="B278" s="33"/>
      <c r="C278" s="33"/>
      <c r="D278" s="33"/>
      <c r="E278" s="33"/>
      <c r="F278" s="33"/>
      <c r="G278" s="33"/>
      <c r="H278" s="33"/>
      <c r="I278" s="33"/>
      <c r="J278" s="33"/>
      <c r="K278" s="33"/>
      <c r="L278" s="34"/>
      <c r="M278" s="34"/>
      <c r="N278" s="34"/>
      <c r="O278" s="34"/>
      <c r="P278" s="33"/>
      <c r="Q278" s="35"/>
      <c r="R278" s="33"/>
      <c r="S278" s="33"/>
      <c r="T278" s="33"/>
      <c r="U278" s="33"/>
      <c r="V278" s="33"/>
      <c r="W278" s="33"/>
    </row>
    <row r="279" customFormat="false" ht="15" hidden="false" customHeight="false" outlineLevel="0" collapsed="false">
      <c r="A279" s="33"/>
      <c r="B279" s="33"/>
      <c r="C279" s="33"/>
      <c r="D279" s="33"/>
      <c r="E279" s="33"/>
      <c r="F279" s="33"/>
      <c r="G279" s="33"/>
      <c r="H279" s="33"/>
      <c r="I279" s="33"/>
      <c r="J279" s="33"/>
      <c r="K279" s="33"/>
      <c r="L279" s="34"/>
      <c r="M279" s="34"/>
      <c r="N279" s="34"/>
      <c r="O279" s="34"/>
      <c r="P279" s="33"/>
      <c r="Q279" s="35"/>
      <c r="R279" s="33"/>
      <c r="S279" s="33"/>
      <c r="T279" s="33"/>
      <c r="U279" s="33"/>
      <c r="V279" s="33"/>
      <c r="W279" s="33"/>
    </row>
    <row r="280" customFormat="false" ht="15" hidden="false" customHeight="false" outlineLevel="0" collapsed="false">
      <c r="A280" s="33"/>
      <c r="B280" s="33"/>
      <c r="C280" s="33"/>
      <c r="D280" s="33"/>
      <c r="E280" s="33"/>
      <c r="F280" s="33"/>
      <c r="G280" s="33"/>
      <c r="H280" s="33"/>
      <c r="I280" s="33"/>
      <c r="J280" s="33"/>
      <c r="K280" s="33"/>
      <c r="L280" s="34"/>
      <c r="M280" s="34"/>
      <c r="N280" s="34"/>
      <c r="O280" s="34"/>
      <c r="P280" s="33"/>
      <c r="Q280" s="35"/>
      <c r="R280" s="33"/>
      <c r="S280" s="33"/>
      <c r="T280" s="33"/>
      <c r="U280" s="33"/>
      <c r="V280" s="33"/>
      <c r="W280" s="33"/>
    </row>
    <row r="281" customFormat="false" ht="15" hidden="false" customHeight="false" outlineLevel="0" collapsed="false">
      <c r="A281" s="33"/>
      <c r="B281" s="33"/>
      <c r="C281" s="33"/>
      <c r="D281" s="33"/>
      <c r="E281" s="33"/>
      <c r="F281" s="33"/>
      <c r="G281" s="33"/>
      <c r="H281" s="33"/>
      <c r="I281" s="33"/>
      <c r="J281" s="33"/>
      <c r="K281" s="33"/>
      <c r="L281" s="34"/>
      <c r="M281" s="34"/>
      <c r="N281" s="34"/>
      <c r="O281" s="34"/>
      <c r="P281" s="33"/>
      <c r="Q281" s="35"/>
      <c r="R281" s="33"/>
      <c r="S281" s="33"/>
      <c r="T281" s="33"/>
      <c r="U281" s="33"/>
      <c r="V281" s="33"/>
      <c r="W281" s="33"/>
    </row>
    <row r="282" customFormat="false" ht="15" hidden="false" customHeight="false" outlineLevel="0" collapsed="false">
      <c r="A282" s="33"/>
      <c r="B282" s="33"/>
      <c r="C282" s="33"/>
      <c r="D282" s="33"/>
      <c r="E282" s="33"/>
      <c r="F282" s="33"/>
      <c r="G282" s="33"/>
      <c r="H282" s="33"/>
      <c r="I282" s="33"/>
      <c r="J282" s="33"/>
      <c r="K282" s="33"/>
      <c r="L282" s="34"/>
      <c r="M282" s="34"/>
      <c r="N282" s="34"/>
      <c r="O282" s="34"/>
      <c r="P282" s="33"/>
      <c r="Q282" s="35"/>
      <c r="R282" s="33"/>
      <c r="S282" s="33"/>
      <c r="T282" s="33"/>
      <c r="U282" s="33"/>
      <c r="V282" s="33"/>
      <c r="W282" s="33"/>
    </row>
    <row r="283" customFormat="false" ht="15" hidden="false" customHeight="false" outlineLevel="0" collapsed="false">
      <c r="A283" s="33"/>
      <c r="B283" s="33"/>
      <c r="C283" s="33"/>
      <c r="D283" s="33"/>
      <c r="E283" s="33"/>
      <c r="F283" s="33"/>
      <c r="G283" s="33"/>
      <c r="H283" s="33"/>
      <c r="I283" s="33"/>
      <c r="J283" s="33"/>
      <c r="K283" s="33"/>
      <c r="L283" s="34"/>
      <c r="M283" s="34"/>
      <c r="N283" s="34"/>
      <c r="O283" s="34"/>
      <c r="P283" s="33"/>
      <c r="Q283" s="35"/>
      <c r="R283" s="33"/>
      <c r="S283" s="33"/>
      <c r="T283" s="33"/>
      <c r="U283" s="33"/>
      <c r="V283" s="33"/>
      <c r="W283" s="33"/>
    </row>
    <row r="284" customFormat="false" ht="15" hidden="false" customHeight="false" outlineLevel="0" collapsed="false">
      <c r="A284" s="33"/>
      <c r="B284" s="33"/>
      <c r="C284" s="33"/>
      <c r="D284" s="33"/>
      <c r="E284" s="33"/>
      <c r="F284" s="33"/>
      <c r="G284" s="33"/>
      <c r="H284" s="33"/>
      <c r="I284" s="33"/>
      <c r="J284" s="33"/>
      <c r="K284" s="33"/>
      <c r="L284" s="34"/>
      <c r="M284" s="34"/>
      <c r="N284" s="34"/>
      <c r="O284" s="34"/>
      <c r="P284" s="33"/>
      <c r="Q284" s="35"/>
      <c r="R284" s="33"/>
      <c r="S284" s="33"/>
      <c r="T284" s="33"/>
      <c r="U284" s="33"/>
      <c r="V284" s="33"/>
      <c r="W284" s="33"/>
    </row>
    <row r="285" customFormat="false" ht="15" hidden="false" customHeight="false" outlineLevel="0" collapsed="false">
      <c r="A285" s="33"/>
      <c r="B285" s="33"/>
      <c r="C285" s="33"/>
      <c r="D285" s="33"/>
      <c r="E285" s="33"/>
      <c r="F285" s="33"/>
      <c r="G285" s="33"/>
      <c r="H285" s="33"/>
      <c r="I285" s="33"/>
      <c r="J285" s="33"/>
      <c r="K285" s="33"/>
      <c r="L285" s="34"/>
      <c r="M285" s="34"/>
      <c r="N285" s="34"/>
      <c r="O285" s="34"/>
      <c r="P285" s="33"/>
      <c r="Q285" s="35"/>
      <c r="R285" s="33"/>
      <c r="S285" s="33"/>
      <c r="T285" s="33"/>
      <c r="U285" s="33"/>
      <c r="V285" s="33"/>
      <c r="W285" s="33"/>
    </row>
    <row r="286" customFormat="false" ht="15" hidden="false" customHeight="false" outlineLevel="0" collapsed="false">
      <c r="A286" s="33"/>
      <c r="B286" s="33"/>
      <c r="C286" s="33"/>
      <c r="D286" s="33"/>
      <c r="E286" s="33"/>
      <c r="F286" s="33"/>
      <c r="G286" s="33"/>
      <c r="H286" s="33"/>
      <c r="I286" s="33"/>
      <c r="J286" s="33"/>
      <c r="K286" s="33"/>
      <c r="L286" s="34"/>
      <c r="M286" s="34"/>
      <c r="N286" s="34"/>
      <c r="O286" s="34"/>
      <c r="P286" s="33"/>
      <c r="Q286" s="35"/>
      <c r="R286" s="33"/>
      <c r="S286" s="33"/>
      <c r="T286" s="33"/>
      <c r="U286" s="33"/>
      <c r="V286" s="33"/>
      <c r="W286" s="33"/>
    </row>
    <row r="287" customFormat="false" ht="15" hidden="false" customHeight="false" outlineLevel="0" collapsed="false">
      <c r="A287" s="33"/>
      <c r="B287" s="33"/>
      <c r="C287" s="33"/>
      <c r="D287" s="33"/>
      <c r="E287" s="33"/>
      <c r="F287" s="33"/>
      <c r="G287" s="33"/>
      <c r="H287" s="33"/>
      <c r="I287" s="33"/>
      <c r="J287" s="33"/>
      <c r="K287" s="33"/>
      <c r="L287" s="34"/>
      <c r="M287" s="34"/>
      <c r="N287" s="34"/>
      <c r="O287" s="34"/>
      <c r="P287" s="33"/>
      <c r="Q287" s="35"/>
      <c r="R287" s="33"/>
      <c r="S287" s="33"/>
      <c r="T287" s="33"/>
      <c r="U287" s="33"/>
      <c r="V287" s="33"/>
      <c r="W287" s="33"/>
    </row>
    <row r="288" customFormat="false" ht="15" hidden="false" customHeight="false" outlineLevel="0" collapsed="false">
      <c r="A288" s="33"/>
      <c r="B288" s="33"/>
      <c r="C288" s="33"/>
      <c r="D288" s="33"/>
      <c r="E288" s="33"/>
      <c r="F288" s="33"/>
      <c r="G288" s="33"/>
      <c r="H288" s="33"/>
      <c r="I288" s="33"/>
      <c r="J288" s="33"/>
      <c r="K288" s="33"/>
      <c r="L288" s="34"/>
      <c r="M288" s="34"/>
      <c r="N288" s="34"/>
      <c r="O288" s="34"/>
      <c r="P288" s="33"/>
      <c r="Q288" s="35"/>
      <c r="R288" s="33"/>
      <c r="S288" s="33"/>
      <c r="T288" s="33"/>
      <c r="U288" s="33"/>
      <c r="V288" s="33"/>
      <c r="W288" s="33"/>
    </row>
    <row r="289" customFormat="false" ht="15" hidden="false" customHeight="false" outlineLevel="0" collapsed="false">
      <c r="A289" s="33"/>
      <c r="B289" s="33"/>
      <c r="C289" s="33"/>
      <c r="D289" s="33"/>
      <c r="E289" s="33"/>
      <c r="F289" s="33"/>
      <c r="G289" s="33"/>
      <c r="H289" s="33"/>
      <c r="I289" s="33"/>
      <c r="J289" s="33"/>
      <c r="K289" s="33"/>
      <c r="L289" s="34"/>
      <c r="M289" s="34"/>
      <c r="N289" s="34"/>
      <c r="O289" s="34"/>
      <c r="P289" s="33"/>
      <c r="Q289" s="35"/>
      <c r="R289" s="33"/>
      <c r="S289" s="33"/>
      <c r="T289" s="33"/>
      <c r="U289" s="33"/>
      <c r="V289" s="33"/>
      <c r="W289" s="33"/>
    </row>
    <row r="290" customFormat="false" ht="15" hidden="false" customHeight="false" outlineLevel="0" collapsed="false">
      <c r="A290" s="33"/>
      <c r="B290" s="33"/>
      <c r="C290" s="33"/>
      <c r="D290" s="33"/>
      <c r="E290" s="33"/>
      <c r="F290" s="33"/>
      <c r="G290" s="33"/>
      <c r="H290" s="33"/>
      <c r="I290" s="33"/>
      <c r="J290" s="33"/>
      <c r="K290" s="33"/>
      <c r="L290" s="34"/>
      <c r="M290" s="34"/>
      <c r="N290" s="34"/>
      <c r="O290" s="34"/>
      <c r="P290" s="33"/>
      <c r="Q290" s="35"/>
      <c r="R290" s="33"/>
      <c r="S290" s="33"/>
      <c r="T290" s="33"/>
      <c r="U290" s="33"/>
      <c r="V290" s="33"/>
      <c r="W290" s="33"/>
    </row>
    <row r="291" customFormat="false" ht="15" hidden="false" customHeight="false" outlineLevel="0" collapsed="false">
      <c r="A291" s="33"/>
      <c r="B291" s="33"/>
      <c r="C291" s="33"/>
      <c r="D291" s="33"/>
      <c r="E291" s="33"/>
      <c r="F291" s="33"/>
      <c r="G291" s="33"/>
      <c r="H291" s="33"/>
      <c r="I291" s="33"/>
      <c r="J291" s="33"/>
      <c r="K291" s="33"/>
      <c r="L291" s="34"/>
      <c r="M291" s="34"/>
      <c r="N291" s="34"/>
      <c r="O291" s="34"/>
      <c r="P291" s="33"/>
      <c r="Q291" s="35"/>
      <c r="R291" s="33"/>
      <c r="S291" s="33"/>
      <c r="T291" s="33"/>
      <c r="U291" s="33"/>
      <c r="V291" s="33"/>
      <c r="W291" s="33"/>
    </row>
    <row r="292" customFormat="false" ht="15" hidden="false" customHeight="false" outlineLevel="0" collapsed="false">
      <c r="A292" s="33"/>
      <c r="B292" s="33"/>
      <c r="C292" s="33"/>
      <c r="D292" s="33"/>
      <c r="E292" s="33"/>
      <c r="F292" s="33"/>
      <c r="G292" s="33"/>
      <c r="H292" s="33"/>
      <c r="I292" s="33"/>
      <c r="J292" s="33"/>
      <c r="K292" s="33"/>
      <c r="L292" s="34"/>
      <c r="M292" s="34"/>
      <c r="N292" s="34"/>
      <c r="O292" s="34"/>
      <c r="P292" s="33"/>
      <c r="Q292" s="35"/>
      <c r="R292" s="33"/>
      <c r="S292" s="33"/>
      <c r="T292" s="33"/>
      <c r="U292" s="33"/>
      <c r="V292" s="33"/>
      <c r="W292" s="33"/>
    </row>
    <row r="293" customFormat="false" ht="15" hidden="false" customHeight="false" outlineLevel="0" collapsed="false">
      <c r="A293" s="33"/>
      <c r="B293" s="33"/>
      <c r="C293" s="33"/>
      <c r="D293" s="33"/>
      <c r="E293" s="33"/>
      <c r="F293" s="33"/>
      <c r="G293" s="33"/>
      <c r="H293" s="33"/>
      <c r="I293" s="33"/>
      <c r="J293" s="33"/>
      <c r="K293" s="33"/>
      <c r="L293" s="34"/>
      <c r="M293" s="34"/>
      <c r="N293" s="34"/>
      <c r="O293" s="34"/>
      <c r="P293" s="33"/>
      <c r="Q293" s="35"/>
      <c r="R293" s="33"/>
      <c r="S293" s="33"/>
      <c r="T293" s="33"/>
      <c r="U293" s="33"/>
      <c r="V293" s="33"/>
      <c r="W293" s="33"/>
    </row>
    <row r="294" customFormat="false" ht="15" hidden="false" customHeight="false" outlineLevel="0" collapsed="false">
      <c r="A294" s="33"/>
      <c r="B294" s="33"/>
      <c r="C294" s="33"/>
      <c r="D294" s="33"/>
      <c r="E294" s="33"/>
      <c r="F294" s="33"/>
      <c r="G294" s="33"/>
      <c r="H294" s="33"/>
      <c r="I294" s="33"/>
      <c r="J294" s="33"/>
      <c r="K294" s="33"/>
      <c r="L294" s="34"/>
      <c r="M294" s="34"/>
      <c r="N294" s="34"/>
      <c r="O294" s="34"/>
      <c r="P294" s="33"/>
      <c r="Q294" s="35"/>
      <c r="R294" s="33"/>
      <c r="S294" s="33"/>
      <c r="T294" s="33"/>
      <c r="U294" s="33"/>
      <c r="V294" s="33"/>
      <c r="W294" s="33"/>
    </row>
    <row r="295" customFormat="false" ht="15" hidden="false" customHeight="false" outlineLevel="0" collapsed="false">
      <c r="A295" s="33"/>
      <c r="B295" s="33"/>
      <c r="C295" s="33"/>
      <c r="D295" s="33"/>
      <c r="E295" s="33"/>
      <c r="F295" s="33"/>
      <c r="G295" s="33"/>
      <c r="H295" s="33"/>
      <c r="I295" s="33"/>
      <c r="J295" s="33"/>
      <c r="K295" s="33"/>
      <c r="L295" s="34"/>
      <c r="M295" s="34"/>
      <c r="N295" s="34"/>
      <c r="O295" s="34"/>
      <c r="P295" s="33"/>
      <c r="Q295" s="35"/>
      <c r="R295" s="33"/>
      <c r="S295" s="33"/>
      <c r="T295" s="33"/>
      <c r="U295" s="33"/>
      <c r="V295" s="33"/>
      <c r="W295" s="33"/>
    </row>
    <row r="296" customFormat="false" ht="15" hidden="false" customHeight="false" outlineLevel="0" collapsed="false">
      <c r="A296" s="33"/>
      <c r="B296" s="33"/>
      <c r="C296" s="33"/>
      <c r="D296" s="33"/>
      <c r="E296" s="33"/>
      <c r="F296" s="33"/>
      <c r="G296" s="33"/>
      <c r="H296" s="33"/>
      <c r="I296" s="33"/>
      <c r="J296" s="33"/>
      <c r="K296" s="33"/>
      <c r="L296" s="34"/>
      <c r="M296" s="34"/>
      <c r="N296" s="34"/>
      <c r="O296" s="34"/>
      <c r="P296" s="33"/>
      <c r="Q296" s="35"/>
      <c r="R296" s="33"/>
      <c r="S296" s="33"/>
      <c r="T296" s="33"/>
      <c r="U296" s="33"/>
      <c r="V296" s="33"/>
      <c r="W296" s="33"/>
    </row>
    <row r="297" customFormat="false" ht="15" hidden="false" customHeight="false" outlineLevel="0" collapsed="false">
      <c r="A297" s="33"/>
      <c r="B297" s="33"/>
      <c r="C297" s="33"/>
      <c r="D297" s="33"/>
      <c r="E297" s="33"/>
      <c r="F297" s="33"/>
      <c r="G297" s="33"/>
      <c r="H297" s="33"/>
      <c r="I297" s="33"/>
      <c r="J297" s="33"/>
      <c r="K297" s="33"/>
      <c r="L297" s="34"/>
      <c r="M297" s="34"/>
      <c r="N297" s="34"/>
      <c r="O297" s="34"/>
      <c r="P297" s="33"/>
      <c r="Q297" s="35"/>
      <c r="R297" s="33"/>
      <c r="S297" s="33"/>
      <c r="T297" s="33"/>
      <c r="U297" s="33"/>
      <c r="V297" s="33"/>
      <c r="W297" s="33"/>
    </row>
    <row r="298" customFormat="false" ht="15" hidden="false" customHeight="false" outlineLevel="0" collapsed="false">
      <c r="A298" s="33"/>
      <c r="B298" s="33"/>
      <c r="C298" s="33"/>
      <c r="D298" s="33"/>
      <c r="E298" s="33"/>
      <c r="F298" s="33"/>
      <c r="G298" s="33"/>
      <c r="H298" s="33"/>
      <c r="I298" s="33"/>
      <c r="J298" s="33"/>
      <c r="K298" s="33"/>
      <c r="L298" s="34"/>
      <c r="M298" s="34"/>
      <c r="N298" s="34"/>
      <c r="O298" s="34"/>
      <c r="P298" s="33"/>
      <c r="Q298" s="35"/>
      <c r="R298" s="33"/>
      <c r="S298" s="33"/>
      <c r="T298" s="33"/>
      <c r="U298" s="33"/>
      <c r="V298" s="33"/>
      <c r="W298" s="33"/>
    </row>
    <row r="299" customFormat="false" ht="15" hidden="false" customHeight="false" outlineLevel="0" collapsed="false">
      <c r="A299" s="33"/>
      <c r="B299" s="33"/>
      <c r="C299" s="33"/>
      <c r="D299" s="33"/>
      <c r="E299" s="33"/>
      <c r="F299" s="33"/>
      <c r="G299" s="33"/>
      <c r="H299" s="33"/>
      <c r="I299" s="33"/>
      <c r="J299" s="33"/>
      <c r="K299" s="33"/>
      <c r="L299" s="34"/>
      <c r="M299" s="34"/>
      <c r="N299" s="34"/>
      <c r="O299" s="34"/>
      <c r="P299" s="33"/>
      <c r="Q299" s="35"/>
      <c r="R299" s="33"/>
      <c r="S299" s="33"/>
      <c r="T299" s="33"/>
      <c r="U299" s="33"/>
      <c r="V299" s="33"/>
      <c r="W299" s="33"/>
    </row>
    <row r="300" customFormat="false" ht="15" hidden="false" customHeight="false" outlineLevel="0" collapsed="false">
      <c r="A300" s="33"/>
      <c r="B300" s="33"/>
      <c r="C300" s="33"/>
      <c r="D300" s="33"/>
      <c r="E300" s="33"/>
      <c r="F300" s="33"/>
      <c r="G300" s="33"/>
      <c r="H300" s="33"/>
      <c r="I300" s="33"/>
      <c r="J300" s="33"/>
      <c r="K300" s="33"/>
      <c r="L300" s="34"/>
      <c r="M300" s="34"/>
      <c r="N300" s="34"/>
      <c r="O300" s="34"/>
      <c r="P300" s="33"/>
      <c r="Q300" s="35"/>
      <c r="R300" s="33"/>
      <c r="S300" s="33"/>
      <c r="T300" s="33"/>
      <c r="U300" s="33"/>
      <c r="V300" s="33"/>
      <c r="W300" s="33"/>
    </row>
  </sheetData>
  <autoFilter ref="A4:W12"/>
  <mergeCells count="6">
    <mergeCell ref="A3:C3"/>
    <mergeCell ref="D3:H3"/>
    <mergeCell ref="I3:O3"/>
    <mergeCell ref="P3:R3"/>
    <mergeCell ref="S3:U3"/>
    <mergeCell ref="V3:W3"/>
  </mergeCells>
  <conditionalFormatting sqref="P5:P300">
    <cfRule type="expression" priority="2" aboveAverage="0" equalAverage="0" bottom="0" percent="0" rank="0" text="" dxfId="5">
      <formula>$P5="AVL"</formula>
    </cfRule>
    <cfRule type="expression" priority="3" aboveAverage="0" equalAverage="0" bottom="0" percent="0" rank="0" text="" dxfId="6">
      <formula>$P5="Qualified"</formula>
    </cfRule>
    <cfRule type="expression" priority="4" aboveAverage="0" equalAverage="0" bottom="0" percent="0" rank="0" text="" dxfId="7">
      <formula>$P5="Prequalified"</formula>
    </cfRule>
    <cfRule type="expression" priority="5" aboveAverage="0" equalAverage="0" bottom="0" percent="0" rank="0" text="" dxfId="8">
      <formula>$P5="On Hold"</formula>
    </cfRule>
    <cfRule type="expression" priority="6" aboveAverage="0" equalAverage="0" bottom="0" percent="0" rank="0" text="" dxfId="9">
      <formula>$P5="Disqualified"</formula>
    </cfRule>
  </conditionalFormatting>
  <conditionalFormatting sqref="W5:W300">
    <cfRule type="expression" priority="7" aboveAverage="0" equalAverage="0" bottom="0" percent="0" rank="0" text="" dxfId="9">
      <formula>$W5="High"</formula>
    </cfRule>
    <cfRule type="expression" priority="8" aboveAverage="0" equalAverage="0" bottom="0" percent="0" rank="0" text="" dxfId="10">
      <formula>$W5="FEOC Review"</formula>
    </cfRule>
    <cfRule type="expression" priority="9" aboveAverage="0" equalAverage="0" bottom="0" percent="0" rank="0" text="" dxfId="8">
      <formula>$W5="Medium"</formula>
    </cfRule>
    <cfRule type="expression" priority="10" aboveAverage="0" equalAverage="0" bottom="0" percent="0" rank="0" text="" dxfId="5">
      <formula>$W5="Low"</formula>
    </cfRule>
  </conditionalFormatting>
  <dataValidations count="5">
    <dataValidation allowBlank="true" error="Pick a value from the list (edit the Lists tab to change options)." errorStyle="stop" errorTitle="Invalid entry" operator="between" showDropDown="false" showErrorMessage="true" showInputMessage="false" sqref="P5:P300" type="list">
      <formula1>lst_status</formula1>
      <formula2>0</formula2>
    </dataValidation>
    <dataValidation allowBlank="true" error="Pick a value from the list (edit the Lists tab to change options)." errorStyle="stop" errorTitle="Invalid entry" operator="between" showDropDown="false" showErrorMessage="true" showInputMessage="false" sqref="R5:R300" type="list">
      <formula1>lst_rfx</formula1>
      <formula2>0</formula2>
    </dataValidation>
    <dataValidation allowBlank="true" error="Pick a value from the list (edit the Lists tab to change options)." errorStyle="stop" errorTitle="Invalid entry" operator="between" showDropDown="false" showErrorMessage="true" showInputMessage="false" sqref="T5:T300" type="list">
      <formula1>lst_fin</formula1>
      <formula2>0</formula2>
    </dataValidation>
    <dataValidation allowBlank="true" error="Pick a value from the list (edit the Lists tab to change options)." errorStyle="stop" errorTitle="Invalid entry" operator="between" showDropDown="false" showErrorMessage="true" showInputMessage="false" sqref="W5:W300" type="list">
      <formula1>lst_scr</formula1>
      <formula2>0</formula2>
    </dataValidation>
    <dataValidation allowBlank="true" error="Enter a date (yyyy-mm-dd)." errorStyle="stop" operator="greaterThan" showDropDown="false" showErrorMessage="true" showInputMessage="false" sqref="Q5:Q300" type="date">
      <formula1>DATE(2020,1,1)</formula1>
      <formula2>0</formula2>
    </dataValidation>
  </dataValidations>
  <hyperlinks>
    <hyperlink ref="I5" r:id="rId2" display="https://www.mortenson.com"/>
    <hyperlink ref="K5" r:id="rId3" display="https://www.mortenson.com/contact"/>
    <hyperlink ref="I6" r:id="rId4" display="https://www.mccarthy.com"/>
    <hyperlink ref="K6" r:id="rId5" display="https://www.mccarthy.com/contact-us"/>
    <hyperlink ref="I7" r:id="rId6" display="https://www.blattnercompany.com"/>
    <hyperlink ref="K7" r:id="rId7" display="https://www.blattnercompany.com/contact"/>
    <hyperlink ref="I8" r:id="rId8" display="https://www.burnsmcd.com"/>
    <hyperlink ref="K8" r:id="rId9" display="https://info.burnsmcd.com/contact-us"/>
    <hyperlink ref="I9" r:id="rId10" display="https://www.prim.com"/>
    <hyperlink ref="K9" r:id="rId11" display="https://www.prim.com/contact"/>
    <hyperlink ref="I10" r:id="rId12" display="https://www.rosendin.com"/>
    <hyperlink ref="K10" r:id="rId13" display="https://www.rosendin.com/contact/"/>
    <hyperlink ref="I11" r:id="rId14" display="https://solvenergy.com"/>
    <hyperlink ref="K11" r:id="rId15" display="https://solvenergy.com/contact/"/>
    <hyperlink ref="I12" r:id="rId16" display="https://www.mastec.c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7"/>
  <legacyDrawing r:id="rId18"/>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C8A"/>
    <pageSetUpPr fitToPage="false"/>
  </sheetPr>
  <dimension ref="A1:W30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40"/>
    <col collapsed="false" customWidth="true" hidden="false" outlineLevel="0" max="4" min="4" style="0" width="15"/>
    <col collapsed="false" customWidth="true" hidden="false" outlineLevel="0" max="5" min="5" style="0" width="11"/>
    <col collapsed="false" customWidth="true" hidden="false" outlineLevel="0" max="6" min="6" style="0" width="13"/>
    <col collapsed="false" customWidth="true" hidden="false" outlineLevel="0" max="7" min="7" style="0" width="18"/>
    <col collapsed="false" customWidth="true" hidden="false" outlineLevel="0" max="9" min="8" style="0" width="28"/>
    <col collapsed="false" customWidth="true" hidden="false" outlineLevel="0" max="10" min="10" style="0" width="18"/>
    <col collapsed="false" customWidth="true" hidden="false" outlineLevel="0" max="11" min="11" style="0" width="28"/>
    <col collapsed="false" customWidth="true" hidden="false" outlineLevel="0" max="12" min="12" style="0" width="20"/>
    <col collapsed="false" customWidth="true" hidden="false" outlineLevel="0" max="13" min="13" style="0" width="18"/>
    <col collapsed="false" customWidth="true" hidden="false" outlineLevel="0" max="14" min="14" style="0" width="24"/>
    <col collapsed="false" customWidth="true" hidden="false" outlineLevel="0" max="16" min="15" style="0" width="15"/>
    <col collapsed="false" customWidth="true" hidden="false" outlineLevel="0" max="17" min="17" style="0" width="12"/>
    <col collapsed="false" customWidth="true" hidden="false" outlineLevel="0" max="18" min="18" style="0" width="14"/>
    <col collapsed="false" customWidth="true" hidden="false" outlineLevel="0" max="19" min="19" style="0" width="24"/>
    <col collapsed="false" customWidth="true" hidden="false" outlineLevel="0" max="20" min="20" style="0" width="13"/>
    <col collapsed="false" customWidth="true" hidden="false" outlineLevel="0" max="22" min="21" style="0" width="45"/>
    <col collapsed="false" customWidth="true" hidden="false" outlineLevel="0" max="23" min="23" style="0" width="13"/>
  </cols>
  <sheetData>
    <row r="1" customFormat="false" ht="17.35" hidden="false" customHeight="false" outlineLevel="0" collapsed="false">
      <c r="A1" s="16" t="s">
        <v>947</v>
      </c>
    </row>
    <row r="2" customFormat="false" ht="15" hidden="false" customHeight="false" outlineLevel="0" collapsed="false">
      <c r="A2" s="2" t="s">
        <v>87</v>
      </c>
    </row>
    <row r="3" customFormat="false" ht="15" hidden="false" customHeight="false" outlineLevel="0" collapsed="false">
      <c r="A3" s="22" t="s">
        <v>58</v>
      </c>
      <c r="B3" s="22"/>
      <c r="C3" s="22"/>
      <c r="D3" s="23" t="s">
        <v>60</v>
      </c>
      <c r="E3" s="23"/>
      <c r="F3" s="23"/>
      <c r="G3" s="23"/>
      <c r="H3" s="23"/>
      <c r="I3" s="24" t="s">
        <v>61</v>
      </c>
      <c r="J3" s="24"/>
      <c r="K3" s="24"/>
      <c r="L3" s="24"/>
      <c r="M3" s="24"/>
      <c r="N3" s="24"/>
      <c r="O3" s="24"/>
      <c r="P3" s="25" t="s">
        <v>62</v>
      </c>
      <c r="Q3" s="25"/>
      <c r="R3" s="25"/>
      <c r="S3" s="26" t="s">
        <v>32</v>
      </c>
      <c r="T3" s="26"/>
      <c r="U3" s="26"/>
      <c r="V3" s="27" t="s">
        <v>34</v>
      </c>
      <c r="W3" s="27"/>
    </row>
    <row r="4" customFormat="false" ht="31.5" hidden="false" customHeight="true" outlineLevel="0" collapsed="false">
      <c r="A4" s="28" t="s">
        <v>88</v>
      </c>
      <c r="B4" s="28" t="s">
        <v>89</v>
      </c>
      <c r="C4" s="28" t="s">
        <v>948</v>
      </c>
      <c r="D4" s="28" t="s">
        <v>91</v>
      </c>
      <c r="E4" s="28" t="s">
        <v>92</v>
      </c>
      <c r="F4" s="28" t="s">
        <v>93</v>
      </c>
      <c r="G4" s="28" t="s">
        <v>94</v>
      </c>
      <c r="H4" s="28" t="s">
        <v>95</v>
      </c>
      <c r="I4" s="28" t="s">
        <v>96</v>
      </c>
      <c r="J4" s="28" t="s">
        <v>97</v>
      </c>
      <c r="K4" s="28" t="s">
        <v>98</v>
      </c>
      <c r="L4" s="28" t="s">
        <v>99</v>
      </c>
      <c r="M4" s="28" t="s">
        <v>100</v>
      </c>
      <c r="N4" s="28" t="s">
        <v>101</v>
      </c>
      <c r="O4" s="28" t="s">
        <v>102</v>
      </c>
      <c r="P4" s="28" t="s">
        <v>103</v>
      </c>
      <c r="Q4" s="28" t="s">
        <v>104</v>
      </c>
      <c r="R4" s="28" t="s">
        <v>105</v>
      </c>
      <c r="S4" s="28" t="s">
        <v>106</v>
      </c>
      <c r="T4" s="28" t="s">
        <v>41</v>
      </c>
      <c r="U4" s="28" t="s">
        <v>107</v>
      </c>
      <c r="V4" s="28" t="s">
        <v>949</v>
      </c>
      <c r="W4" s="28" t="s">
        <v>109</v>
      </c>
    </row>
    <row r="5" customFormat="false" ht="85.05" hidden="false" customHeight="false" outlineLevel="0" collapsed="false">
      <c r="A5" s="29" t="s">
        <v>950</v>
      </c>
      <c r="B5" s="29" t="s">
        <v>951</v>
      </c>
      <c r="C5" s="29" t="s">
        <v>952</v>
      </c>
      <c r="D5" s="29" t="s">
        <v>338</v>
      </c>
      <c r="E5" s="29" t="s">
        <v>184</v>
      </c>
      <c r="F5" s="29" t="s">
        <v>127</v>
      </c>
      <c r="G5" s="29"/>
      <c r="H5" s="29" t="s">
        <v>953</v>
      </c>
      <c r="I5" s="30" t="s">
        <v>954</v>
      </c>
      <c r="J5" s="29"/>
      <c r="K5" s="30" t="s">
        <v>955</v>
      </c>
      <c r="L5" s="31"/>
      <c r="M5" s="31"/>
      <c r="N5" s="31"/>
      <c r="O5" s="31"/>
      <c r="P5" s="29" t="s">
        <v>19</v>
      </c>
      <c r="Q5" s="32" t="n">
        <v>46300</v>
      </c>
      <c r="R5" s="29" t="s">
        <v>117</v>
      </c>
      <c r="S5" s="29" t="s">
        <v>576</v>
      </c>
      <c r="T5" s="29" t="s">
        <v>119</v>
      </c>
      <c r="U5" s="29" t="s">
        <v>956</v>
      </c>
      <c r="V5" s="29" t="s">
        <v>957</v>
      </c>
      <c r="W5" s="29" t="s">
        <v>119</v>
      </c>
    </row>
    <row r="6" customFormat="false" ht="43.25" hidden="false" customHeight="false" outlineLevel="0" collapsed="false">
      <c r="A6" s="29" t="s">
        <v>958</v>
      </c>
      <c r="B6" s="29" t="s">
        <v>959</v>
      </c>
      <c r="C6" s="29" t="s">
        <v>960</v>
      </c>
      <c r="D6" s="29" t="s">
        <v>582</v>
      </c>
      <c r="E6" s="29" t="s">
        <v>244</v>
      </c>
      <c r="F6" s="29" t="s">
        <v>127</v>
      </c>
      <c r="G6" s="29"/>
      <c r="H6" s="29" t="s">
        <v>961</v>
      </c>
      <c r="I6" s="30" t="s">
        <v>583</v>
      </c>
      <c r="J6" s="29"/>
      <c r="K6" s="30" t="s">
        <v>962</v>
      </c>
      <c r="L6" s="31"/>
      <c r="M6" s="31"/>
      <c r="N6" s="31"/>
      <c r="O6" s="31"/>
      <c r="P6" s="29" t="s">
        <v>19</v>
      </c>
      <c r="Q6" s="32" t="n">
        <v>46300</v>
      </c>
      <c r="R6" s="29" t="s">
        <v>117</v>
      </c>
      <c r="S6" s="29" t="s">
        <v>963</v>
      </c>
      <c r="T6" s="29" t="s">
        <v>119</v>
      </c>
      <c r="U6" s="29" t="s">
        <v>964</v>
      </c>
      <c r="V6" s="29" t="s">
        <v>965</v>
      </c>
      <c r="W6" s="29" t="s">
        <v>119</v>
      </c>
    </row>
    <row r="7" customFormat="false" ht="43.25" hidden="false" customHeight="false" outlineLevel="0" collapsed="false">
      <c r="A7" s="29" t="s">
        <v>966</v>
      </c>
      <c r="B7" s="29" t="s">
        <v>967</v>
      </c>
      <c r="C7" s="29" t="s">
        <v>968</v>
      </c>
      <c r="D7" s="29" t="s">
        <v>969</v>
      </c>
      <c r="E7" s="29" t="s">
        <v>474</v>
      </c>
      <c r="F7" s="29" t="s">
        <v>127</v>
      </c>
      <c r="G7" s="29"/>
      <c r="H7" s="29"/>
      <c r="I7" s="30" t="s">
        <v>970</v>
      </c>
      <c r="J7" s="29" t="s">
        <v>971</v>
      </c>
      <c r="K7" s="30" t="s">
        <v>972</v>
      </c>
      <c r="L7" s="31"/>
      <c r="M7" s="31"/>
      <c r="N7" s="31"/>
      <c r="O7" s="31"/>
      <c r="P7" s="29" t="s">
        <v>19</v>
      </c>
      <c r="Q7" s="32" t="n">
        <v>46300</v>
      </c>
      <c r="R7" s="29" t="s">
        <v>117</v>
      </c>
      <c r="S7" s="29" t="s">
        <v>973</v>
      </c>
      <c r="T7" s="29" t="s">
        <v>119</v>
      </c>
      <c r="U7" s="29" t="s">
        <v>974</v>
      </c>
      <c r="V7" s="29"/>
      <c r="W7" s="29" t="s">
        <v>119</v>
      </c>
    </row>
    <row r="8" customFormat="false" ht="43.25" hidden="false" customHeight="false" outlineLevel="0" collapsed="false">
      <c r="A8" s="29" t="s">
        <v>975</v>
      </c>
      <c r="B8" s="29" t="s">
        <v>976</v>
      </c>
      <c r="C8" s="29" t="s">
        <v>977</v>
      </c>
      <c r="D8" s="29" t="s">
        <v>978</v>
      </c>
      <c r="E8" s="29" t="s">
        <v>979</v>
      </c>
      <c r="F8" s="29" t="s">
        <v>127</v>
      </c>
      <c r="G8" s="29"/>
      <c r="H8" s="29"/>
      <c r="I8" s="30" t="s">
        <v>980</v>
      </c>
      <c r="J8" s="29" t="s">
        <v>981</v>
      </c>
      <c r="K8" s="30" t="s">
        <v>982</v>
      </c>
      <c r="L8" s="31"/>
      <c r="M8" s="31"/>
      <c r="N8" s="31"/>
      <c r="O8" s="31"/>
      <c r="P8" s="29" t="s">
        <v>19</v>
      </c>
      <c r="Q8" s="32" t="n">
        <v>46300</v>
      </c>
      <c r="R8" s="29" t="s">
        <v>117</v>
      </c>
      <c r="S8" s="29" t="s">
        <v>983</v>
      </c>
      <c r="T8" s="29" t="s">
        <v>119</v>
      </c>
      <c r="U8" s="29" t="s">
        <v>984</v>
      </c>
      <c r="V8" s="29" t="s">
        <v>985</v>
      </c>
      <c r="W8" s="29" t="s">
        <v>119</v>
      </c>
    </row>
    <row r="9" customFormat="false" ht="43.25" hidden="false" customHeight="false" outlineLevel="0" collapsed="false">
      <c r="A9" s="29" t="s">
        <v>986</v>
      </c>
      <c r="B9" s="29" t="s">
        <v>987</v>
      </c>
      <c r="C9" s="29" t="s">
        <v>988</v>
      </c>
      <c r="D9" s="29" t="s">
        <v>969</v>
      </c>
      <c r="E9" s="29" t="s">
        <v>474</v>
      </c>
      <c r="F9" s="29" t="s">
        <v>127</v>
      </c>
      <c r="G9" s="29"/>
      <c r="H9" s="29"/>
      <c r="I9" s="30" t="s">
        <v>989</v>
      </c>
      <c r="J9" s="29" t="s">
        <v>990</v>
      </c>
      <c r="K9" s="30" t="s">
        <v>991</v>
      </c>
      <c r="L9" s="31"/>
      <c r="M9" s="31"/>
      <c r="N9" s="31"/>
      <c r="O9" s="31"/>
      <c r="P9" s="29" t="s">
        <v>19</v>
      </c>
      <c r="Q9" s="32" t="n">
        <v>46300</v>
      </c>
      <c r="R9" s="29" t="s">
        <v>117</v>
      </c>
      <c r="S9" s="29" t="s">
        <v>992</v>
      </c>
      <c r="T9" s="29" t="s">
        <v>119</v>
      </c>
      <c r="U9" s="29" t="s">
        <v>993</v>
      </c>
      <c r="V9" s="29"/>
      <c r="W9" s="29" t="s">
        <v>119</v>
      </c>
    </row>
    <row r="10" customFormat="false" ht="74.6" hidden="false" customHeight="false" outlineLevel="0" collapsed="false">
      <c r="A10" s="29" t="s">
        <v>994</v>
      </c>
      <c r="B10" s="29" t="s">
        <v>995</v>
      </c>
      <c r="C10" s="29" t="s">
        <v>996</v>
      </c>
      <c r="D10" s="29" t="s">
        <v>338</v>
      </c>
      <c r="E10" s="29" t="s">
        <v>184</v>
      </c>
      <c r="F10" s="29" t="s">
        <v>127</v>
      </c>
      <c r="G10" s="29"/>
      <c r="H10" s="29" t="s">
        <v>997</v>
      </c>
      <c r="I10" s="30" t="s">
        <v>998</v>
      </c>
      <c r="J10" s="29" t="s">
        <v>999</v>
      </c>
      <c r="K10" s="30" t="s">
        <v>1000</v>
      </c>
      <c r="L10" s="31"/>
      <c r="M10" s="31"/>
      <c r="N10" s="31"/>
      <c r="O10" s="31"/>
      <c r="P10" s="29" t="s">
        <v>19</v>
      </c>
      <c r="Q10" s="32" t="n">
        <v>46300</v>
      </c>
      <c r="R10" s="29" t="s">
        <v>117</v>
      </c>
      <c r="S10" s="29" t="s">
        <v>1001</v>
      </c>
      <c r="T10" s="29" t="s">
        <v>119</v>
      </c>
      <c r="U10" s="29" t="s">
        <v>1002</v>
      </c>
      <c r="V10" s="29"/>
      <c r="W10" s="29" t="s">
        <v>119</v>
      </c>
    </row>
    <row r="11" customFormat="false" ht="43.25" hidden="false" customHeight="false" outlineLevel="0" collapsed="false">
      <c r="A11" s="29" t="s">
        <v>1003</v>
      </c>
      <c r="B11" s="29" t="s">
        <v>1004</v>
      </c>
      <c r="C11" s="29" t="s">
        <v>1005</v>
      </c>
      <c r="D11" s="29" t="s">
        <v>1006</v>
      </c>
      <c r="E11" s="29" t="s">
        <v>126</v>
      </c>
      <c r="F11" s="29" t="s">
        <v>127</v>
      </c>
      <c r="G11" s="29"/>
      <c r="H11" s="29"/>
      <c r="I11" s="30" t="s">
        <v>1007</v>
      </c>
      <c r="J11" s="29" t="s">
        <v>1008</v>
      </c>
      <c r="K11" s="30" t="s">
        <v>1009</v>
      </c>
      <c r="L11" s="31"/>
      <c r="M11" s="31"/>
      <c r="N11" s="31"/>
      <c r="O11" s="31"/>
      <c r="P11" s="29" t="s">
        <v>19</v>
      </c>
      <c r="Q11" s="32" t="n">
        <v>46300</v>
      </c>
      <c r="R11" s="29" t="s">
        <v>117</v>
      </c>
      <c r="S11" s="29" t="s">
        <v>1010</v>
      </c>
      <c r="T11" s="29" t="s">
        <v>119</v>
      </c>
      <c r="U11" s="29" t="s">
        <v>1011</v>
      </c>
      <c r="V11" s="29" t="s">
        <v>1012</v>
      </c>
      <c r="W11" s="29" t="s">
        <v>119</v>
      </c>
    </row>
    <row r="12" customFormat="false" ht="43.25" hidden="false" customHeight="false" outlineLevel="0" collapsed="false">
      <c r="A12" s="29" t="s">
        <v>1013</v>
      </c>
      <c r="B12" s="29" t="s">
        <v>1014</v>
      </c>
      <c r="C12" s="29" t="s">
        <v>1015</v>
      </c>
      <c r="D12" s="29" t="s">
        <v>1016</v>
      </c>
      <c r="E12" s="29" t="s">
        <v>1017</v>
      </c>
      <c r="F12" s="29" t="s">
        <v>114</v>
      </c>
      <c r="G12" s="29"/>
      <c r="H12" s="29" t="s">
        <v>1018</v>
      </c>
      <c r="I12" s="30" t="s">
        <v>1019</v>
      </c>
      <c r="J12" s="29"/>
      <c r="K12" s="30" t="s">
        <v>1020</v>
      </c>
      <c r="L12" s="31"/>
      <c r="M12" s="31"/>
      <c r="N12" s="31"/>
      <c r="O12" s="31"/>
      <c r="P12" s="29" t="s">
        <v>19</v>
      </c>
      <c r="Q12" s="32" t="n">
        <v>46300</v>
      </c>
      <c r="R12" s="29" t="s">
        <v>117</v>
      </c>
      <c r="S12" s="29" t="s">
        <v>1021</v>
      </c>
      <c r="T12" s="29" t="s">
        <v>119</v>
      </c>
      <c r="U12" s="29" t="s">
        <v>1022</v>
      </c>
      <c r="V12" s="29"/>
      <c r="W12" s="29" t="s">
        <v>119</v>
      </c>
    </row>
    <row r="13" customFormat="false" ht="32.8" hidden="false" customHeight="false" outlineLevel="0" collapsed="false">
      <c r="A13" s="29" t="s">
        <v>1023</v>
      </c>
      <c r="B13" s="29" t="s">
        <v>1024</v>
      </c>
      <c r="C13" s="29" t="s">
        <v>1025</v>
      </c>
      <c r="D13" s="29" t="s">
        <v>1006</v>
      </c>
      <c r="E13" s="29" t="s">
        <v>126</v>
      </c>
      <c r="F13" s="29" t="s">
        <v>127</v>
      </c>
      <c r="G13" s="29"/>
      <c r="H13" s="29"/>
      <c r="I13" s="30" t="s">
        <v>1026</v>
      </c>
      <c r="J13" s="29"/>
      <c r="K13" s="30" t="s">
        <v>1027</v>
      </c>
      <c r="L13" s="31"/>
      <c r="M13" s="31"/>
      <c r="N13" s="31"/>
      <c r="O13" s="31"/>
      <c r="P13" s="29" t="s">
        <v>19</v>
      </c>
      <c r="Q13" s="32" t="n">
        <v>46300</v>
      </c>
      <c r="R13" s="29" t="s">
        <v>117</v>
      </c>
      <c r="S13" s="29" t="s">
        <v>1028</v>
      </c>
      <c r="T13" s="29" t="s">
        <v>119</v>
      </c>
      <c r="U13" s="29" t="s">
        <v>1029</v>
      </c>
      <c r="V13" s="29"/>
      <c r="W13" s="29" t="s">
        <v>119</v>
      </c>
    </row>
    <row r="14" customFormat="false" ht="32.8" hidden="false" customHeight="false" outlineLevel="0" collapsed="false">
      <c r="A14" s="29" t="s">
        <v>1030</v>
      </c>
      <c r="B14" s="29" t="s">
        <v>1031</v>
      </c>
      <c r="C14" s="29" t="s">
        <v>1032</v>
      </c>
      <c r="D14" s="29" t="s">
        <v>113</v>
      </c>
      <c r="E14" s="29" t="s">
        <v>1017</v>
      </c>
      <c r="F14" s="29" t="s">
        <v>114</v>
      </c>
      <c r="G14" s="29"/>
      <c r="H14" s="29"/>
      <c r="I14" s="30" t="s">
        <v>1033</v>
      </c>
      <c r="J14" s="29"/>
      <c r="K14" s="29"/>
      <c r="L14" s="31"/>
      <c r="M14" s="31"/>
      <c r="N14" s="31"/>
      <c r="O14" s="31"/>
      <c r="P14" s="29" t="s">
        <v>19</v>
      </c>
      <c r="Q14" s="32" t="n">
        <v>46300</v>
      </c>
      <c r="R14" s="29" t="s">
        <v>117</v>
      </c>
      <c r="S14" s="29" t="s">
        <v>1034</v>
      </c>
      <c r="T14" s="29" t="s">
        <v>119</v>
      </c>
      <c r="U14" s="29" t="s">
        <v>1035</v>
      </c>
      <c r="V14" s="29" t="s">
        <v>1036</v>
      </c>
      <c r="W14" s="29" t="s">
        <v>119</v>
      </c>
    </row>
    <row r="15" customFormat="false" ht="32.8" hidden="false" customHeight="false" outlineLevel="0" collapsed="false">
      <c r="A15" s="29" t="s">
        <v>1037</v>
      </c>
      <c r="B15" s="29" t="s">
        <v>1038</v>
      </c>
      <c r="C15" s="29" t="s">
        <v>1039</v>
      </c>
      <c r="D15" s="29" t="s">
        <v>271</v>
      </c>
      <c r="E15" s="29" t="s">
        <v>184</v>
      </c>
      <c r="F15" s="29" t="s">
        <v>127</v>
      </c>
      <c r="G15" s="29"/>
      <c r="H15" s="29" t="s">
        <v>1040</v>
      </c>
      <c r="I15" s="30" t="s">
        <v>1041</v>
      </c>
      <c r="J15" s="29" t="s">
        <v>1042</v>
      </c>
      <c r="K15" s="30" t="s">
        <v>1043</v>
      </c>
      <c r="L15" s="31"/>
      <c r="M15" s="31"/>
      <c r="N15" s="31"/>
      <c r="O15" s="31"/>
      <c r="P15" s="29" t="s">
        <v>19</v>
      </c>
      <c r="Q15" s="32" t="n">
        <v>46300</v>
      </c>
      <c r="R15" s="29" t="s">
        <v>117</v>
      </c>
      <c r="S15" s="29" t="s">
        <v>1044</v>
      </c>
      <c r="T15" s="29" t="s">
        <v>119</v>
      </c>
      <c r="U15" s="29" t="s">
        <v>1045</v>
      </c>
      <c r="V15" s="29" t="s">
        <v>1046</v>
      </c>
      <c r="W15" s="29" t="s">
        <v>119</v>
      </c>
    </row>
    <row r="16" customFormat="false" ht="43.25" hidden="false" customHeight="false" outlineLevel="0" collapsed="false">
      <c r="A16" s="29" t="s">
        <v>1047</v>
      </c>
      <c r="B16" s="29" t="s">
        <v>1048</v>
      </c>
      <c r="C16" s="29" t="s">
        <v>1049</v>
      </c>
      <c r="D16" s="29" t="s">
        <v>1050</v>
      </c>
      <c r="E16" s="29" t="s">
        <v>184</v>
      </c>
      <c r="F16" s="29" t="s">
        <v>127</v>
      </c>
      <c r="G16" s="29"/>
      <c r="H16" s="29" t="s">
        <v>1051</v>
      </c>
      <c r="I16" s="30" t="s">
        <v>1052</v>
      </c>
      <c r="J16" s="29" t="s">
        <v>1053</v>
      </c>
      <c r="K16" s="30" t="s">
        <v>1054</v>
      </c>
      <c r="L16" s="31"/>
      <c r="M16" s="31"/>
      <c r="N16" s="31"/>
      <c r="O16" s="31"/>
      <c r="P16" s="29" t="s">
        <v>19</v>
      </c>
      <c r="Q16" s="32" t="n">
        <v>46300</v>
      </c>
      <c r="R16" s="29" t="s">
        <v>117</v>
      </c>
      <c r="S16" s="29" t="s">
        <v>1055</v>
      </c>
      <c r="T16" s="29" t="s">
        <v>119</v>
      </c>
      <c r="U16" s="29" t="s">
        <v>1056</v>
      </c>
      <c r="V16" s="29" t="s">
        <v>1057</v>
      </c>
      <c r="W16" s="29" t="s">
        <v>119</v>
      </c>
    </row>
    <row r="17" customFormat="false" ht="15" hidden="false" customHeight="false" outlineLevel="0" collapsed="false">
      <c r="A17" s="29"/>
      <c r="B17" s="29"/>
      <c r="C17" s="29"/>
      <c r="D17" s="29"/>
      <c r="E17" s="29"/>
      <c r="F17" s="29"/>
      <c r="G17" s="29"/>
      <c r="H17" s="29"/>
      <c r="I17" s="29"/>
      <c r="J17" s="29"/>
      <c r="K17" s="29"/>
      <c r="L17" s="31"/>
      <c r="M17" s="31"/>
      <c r="N17" s="31"/>
      <c r="O17" s="31"/>
      <c r="P17" s="29"/>
      <c r="Q17" s="32"/>
      <c r="R17" s="29"/>
      <c r="S17" s="29"/>
      <c r="T17" s="29"/>
      <c r="U17" s="29"/>
      <c r="V17" s="29"/>
      <c r="W17" s="29"/>
    </row>
    <row r="18" customFormat="false" ht="15" hidden="false" customHeight="false" outlineLevel="0" collapsed="false">
      <c r="A18" s="29"/>
      <c r="B18" s="29"/>
      <c r="C18" s="29"/>
      <c r="D18" s="29"/>
      <c r="E18" s="29"/>
      <c r="F18" s="29"/>
      <c r="G18" s="29"/>
      <c r="H18" s="29"/>
      <c r="I18" s="29"/>
      <c r="J18" s="29"/>
      <c r="K18" s="29"/>
      <c r="L18" s="31"/>
      <c r="M18" s="31"/>
      <c r="N18" s="31"/>
      <c r="O18" s="31"/>
      <c r="P18" s="29"/>
      <c r="Q18" s="32"/>
      <c r="R18" s="29"/>
      <c r="S18" s="29"/>
      <c r="T18" s="29"/>
      <c r="U18" s="29"/>
      <c r="V18" s="29"/>
      <c r="W18" s="29"/>
    </row>
    <row r="19" customFormat="false" ht="15" hidden="false" customHeight="false" outlineLevel="0" collapsed="false">
      <c r="A19" s="29"/>
      <c r="B19" s="29"/>
      <c r="C19" s="29"/>
      <c r="D19" s="29"/>
      <c r="E19" s="29"/>
      <c r="F19" s="29"/>
      <c r="G19" s="29"/>
      <c r="H19" s="29"/>
      <c r="I19" s="29"/>
      <c r="J19" s="29"/>
      <c r="K19" s="29"/>
      <c r="L19" s="31"/>
      <c r="M19" s="31"/>
      <c r="N19" s="31"/>
      <c r="O19" s="31"/>
      <c r="P19" s="29"/>
      <c r="Q19" s="32"/>
      <c r="R19" s="29"/>
      <c r="S19" s="29"/>
      <c r="T19" s="29"/>
      <c r="U19" s="29"/>
      <c r="V19" s="29"/>
      <c r="W19" s="29"/>
    </row>
    <row r="20" customFormat="false" ht="15" hidden="false" customHeight="false" outlineLevel="0" collapsed="false">
      <c r="A20" s="29"/>
      <c r="B20" s="29"/>
      <c r="C20" s="29"/>
      <c r="D20" s="29"/>
      <c r="E20" s="29"/>
      <c r="F20" s="29"/>
      <c r="G20" s="29"/>
      <c r="H20" s="29"/>
      <c r="I20" s="29"/>
      <c r="J20" s="29"/>
      <c r="K20" s="29"/>
      <c r="L20" s="31"/>
      <c r="M20" s="31"/>
      <c r="N20" s="31"/>
      <c r="O20" s="31"/>
      <c r="P20" s="29"/>
      <c r="Q20" s="32"/>
      <c r="R20" s="29"/>
      <c r="S20" s="29"/>
      <c r="T20" s="29"/>
      <c r="U20" s="29"/>
      <c r="V20" s="29"/>
      <c r="W20" s="29"/>
    </row>
    <row r="21" customFormat="false" ht="15" hidden="false" customHeight="false" outlineLevel="0" collapsed="false">
      <c r="A21" s="29"/>
      <c r="B21" s="29"/>
      <c r="C21" s="29"/>
      <c r="D21" s="29"/>
      <c r="E21" s="29"/>
      <c r="F21" s="29"/>
      <c r="G21" s="29"/>
      <c r="H21" s="29"/>
      <c r="I21" s="29"/>
      <c r="J21" s="29"/>
      <c r="K21" s="29"/>
      <c r="L21" s="31"/>
      <c r="M21" s="31"/>
      <c r="N21" s="31"/>
      <c r="O21" s="31"/>
      <c r="P21" s="29"/>
      <c r="Q21" s="32"/>
      <c r="R21" s="29"/>
      <c r="S21" s="29"/>
      <c r="T21" s="29"/>
      <c r="U21" s="29"/>
      <c r="V21" s="29"/>
      <c r="W21" s="29"/>
    </row>
    <row r="22" customFormat="false" ht="15" hidden="false" customHeight="false" outlineLevel="0" collapsed="false">
      <c r="A22" s="29"/>
      <c r="B22" s="29"/>
      <c r="C22" s="29"/>
      <c r="D22" s="29"/>
      <c r="E22" s="29"/>
      <c r="F22" s="29"/>
      <c r="G22" s="29"/>
      <c r="H22" s="29"/>
      <c r="I22" s="29"/>
      <c r="J22" s="29"/>
      <c r="K22" s="29"/>
      <c r="L22" s="31"/>
      <c r="M22" s="31"/>
      <c r="N22" s="31"/>
      <c r="O22" s="31"/>
      <c r="P22" s="29"/>
      <c r="Q22" s="32"/>
      <c r="R22" s="29"/>
      <c r="S22" s="29"/>
      <c r="T22" s="29"/>
      <c r="U22" s="29"/>
      <c r="V22" s="29"/>
      <c r="W22" s="29"/>
    </row>
    <row r="23" customFormat="false" ht="15" hidden="false" customHeight="false" outlineLevel="0" collapsed="false">
      <c r="A23" s="29"/>
      <c r="B23" s="29"/>
      <c r="C23" s="29"/>
      <c r="D23" s="29"/>
      <c r="E23" s="29"/>
      <c r="F23" s="29"/>
      <c r="G23" s="29"/>
      <c r="H23" s="29"/>
      <c r="I23" s="29"/>
      <c r="J23" s="29"/>
      <c r="K23" s="29"/>
      <c r="L23" s="31"/>
      <c r="M23" s="31"/>
      <c r="N23" s="31"/>
      <c r="O23" s="31"/>
      <c r="P23" s="29"/>
      <c r="Q23" s="32"/>
      <c r="R23" s="29"/>
      <c r="S23" s="29"/>
      <c r="T23" s="29"/>
      <c r="U23" s="29"/>
      <c r="V23" s="29"/>
      <c r="W23" s="29"/>
    </row>
    <row r="24" customFormat="false" ht="15" hidden="false" customHeight="false" outlineLevel="0" collapsed="false">
      <c r="A24" s="29"/>
      <c r="B24" s="29"/>
      <c r="C24" s="29"/>
      <c r="D24" s="29"/>
      <c r="E24" s="29"/>
      <c r="F24" s="29"/>
      <c r="G24" s="29"/>
      <c r="H24" s="29"/>
      <c r="I24" s="29"/>
      <c r="J24" s="29"/>
      <c r="K24" s="29"/>
      <c r="L24" s="31"/>
      <c r="M24" s="31"/>
      <c r="N24" s="31"/>
      <c r="O24" s="31"/>
      <c r="P24" s="29"/>
      <c r="Q24" s="32"/>
      <c r="R24" s="29"/>
      <c r="S24" s="29"/>
      <c r="T24" s="29"/>
      <c r="U24" s="29"/>
      <c r="V24" s="29"/>
      <c r="W24" s="29"/>
    </row>
    <row r="25" customFormat="false" ht="15" hidden="false" customHeight="false" outlineLevel="0" collapsed="false">
      <c r="A25" s="29"/>
      <c r="B25" s="29"/>
      <c r="C25" s="29"/>
      <c r="D25" s="29"/>
      <c r="E25" s="29"/>
      <c r="F25" s="29"/>
      <c r="G25" s="29"/>
      <c r="H25" s="29"/>
      <c r="I25" s="29"/>
      <c r="J25" s="29"/>
      <c r="K25" s="29"/>
      <c r="L25" s="31"/>
      <c r="M25" s="31"/>
      <c r="N25" s="31"/>
      <c r="O25" s="31"/>
      <c r="P25" s="29"/>
      <c r="Q25" s="32"/>
      <c r="R25" s="29"/>
      <c r="S25" s="29"/>
      <c r="T25" s="29"/>
      <c r="U25" s="29"/>
      <c r="V25" s="29"/>
      <c r="W25" s="29"/>
    </row>
    <row r="26" customFormat="false" ht="15" hidden="false" customHeight="false" outlineLevel="0" collapsed="false">
      <c r="A26" s="29"/>
      <c r="B26" s="29"/>
      <c r="C26" s="29"/>
      <c r="D26" s="29"/>
      <c r="E26" s="29"/>
      <c r="F26" s="29"/>
      <c r="G26" s="29"/>
      <c r="H26" s="29"/>
      <c r="I26" s="29"/>
      <c r="J26" s="29"/>
      <c r="K26" s="29"/>
      <c r="L26" s="31"/>
      <c r="M26" s="31"/>
      <c r="N26" s="31"/>
      <c r="O26" s="31"/>
      <c r="P26" s="29"/>
      <c r="Q26" s="32"/>
      <c r="R26" s="29"/>
      <c r="S26" s="29"/>
      <c r="T26" s="29"/>
      <c r="U26" s="29"/>
      <c r="V26" s="29"/>
      <c r="W26" s="29"/>
    </row>
    <row r="27" customFormat="false" ht="15" hidden="false" customHeight="false" outlineLevel="0" collapsed="false">
      <c r="A27" s="29"/>
      <c r="B27" s="29"/>
      <c r="C27" s="29"/>
      <c r="D27" s="29"/>
      <c r="E27" s="29"/>
      <c r="F27" s="29"/>
      <c r="G27" s="29"/>
      <c r="H27" s="29"/>
      <c r="I27" s="29"/>
      <c r="J27" s="29"/>
      <c r="K27" s="29"/>
      <c r="L27" s="31"/>
      <c r="M27" s="31"/>
      <c r="N27" s="31"/>
      <c r="O27" s="31"/>
      <c r="P27" s="29"/>
      <c r="Q27" s="32"/>
      <c r="R27" s="29"/>
      <c r="S27" s="29"/>
      <c r="T27" s="29"/>
      <c r="U27" s="29"/>
      <c r="V27" s="29"/>
      <c r="W27" s="29"/>
    </row>
    <row r="28" customFormat="false" ht="15" hidden="false" customHeight="false" outlineLevel="0" collapsed="false">
      <c r="A28" s="29"/>
      <c r="B28" s="29"/>
      <c r="C28" s="29"/>
      <c r="D28" s="29"/>
      <c r="E28" s="29"/>
      <c r="F28" s="29"/>
      <c r="G28" s="29"/>
      <c r="H28" s="29"/>
      <c r="I28" s="29"/>
      <c r="J28" s="29"/>
      <c r="K28" s="29"/>
      <c r="L28" s="31"/>
      <c r="M28" s="31"/>
      <c r="N28" s="31"/>
      <c r="O28" s="31"/>
      <c r="P28" s="29"/>
      <c r="Q28" s="32"/>
      <c r="R28" s="29"/>
      <c r="S28" s="29"/>
      <c r="T28" s="29"/>
      <c r="U28" s="29"/>
      <c r="V28" s="29"/>
      <c r="W28" s="29"/>
    </row>
    <row r="29" customFormat="false" ht="15" hidden="false" customHeight="false" outlineLevel="0" collapsed="false">
      <c r="A29" s="29"/>
      <c r="B29" s="29"/>
      <c r="C29" s="29"/>
      <c r="D29" s="29"/>
      <c r="E29" s="29"/>
      <c r="F29" s="29"/>
      <c r="G29" s="29"/>
      <c r="H29" s="29"/>
      <c r="I29" s="29"/>
      <c r="J29" s="29"/>
      <c r="K29" s="29"/>
      <c r="L29" s="31"/>
      <c r="M29" s="31"/>
      <c r="N29" s="31"/>
      <c r="O29" s="31"/>
      <c r="P29" s="29"/>
      <c r="Q29" s="32"/>
      <c r="R29" s="29"/>
      <c r="S29" s="29"/>
      <c r="T29" s="29"/>
      <c r="U29" s="29"/>
      <c r="V29" s="29"/>
      <c r="W29" s="29"/>
    </row>
    <row r="30" customFormat="false" ht="15" hidden="false" customHeight="false" outlineLevel="0" collapsed="false">
      <c r="A30" s="29"/>
      <c r="B30" s="29"/>
      <c r="C30" s="29"/>
      <c r="D30" s="29"/>
      <c r="E30" s="29"/>
      <c r="F30" s="29"/>
      <c r="G30" s="29"/>
      <c r="H30" s="29"/>
      <c r="I30" s="29"/>
      <c r="J30" s="29"/>
      <c r="K30" s="29"/>
      <c r="L30" s="31"/>
      <c r="M30" s="31"/>
      <c r="N30" s="31"/>
      <c r="O30" s="31"/>
      <c r="P30" s="29"/>
      <c r="Q30" s="32"/>
      <c r="R30" s="29"/>
      <c r="S30" s="29"/>
      <c r="T30" s="29"/>
      <c r="U30" s="29"/>
      <c r="V30" s="29"/>
      <c r="W30" s="29"/>
    </row>
    <row r="31" customFormat="false" ht="15" hidden="false" customHeight="false" outlineLevel="0" collapsed="false">
      <c r="A31" s="29"/>
      <c r="B31" s="29"/>
      <c r="C31" s="29"/>
      <c r="D31" s="29"/>
      <c r="E31" s="29"/>
      <c r="F31" s="29"/>
      <c r="G31" s="29"/>
      <c r="H31" s="29"/>
      <c r="I31" s="29"/>
      <c r="J31" s="29"/>
      <c r="K31" s="29"/>
      <c r="L31" s="31"/>
      <c r="M31" s="31"/>
      <c r="N31" s="31"/>
      <c r="O31" s="31"/>
      <c r="P31" s="29"/>
      <c r="Q31" s="32"/>
      <c r="R31" s="29"/>
      <c r="S31" s="29"/>
      <c r="T31" s="29"/>
      <c r="U31" s="29"/>
      <c r="V31" s="29"/>
      <c r="W31" s="29"/>
    </row>
    <row r="32" customFormat="false" ht="15" hidden="false" customHeight="false" outlineLevel="0" collapsed="false">
      <c r="A32" s="33"/>
      <c r="B32" s="33"/>
      <c r="C32" s="33"/>
      <c r="D32" s="33"/>
      <c r="E32" s="33"/>
      <c r="F32" s="33"/>
      <c r="G32" s="33"/>
      <c r="H32" s="33"/>
      <c r="I32" s="33"/>
      <c r="J32" s="33"/>
      <c r="K32" s="33"/>
      <c r="L32" s="34"/>
      <c r="M32" s="34"/>
      <c r="N32" s="34"/>
      <c r="O32" s="34"/>
      <c r="P32" s="33"/>
      <c r="Q32" s="35"/>
      <c r="R32" s="33"/>
      <c r="S32" s="33"/>
      <c r="T32" s="33"/>
      <c r="U32" s="33"/>
      <c r="V32" s="33"/>
      <c r="W32" s="33"/>
    </row>
    <row r="33" customFormat="false" ht="15" hidden="false" customHeight="false" outlineLevel="0" collapsed="false">
      <c r="A33" s="33"/>
      <c r="B33" s="33"/>
      <c r="C33" s="33"/>
      <c r="D33" s="33"/>
      <c r="E33" s="33"/>
      <c r="F33" s="33"/>
      <c r="G33" s="33"/>
      <c r="H33" s="33"/>
      <c r="I33" s="33"/>
      <c r="J33" s="33"/>
      <c r="K33" s="33"/>
      <c r="L33" s="34"/>
      <c r="M33" s="34"/>
      <c r="N33" s="34"/>
      <c r="O33" s="34"/>
      <c r="P33" s="33"/>
      <c r="Q33" s="35"/>
      <c r="R33" s="33"/>
      <c r="S33" s="33"/>
      <c r="T33" s="33"/>
      <c r="U33" s="33"/>
      <c r="V33" s="33"/>
      <c r="W33" s="33"/>
    </row>
    <row r="34" customFormat="false" ht="15" hidden="false" customHeight="false" outlineLevel="0" collapsed="false">
      <c r="A34" s="33"/>
      <c r="B34" s="33"/>
      <c r="C34" s="33"/>
      <c r="D34" s="33"/>
      <c r="E34" s="33"/>
      <c r="F34" s="33"/>
      <c r="G34" s="33"/>
      <c r="H34" s="33"/>
      <c r="I34" s="33"/>
      <c r="J34" s="33"/>
      <c r="K34" s="33"/>
      <c r="L34" s="34"/>
      <c r="M34" s="34"/>
      <c r="N34" s="34"/>
      <c r="O34" s="34"/>
      <c r="P34" s="33"/>
      <c r="Q34" s="35"/>
      <c r="R34" s="33"/>
      <c r="S34" s="33"/>
      <c r="T34" s="33"/>
      <c r="U34" s="33"/>
      <c r="V34" s="33"/>
      <c r="W34" s="33"/>
    </row>
    <row r="35" customFormat="false" ht="15" hidden="false" customHeight="false" outlineLevel="0" collapsed="false">
      <c r="A35" s="33"/>
      <c r="B35" s="33"/>
      <c r="C35" s="33"/>
      <c r="D35" s="33"/>
      <c r="E35" s="33"/>
      <c r="F35" s="33"/>
      <c r="G35" s="33"/>
      <c r="H35" s="33"/>
      <c r="I35" s="33"/>
      <c r="J35" s="33"/>
      <c r="K35" s="33"/>
      <c r="L35" s="34"/>
      <c r="M35" s="34"/>
      <c r="N35" s="34"/>
      <c r="O35" s="34"/>
      <c r="P35" s="33"/>
      <c r="Q35" s="35"/>
      <c r="R35" s="33"/>
      <c r="S35" s="33"/>
      <c r="T35" s="33"/>
      <c r="U35" s="33"/>
      <c r="V35" s="33"/>
      <c r="W35" s="33"/>
    </row>
    <row r="36" customFormat="false" ht="15" hidden="false" customHeight="false" outlineLevel="0" collapsed="false">
      <c r="A36" s="33"/>
      <c r="B36" s="33"/>
      <c r="C36" s="33"/>
      <c r="D36" s="33"/>
      <c r="E36" s="33"/>
      <c r="F36" s="33"/>
      <c r="G36" s="33"/>
      <c r="H36" s="33"/>
      <c r="I36" s="33"/>
      <c r="J36" s="33"/>
      <c r="K36" s="33"/>
      <c r="L36" s="34"/>
      <c r="M36" s="34"/>
      <c r="N36" s="34"/>
      <c r="O36" s="34"/>
      <c r="P36" s="33"/>
      <c r="Q36" s="35"/>
      <c r="R36" s="33"/>
      <c r="S36" s="33"/>
      <c r="T36" s="33"/>
      <c r="U36" s="33"/>
      <c r="V36" s="33"/>
      <c r="W36" s="33"/>
    </row>
    <row r="37" customFormat="false" ht="15" hidden="false" customHeight="false" outlineLevel="0" collapsed="false">
      <c r="A37" s="33"/>
      <c r="B37" s="33"/>
      <c r="C37" s="33"/>
      <c r="D37" s="33"/>
      <c r="E37" s="33"/>
      <c r="F37" s="33"/>
      <c r="G37" s="33"/>
      <c r="H37" s="33"/>
      <c r="I37" s="33"/>
      <c r="J37" s="33"/>
      <c r="K37" s="33"/>
      <c r="L37" s="34"/>
      <c r="M37" s="34"/>
      <c r="N37" s="34"/>
      <c r="O37" s="34"/>
      <c r="P37" s="33"/>
      <c r="Q37" s="35"/>
      <c r="R37" s="33"/>
      <c r="S37" s="33"/>
      <c r="T37" s="33"/>
      <c r="U37" s="33"/>
      <c r="V37" s="33"/>
      <c r="W37" s="33"/>
    </row>
    <row r="38" customFormat="false" ht="15" hidden="false" customHeight="false" outlineLevel="0" collapsed="false">
      <c r="A38" s="33"/>
      <c r="B38" s="33"/>
      <c r="C38" s="33"/>
      <c r="D38" s="33"/>
      <c r="E38" s="33"/>
      <c r="F38" s="33"/>
      <c r="G38" s="33"/>
      <c r="H38" s="33"/>
      <c r="I38" s="33"/>
      <c r="J38" s="33"/>
      <c r="K38" s="33"/>
      <c r="L38" s="34"/>
      <c r="M38" s="34"/>
      <c r="N38" s="34"/>
      <c r="O38" s="34"/>
      <c r="P38" s="33"/>
      <c r="Q38" s="35"/>
      <c r="R38" s="33"/>
      <c r="S38" s="33"/>
      <c r="T38" s="33"/>
      <c r="U38" s="33"/>
      <c r="V38" s="33"/>
      <c r="W38" s="33"/>
    </row>
    <row r="39" customFormat="false" ht="15" hidden="false" customHeight="false" outlineLevel="0" collapsed="false">
      <c r="A39" s="33"/>
      <c r="B39" s="33"/>
      <c r="C39" s="33"/>
      <c r="D39" s="33"/>
      <c r="E39" s="33"/>
      <c r="F39" s="33"/>
      <c r="G39" s="33"/>
      <c r="H39" s="33"/>
      <c r="I39" s="33"/>
      <c r="J39" s="33"/>
      <c r="K39" s="33"/>
      <c r="L39" s="34"/>
      <c r="M39" s="34"/>
      <c r="N39" s="34"/>
      <c r="O39" s="34"/>
      <c r="P39" s="33"/>
      <c r="Q39" s="35"/>
      <c r="R39" s="33"/>
      <c r="S39" s="33"/>
      <c r="T39" s="33"/>
      <c r="U39" s="33"/>
      <c r="V39" s="33"/>
      <c r="W39" s="33"/>
    </row>
    <row r="40" customFormat="false" ht="15" hidden="false" customHeight="false" outlineLevel="0" collapsed="false">
      <c r="A40" s="33"/>
      <c r="B40" s="33"/>
      <c r="C40" s="33"/>
      <c r="D40" s="33"/>
      <c r="E40" s="33"/>
      <c r="F40" s="33"/>
      <c r="G40" s="33"/>
      <c r="H40" s="33"/>
      <c r="I40" s="33"/>
      <c r="J40" s="33"/>
      <c r="K40" s="33"/>
      <c r="L40" s="34"/>
      <c r="M40" s="34"/>
      <c r="N40" s="34"/>
      <c r="O40" s="34"/>
      <c r="P40" s="33"/>
      <c r="Q40" s="35"/>
      <c r="R40" s="33"/>
      <c r="S40" s="33"/>
      <c r="T40" s="33"/>
      <c r="U40" s="33"/>
      <c r="V40" s="33"/>
      <c r="W40" s="33"/>
    </row>
    <row r="41" customFormat="false" ht="15" hidden="false" customHeight="false" outlineLevel="0" collapsed="false">
      <c r="A41" s="33"/>
      <c r="B41" s="33"/>
      <c r="C41" s="33"/>
      <c r="D41" s="33"/>
      <c r="E41" s="33"/>
      <c r="F41" s="33"/>
      <c r="G41" s="33"/>
      <c r="H41" s="33"/>
      <c r="I41" s="33"/>
      <c r="J41" s="33"/>
      <c r="K41" s="33"/>
      <c r="L41" s="34"/>
      <c r="M41" s="34"/>
      <c r="N41" s="34"/>
      <c r="O41" s="34"/>
      <c r="P41" s="33"/>
      <c r="Q41" s="35"/>
      <c r="R41" s="33"/>
      <c r="S41" s="33"/>
      <c r="T41" s="33"/>
      <c r="U41" s="33"/>
      <c r="V41" s="33"/>
      <c r="W41" s="33"/>
    </row>
    <row r="42" customFormat="false" ht="15" hidden="false" customHeight="false" outlineLevel="0" collapsed="false">
      <c r="A42" s="33"/>
      <c r="B42" s="33"/>
      <c r="C42" s="33"/>
      <c r="D42" s="33"/>
      <c r="E42" s="33"/>
      <c r="F42" s="33"/>
      <c r="G42" s="33"/>
      <c r="H42" s="33"/>
      <c r="I42" s="33"/>
      <c r="J42" s="33"/>
      <c r="K42" s="33"/>
      <c r="L42" s="34"/>
      <c r="M42" s="34"/>
      <c r="N42" s="34"/>
      <c r="O42" s="34"/>
      <c r="P42" s="33"/>
      <c r="Q42" s="35"/>
      <c r="R42" s="33"/>
      <c r="S42" s="33"/>
      <c r="T42" s="33"/>
      <c r="U42" s="33"/>
      <c r="V42" s="33"/>
      <c r="W42" s="33"/>
    </row>
    <row r="43" customFormat="false" ht="15" hidden="false" customHeight="false" outlineLevel="0" collapsed="false">
      <c r="A43" s="33"/>
      <c r="B43" s="33"/>
      <c r="C43" s="33"/>
      <c r="D43" s="33"/>
      <c r="E43" s="33"/>
      <c r="F43" s="33"/>
      <c r="G43" s="33"/>
      <c r="H43" s="33"/>
      <c r="I43" s="33"/>
      <c r="J43" s="33"/>
      <c r="K43" s="33"/>
      <c r="L43" s="34"/>
      <c r="M43" s="34"/>
      <c r="N43" s="34"/>
      <c r="O43" s="34"/>
      <c r="P43" s="33"/>
      <c r="Q43" s="35"/>
      <c r="R43" s="33"/>
      <c r="S43" s="33"/>
      <c r="T43" s="33"/>
      <c r="U43" s="33"/>
      <c r="V43" s="33"/>
      <c r="W43" s="33"/>
    </row>
    <row r="44" customFormat="false" ht="15" hidden="false" customHeight="false" outlineLevel="0" collapsed="false">
      <c r="A44" s="33"/>
      <c r="B44" s="33"/>
      <c r="C44" s="33"/>
      <c r="D44" s="33"/>
      <c r="E44" s="33"/>
      <c r="F44" s="33"/>
      <c r="G44" s="33"/>
      <c r="H44" s="33"/>
      <c r="I44" s="33"/>
      <c r="J44" s="33"/>
      <c r="K44" s="33"/>
      <c r="L44" s="34"/>
      <c r="M44" s="34"/>
      <c r="N44" s="34"/>
      <c r="O44" s="34"/>
      <c r="P44" s="33"/>
      <c r="Q44" s="35"/>
      <c r="R44" s="33"/>
      <c r="S44" s="33"/>
      <c r="T44" s="33"/>
      <c r="U44" s="33"/>
      <c r="V44" s="33"/>
      <c r="W44" s="33"/>
    </row>
    <row r="45" customFormat="false" ht="15" hidden="false" customHeight="false" outlineLevel="0" collapsed="false">
      <c r="A45" s="33"/>
      <c r="B45" s="33"/>
      <c r="C45" s="33"/>
      <c r="D45" s="33"/>
      <c r="E45" s="33"/>
      <c r="F45" s="33"/>
      <c r="G45" s="33"/>
      <c r="H45" s="33"/>
      <c r="I45" s="33"/>
      <c r="J45" s="33"/>
      <c r="K45" s="33"/>
      <c r="L45" s="34"/>
      <c r="M45" s="34"/>
      <c r="N45" s="34"/>
      <c r="O45" s="34"/>
      <c r="P45" s="33"/>
      <c r="Q45" s="35"/>
      <c r="R45" s="33"/>
      <c r="S45" s="33"/>
      <c r="T45" s="33"/>
      <c r="U45" s="33"/>
      <c r="V45" s="33"/>
      <c r="W45" s="33"/>
    </row>
    <row r="46" customFormat="false" ht="15" hidden="false" customHeight="false" outlineLevel="0" collapsed="false">
      <c r="A46" s="33"/>
      <c r="B46" s="33"/>
      <c r="C46" s="33"/>
      <c r="D46" s="33"/>
      <c r="E46" s="33"/>
      <c r="F46" s="33"/>
      <c r="G46" s="33"/>
      <c r="H46" s="33"/>
      <c r="I46" s="33"/>
      <c r="J46" s="33"/>
      <c r="K46" s="33"/>
      <c r="L46" s="34"/>
      <c r="M46" s="34"/>
      <c r="N46" s="34"/>
      <c r="O46" s="34"/>
      <c r="P46" s="33"/>
      <c r="Q46" s="35"/>
      <c r="R46" s="33"/>
      <c r="S46" s="33"/>
      <c r="T46" s="33"/>
      <c r="U46" s="33"/>
      <c r="V46" s="33"/>
      <c r="W46" s="33"/>
    </row>
    <row r="47" customFormat="false" ht="15" hidden="false" customHeight="false" outlineLevel="0" collapsed="false">
      <c r="A47" s="33"/>
      <c r="B47" s="33"/>
      <c r="C47" s="33"/>
      <c r="D47" s="33"/>
      <c r="E47" s="33"/>
      <c r="F47" s="33"/>
      <c r="G47" s="33"/>
      <c r="H47" s="33"/>
      <c r="I47" s="33"/>
      <c r="J47" s="33"/>
      <c r="K47" s="33"/>
      <c r="L47" s="34"/>
      <c r="M47" s="34"/>
      <c r="N47" s="34"/>
      <c r="O47" s="34"/>
      <c r="P47" s="33"/>
      <c r="Q47" s="35"/>
      <c r="R47" s="33"/>
      <c r="S47" s="33"/>
      <c r="T47" s="33"/>
      <c r="U47" s="33"/>
      <c r="V47" s="33"/>
      <c r="W47" s="33"/>
    </row>
    <row r="48" customFormat="false" ht="15" hidden="false" customHeight="false" outlineLevel="0" collapsed="false">
      <c r="A48" s="33"/>
      <c r="B48" s="33"/>
      <c r="C48" s="33"/>
      <c r="D48" s="33"/>
      <c r="E48" s="33"/>
      <c r="F48" s="33"/>
      <c r="G48" s="33"/>
      <c r="H48" s="33"/>
      <c r="I48" s="33"/>
      <c r="J48" s="33"/>
      <c r="K48" s="33"/>
      <c r="L48" s="34"/>
      <c r="M48" s="34"/>
      <c r="N48" s="34"/>
      <c r="O48" s="34"/>
      <c r="P48" s="33"/>
      <c r="Q48" s="35"/>
      <c r="R48" s="33"/>
      <c r="S48" s="33"/>
      <c r="T48" s="33"/>
      <c r="U48" s="33"/>
      <c r="V48" s="33"/>
      <c r="W48" s="33"/>
    </row>
    <row r="49" customFormat="false" ht="15" hidden="false" customHeight="false" outlineLevel="0" collapsed="false">
      <c r="A49" s="33"/>
      <c r="B49" s="33"/>
      <c r="C49" s="33"/>
      <c r="D49" s="33"/>
      <c r="E49" s="33"/>
      <c r="F49" s="33"/>
      <c r="G49" s="33"/>
      <c r="H49" s="33"/>
      <c r="I49" s="33"/>
      <c r="J49" s="33"/>
      <c r="K49" s="33"/>
      <c r="L49" s="34"/>
      <c r="M49" s="34"/>
      <c r="N49" s="34"/>
      <c r="O49" s="34"/>
      <c r="P49" s="33"/>
      <c r="Q49" s="35"/>
      <c r="R49" s="33"/>
      <c r="S49" s="33"/>
      <c r="T49" s="33"/>
      <c r="U49" s="33"/>
      <c r="V49" s="33"/>
      <c r="W49" s="33"/>
    </row>
    <row r="50" customFormat="false" ht="15" hidden="false" customHeight="false" outlineLevel="0" collapsed="false">
      <c r="A50" s="33"/>
      <c r="B50" s="33"/>
      <c r="C50" s="33"/>
      <c r="D50" s="33"/>
      <c r="E50" s="33"/>
      <c r="F50" s="33"/>
      <c r="G50" s="33"/>
      <c r="H50" s="33"/>
      <c r="I50" s="33"/>
      <c r="J50" s="33"/>
      <c r="K50" s="33"/>
      <c r="L50" s="34"/>
      <c r="M50" s="34"/>
      <c r="N50" s="34"/>
      <c r="O50" s="34"/>
      <c r="P50" s="33"/>
      <c r="Q50" s="35"/>
      <c r="R50" s="33"/>
      <c r="S50" s="33"/>
      <c r="T50" s="33"/>
      <c r="U50" s="33"/>
      <c r="V50" s="33"/>
      <c r="W50" s="33"/>
    </row>
    <row r="51" customFormat="false" ht="15" hidden="false" customHeight="false" outlineLevel="0" collapsed="false">
      <c r="A51" s="33"/>
      <c r="B51" s="33"/>
      <c r="C51" s="33"/>
      <c r="D51" s="33"/>
      <c r="E51" s="33"/>
      <c r="F51" s="33"/>
      <c r="G51" s="33"/>
      <c r="H51" s="33"/>
      <c r="I51" s="33"/>
      <c r="J51" s="33"/>
      <c r="K51" s="33"/>
      <c r="L51" s="34"/>
      <c r="M51" s="34"/>
      <c r="N51" s="34"/>
      <c r="O51" s="34"/>
      <c r="P51" s="33"/>
      <c r="Q51" s="35"/>
      <c r="R51" s="33"/>
      <c r="S51" s="33"/>
      <c r="T51" s="33"/>
      <c r="U51" s="33"/>
      <c r="V51" s="33"/>
      <c r="W51" s="33"/>
    </row>
    <row r="52" customFormat="false" ht="15" hidden="false" customHeight="false" outlineLevel="0" collapsed="false">
      <c r="A52" s="33"/>
      <c r="B52" s="33"/>
      <c r="C52" s="33"/>
      <c r="D52" s="33"/>
      <c r="E52" s="33"/>
      <c r="F52" s="33"/>
      <c r="G52" s="33"/>
      <c r="H52" s="33"/>
      <c r="I52" s="33"/>
      <c r="J52" s="33"/>
      <c r="K52" s="33"/>
      <c r="L52" s="34"/>
      <c r="M52" s="34"/>
      <c r="N52" s="34"/>
      <c r="O52" s="34"/>
      <c r="P52" s="33"/>
      <c r="Q52" s="35"/>
      <c r="R52" s="33"/>
      <c r="S52" s="33"/>
      <c r="T52" s="33"/>
      <c r="U52" s="33"/>
      <c r="V52" s="33"/>
      <c r="W52" s="33"/>
    </row>
    <row r="53" customFormat="false" ht="15" hidden="false" customHeight="false" outlineLevel="0" collapsed="false">
      <c r="A53" s="33"/>
      <c r="B53" s="33"/>
      <c r="C53" s="33"/>
      <c r="D53" s="33"/>
      <c r="E53" s="33"/>
      <c r="F53" s="33"/>
      <c r="G53" s="33"/>
      <c r="H53" s="33"/>
      <c r="I53" s="33"/>
      <c r="J53" s="33"/>
      <c r="K53" s="33"/>
      <c r="L53" s="34"/>
      <c r="M53" s="34"/>
      <c r="N53" s="34"/>
      <c r="O53" s="34"/>
      <c r="P53" s="33"/>
      <c r="Q53" s="35"/>
      <c r="R53" s="33"/>
      <c r="S53" s="33"/>
      <c r="T53" s="33"/>
      <c r="U53" s="33"/>
      <c r="V53" s="33"/>
      <c r="W53" s="33"/>
    </row>
    <row r="54" customFormat="false" ht="15" hidden="false" customHeight="false" outlineLevel="0" collapsed="false">
      <c r="A54" s="33"/>
      <c r="B54" s="33"/>
      <c r="C54" s="33"/>
      <c r="D54" s="33"/>
      <c r="E54" s="33"/>
      <c r="F54" s="33"/>
      <c r="G54" s="33"/>
      <c r="H54" s="33"/>
      <c r="I54" s="33"/>
      <c r="J54" s="33"/>
      <c r="K54" s="33"/>
      <c r="L54" s="34"/>
      <c r="M54" s="34"/>
      <c r="N54" s="34"/>
      <c r="O54" s="34"/>
      <c r="P54" s="33"/>
      <c r="Q54" s="35"/>
      <c r="R54" s="33"/>
      <c r="S54" s="33"/>
      <c r="T54" s="33"/>
      <c r="U54" s="33"/>
      <c r="V54" s="33"/>
      <c r="W54" s="33"/>
    </row>
    <row r="55" customFormat="false" ht="15" hidden="false" customHeight="false" outlineLevel="0" collapsed="false">
      <c r="A55" s="33"/>
      <c r="B55" s="33"/>
      <c r="C55" s="33"/>
      <c r="D55" s="33"/>
      <c r="E55" s="33"/>
      <c r="F55" s="33"/>
      <c r="G55" s="33"/>
      <c r="H55" s="33"/>
      <c r="I55" s="33"/>
      <c r="J55" s="33"/>
      <c r="K55" s="33"/>
      <c r="L55" s="34"/>
      <c r="M55" s="34"/>
      <c r="N55" s="34"/>
      <c r="O55" s="34"/>
      <c r="P55" s="33"/>
      <c r="Q55" s="35"/>
      <c r="R55" s="33"/>
      <c r="S55" s="33"/>
      <c r="T55" s="33"/>
      <c r="U55" s="33"/>
      <c r="V55" s="33"/>
      <c r="W55" s="33"/>
    </row>
    <row r="56" customFormat="false" ht="15" hidden="false" customHeight="false" outlineLevel="0" collapsed="false">
      <c r="A56" s="33"/>
      <c r="B56" s="33"/>
      <c r="C56" s="33"/>
      <c r="D56" s="33"/>
      <c r="E56" s="33"/>
      <c r="F56" s="33"/>
      <c r="G56" s="33"/>
      <c r="H56" s="33"/>
      <c r="I56" s="33"/>
      <c r="J56" s="33"/>
      <c r="K56" s="33"/>
      <c r="L56" s="34"/>
      <c r="M56" s="34"/>
      <c r="N56" s="34"/>
      <c r="O56" s="34"/>
      <c r="P56" s="33"/>
      <c r="Q56" s="35"/>
      <c r="R56" s="33"/>
      <c r="S56" s="33"/>
      <c r="T56" s="33"/>
      <c r="U56" s="33"/>
      <c r="V56" s="33"/>
      <c r="W56" s="33"/>
    </row>
    <row r="57" customFormat="false" ht="15" hidden="false" customHeight="false" outlineLevel="0" collapsed="false">
      <c r="A57" s="33"/>
      <c r="B57" s="33"/>
      <c r="C57" s="33"/>
      <c r="D57" s="33"/>
      <c r="E57" s="33"/>
      <c r="F57" s="33"/>
      <c r="G57" s="33"/>
      <c r="H57" s="33"/>
      <c r="I57" s="33"/>
      <c r="J57" s="33"/>
      <c r="K57" s="33"/>
      <c r="L57" s="34"/>
      <c r="M57" s="34"/>
      <c r="N57" s="34"/>
      <c r="O57" s="34"/>
      <c r="P57" s="33"/>
      <c r="Q57" s="35"/>
      <c r="R57" s="33"/>
      <c r="S57" s="33"/>
      <c r="T57" s="33"/>
      <c r="U57" s="33"/>
      <c r="V57" s="33"/>
      <c r="W57" s="33"/>
    </row>
    <row r="58" customFormat="false" ht="15" hidden="false" customHeight="false" outlineLevel="0" collapsed="false">
      <c r="A58" s="33"/>
      <c r="B58" s="33"/>
      <c r="C58" s="33"/>
      <c r="D58" s="33"/>
      <c r="E58" s="33"/>
      <c r="F58" s="33"/>
      <c r="G58" s="33"/>
      <c r="H58" s="33"/>
      <c r="I58" s="33"/>
      <c r="J58" s="33"/>
      <c r="K58" s="33"/>
      <c r="L58" s="34"/>
      <c r="M58" s="34"/>
      <c r="N58" s="34"/>
      <c r="O58" s="34"/>
      <c r="P58" s="33"/>
      <c r="Q58" s="35"/>
      <c r="R58" s="33"/>
      <c r="S58" s="33"/>
      <c r="T58" s="33"/>
      <c r="U58" s="33"/>
      <c r="V58" s="33"/>
      <c r="W58" s="33"/>
    </row>
    <row r="59" customFormat="false" ht="15" hidden="false" customHeight="false" outlineLevel="0" collapsed="false">
      <c r="A59" s="33"/>
      <c r="B59" s="33"/>
      <c r="C59" s="33"/>
      <c r="D59" s="33"/>
      <c r="E59" s="33"/>
      <c r="F59" s="33"/>
      <c r="G59" s="33"/>
      <c r="H59" s="33"/>
      <c r="I59" s="33"/>
      <c r="J59" s="33"/>
      <c r="K59" s="33"/>
      <c r="L59" s="34"/>
      <c r="M59" s="34"/>
      <c r="N59" s="34"/>
      <c r="O59" s="34"/>
      <c r="P59" s="33"/>
      <c r="Q59" s="35"/>
      <c r="R59" s="33"/>
      <c r="S59" s="33"/>
      <c r="T59" s="33"/>
      <c r="U59" s="33"/>
      <c r="V59" s="33"/>
      <c r="W59" s="33"/>
    </row>
    <row r="60" customFormat="false" ht="15" hidden="false" customHeight="false" outlineLevel="0" collapsed="false">
      <c r="A60" s="33"/>
      <c r="B60" s="33"/>
      <c r="C60" s="33"/>
      <c r="D60" s="33"/>
      <c r="E60" s="33"/>
      <c r="F60" s="33"/>
      <c r="G60" s="33"/>
      <c r="H60" s="33"/>
      <c r="I60" s="33"/>
      <c r="J60" s="33"/>
      <c r="K60" s="33"/>
      <c r="L60" s="34"/>
      <c r="M60" s="34"/>
      <c r="N60" s="34"/>
      <c r="O60" s="34"/>
      <c r="P60" s="33"/>
      <c r="Q60" s="35"/>
      <c r="R60" s="33"/>
      <c r="S60" s="33"/>
      <c r="T60" s="33"/>
      <c r="U60" s="33"/>
      <c r="V60" s="33"/>
      <c r="W60" s="33"/>
    </row>
    <row r="61" customFormat="false" ht="15" hidden="false" customHeight="false" outlineLevel="0" collapsed="false">
      <c r="A61" s="33"/>
      <c r="B61" s="33"/>
      <c r="C61" s="33"/>
      <c r="D61" s="33"/>
      <c r="E61" s="33"/>
      <c r="F61" s="33"/>
      <c r="G61" s="33"/>
      <c r="H61" s="33"/>
      <c r="I61" s="33"/>
      <c r="J61" s="33"/>
      <c r="K61" s="33"/>
      <c r="L61" s="34"/>
      <c r="M61" s="34"/>
      <c r="N61" s="34"/>
      <c r="O61" s="34"/>
      <c r="P61" s="33"/>
      <c r="Q61" s="35"/>
      <c r="R61" s="33"/>
      <c r="S61" s="33"/>
      <c r="T61" s="33"/>
      <c r="U61" s="33"/>
      <c r="V61" s="33"/>
      <c r="W61" s="33"/>
    </row>
    <row r="62" customFormat="false" ht="15" hidden="false" customHeight="false" outlineLevel="0" collapsed="false">
      <c r="A62" s="33"/>
      <c r="B62" s="33"/>
      <c r="C62" s="33"/>
      <c r="D62" s="33"/>
      <c r="E62" s="33"/>
      <c r="F62" s="33"/>
      <c r="G62" s="33"/>
      <c r="H62" s="33"/>
      <c r="I62" s="33"/>
      <c r="J62" s="33"/>
      <c r="K62" s="33"/>
      <c r="L62" s="34"/>
      <c r="M62" s="34"/>
      <c r="N62" s="34"/>
      <c r="O62" s="34"/>
      <c r="P62" s="33"/>
      <c r="Q62" s="35"/>
      <c r="R62" s="33"/>
      <c r="S62" s="33"/>
      <c r="T62" s="33"/>
      <c r="U62" s="33"/>
      <c r="V62" s="33"/>
      <c r="W62" s="33"/>
    </row>
    <row r="63" customFormat="false" ht="15" hidden="false" customHeight="false" outlineLevel="0" collapsed="false">
      <c r="A63" s="33"/>
      <c r="B63" s="33"/>
      <c r="C63" s="33"/>
      <c r="D63" s="33"/>
      <c r="E63" s="33"/>
      <c r="F63" s="33"/>
      <c r="G63" s="33"/>
      <c r="H63" s="33"/>
      <c r="I63" s="33"/>
      <c r="J63" s="33"/>
      <c r="K63" s="33"/>
      <c r="L63" s="34"/>
      <c r="M63" s="34"/>
      <c r="N63" s="34"/>
      <c r="O63" s="34"/>
      <c r="P63" s="33"/>
      <c r="Q63" s="35"/>
      <c r="R63" s="33"/>
      <c r="S63" s="33"/>
      <c r="T63" s="33"/>
      <c r="U63" s="33"/>
      <c r="V63" s="33"/>
      <c r="W63" s="33"/>
    </row>
    <row r="64" customFormat="false" ht="15" hidden="false" customHeight="false" outlineLevel="0" collapsed="false">
      <c r="A64" s="33"/>
      <c r="B64" s="33"/>
      <c r="C64" s="33"/>
      <c r="D64" s="33"/>
      <c r="E64" s="33"/>
      <c r="F64" s="33"/>
      <c r="G64" s="33"/>
      <c r="H64" s="33"/>
      <c r="I64" s="33"/>
      <c r="J64" s="33"/>
      <c r="K64" s="33"/>
      <c r="L64" s="34"/>
      <c r="M64" s="34"/>
      <c r="N64" s="34"/>
      <c r="O64" s="34"/>
      <c r="P64" s="33"/>
      <c r="Q64" s="35"/>
      <c r="R64" s="33"/>
      <c r="S64" s="33"/>
      <c r="T64" s="33"/>
      <c r="U64" s="33"/>
      <c r="V64" s="33"/>
      <c r="W64" s="33"/>
    </row>
    <row r="65" customFormat="false" ht="15" hidden="false" customHeight="false" outlineLevel="0" collapsed="false">
      <c r="A65" s="33"/>
      <c r="B65" s="33"/>
      <c r="C65" s="33"/>
      <c r="D65" s="33"/>
      <c r="E65" s="33"/>
      <c r="F65" s="33"/>
      <c r="G65" s="33"/>
      <c r="H65" s="33"/>
      <c r="I65" s="33"/>
      <c r="J65" s="33"/>
      <c r="K65" s="33"/>
      <c r="L65" s="34"/>
      <c r="M65" s="34"/>
      <c r="N65" s="34"/>
      <c r="O65" s="34"/>
      <c r="P65" s="33"/>
      <c r="Q65" s="35"/>
      <c r="R65" s="33"/>
      <c r="S65" s="33"/>
      <c r="T65" s="33"/>
      <c r="U65" s="33"/>
      <c r="V65" s="33"/>
      <c r="W65" s="33"/>
    </row>
    <row r="66" customFormat="false" ht="15" hidden="false" customHeight="false" outlineLevel="0" collapsed="false">
      <c r="A66" s="33"/>
      <c r="B66" s="33"/>
      <c r="C66" s="33"/>
      <c r="D66" s="33"/>
      <c r="E66" s="33"/>
      <c r="F66" s="33"/>
      <c r="G66" s="33"/>
      <c r="H66" s="33"/>
      <c r="I66" s="33"/>
      <c r="J66" s="33"/>
      <c r="K66" s="33"/>
      <c r="L66" s="34"/>
      <c r="M66" s="34"/>
      <c r="N66" s="34"/>
      <c r="O66" s="34"/>
      <c r="P66" s="33"/>
      <c r="Q66" s="35"/>
      <c r="R66" s="33"/>
      <c r="S66" s="33"/>
      <c r="T66" s="33"/>
      <c r="U66" s="33"/>
      <c r="V66" s="33"/>
      <c r="W66" s="33"/>
    </row>
    <row r="67" customFormat="false" ht="15" hidden="false" customHeight="false" outlineLevel="0" collapsed="false">
      <c r="A67" s="33"/>
      <c r="B67" s="33"/>
      <c r="C67" s="33"/>
      <c r="D67" s="33"/>
      <c r="E67" s="33"/>
      <c r="F67" s="33"/>
      <c r="G67" s="33"/>
      <c r="H67" s="33"/>
      <c r="I67" s="33"/>
      <c r="J67" s="33"/>
      <c r="K67" s="33"/>
      <c r="L67" s="34"/>
      <c r="M67" s="34"/>
      <c r="N67" s="34"/>
      <c r="O67" s="34"/>
      <c r="P67" s="33"/>
      <c r="Q67" s="35"/>
      <c r="R67" s="33"/>
      <c r="S67" s="33"/>
      <c r="T67" s="33"/>
      <c r="U67" s="33"/>
      <c r="V67" s="33"/>
      <c r="W67" s="33"/>
    </row>
    <row r="68" customFormat="false" ht="15" hidden="false" customHeight="false" outlineLevel="0" collapsed="false">
      <c r="A68" s="33"/>
      <c r="B68" s="33"/>
      <c r="C68" s="33"/>
      <c r="D68" s="33"/>
      <c r="E68" s="33"/>
      <c r="F68" s="33"/>
      <c r="G68" s="33"/>
      <c r="H68" s="33"/>
      <c r="I68" s="33"/>
      <c r="J68" s="33"/>
      <c r="K68" s="33"/>
      <c r="L68" s="34"/>
      <c r="M68" s="34"/>
      <c r="N68" s="34"/>
      <c r="O68" s="34"/>
      <c r="P68" s="33"/>
      <c r="Q68" s="35"/>
      <c r="R68" s="33"/>
      <c r="S68" s="33"/>
      <c r="T68" s="33"/>
      <c r="U68" s="33"/>
      <c r="V68" s="33"/>
      <c r="W68" s="33"/>
    </row>
    <row r="69" customFormat="false" ht="15" hidden="false" customHeight="false" outlineLevel="0" collapsed="false">
      <c r="A69" s="33"/>
      <c r="B69" s="33"/>
      <c r="C69" s="33"/>
      <c r="D69" s="33"/>
      <c r="E69" s="33"/>
      <c r="F69" s="33"/>
      <c r="G69" s="33"/>
      <c r="H69" s="33"/>
      <c r="I69" s="33"/>
      <c r="J69" s="33"/>
      <c r="K69" s="33"/>
      <c r="L69" s="34"/>
      <c r="M69" s="34"/>
      <c r="N69" s="34"/>
      <c r="O69" s="34"/>
      <c r="P69" s="33"/>
      <c r="Q69" s="35"/>
      <c r="R69" s="33"/>
      <c r="S69" s="33"/>
      <c r="T69" s="33"/>
      <c r="U69" s="33"/>
      <c r="V69" s="33"/>
      <c r="W69" s="33"/>
    </row>
    <row r="70" customFormat="false" ht="15" hidden="false" customHeight="false" outlineLevel="0" collapsed="false">
      <c r="A70" s="33"/>
      <c r="B70" s="33"/>
      <c r="C70" s="33"/>
      <c r="D70" s="33"/>
      <c r="E70" s="33"/>
      <c r="F70" s="33"/>
      <c r="G70" s="33"/>
      <c r="H70" s="33"/>
      <c r="I70" s="33"/>
      <c r="J70" s="33"/>
      <c r="K70" s="33"/>
      <c r="L70" s="34"/>
      <c r="M70" s="34"/>
      <c r="N70" s="34"/>
      <c r="O70" s="34"/>
      <c r="P70" s="33"/>
      <c r="Q70" s="35"/>
      <c r="R70" s="33"/>
      <c r="S70" s="33"/>
      <c r="T70" s="33"/>
      <c r="U70" s="33"/>
      <c r="V70" s="33"/>
      <c r="W70" s="33"/>
    </row>
    <row r="71" customFormat="false" ht="15" hidden="false" customHeight="false" outlineLevel="0" collapsed="false">
      <c r="A71" s="33"/>
      <c r="B71" s="33"/>
      <c r="C71" s="33"/>
      <c r="D71" s="33"/>
      <c r="E71" s="33"/>
      <c r="F71" s="33"/>
      <c r="G71" s="33"/>
      <c r="H71" s="33"/>
      <c r="I71" s="33"/>
      <c r="J71" s="33"/>
      <c r="K71" s="33"/>
      <c r="L71" s="34"/>
      <c r="M71" s="34"/>
      <c r="N71" s="34"/>
      <c r="O71" s="34"/>
      <c r="P71" s="33"/>
      <c r="Q71" s="35"/>
      <c r="R71" s="33"/>
      <c r="S71" s="33"/>
      <c r="T71" s="33"/>
      <c r="U71" s="33"/>
      <c r="V71" s="33"/>
      <c r="W71" s="33"/>
    </row>
    <row r="72" customFormat="false" ht="15" hidden="false" customHeight="false" outlineLevel="0" collapsed="false">
      <c r="A72" s="33"/>
      <c r="B72" s="33"/>
      <c r="C72" s="33"/>
      <c r="D72" s="33"/>
      <c r="E72" s="33"/>
      <c r="F72" s="33"/>
      <c r="G72" s="33"/>
      <c r="H72" s="33"/>
      <c r="I72" s="33"/>
      <c r="J72" s="33"/>
      <c r="K72" s="33"/>
      <c r="L72" s="34"/>
      <c r="M72" s="34"/>
      <c r="N72" s="34"/>
      <c r="O72" s="34"/>
      <c r="P72" s="33"/>
      <c r="Q72" s="35"/>
      <c r="R72" s="33"/>
      <c r="S72" s="33"/>
      <c r="T72" s="33"/>
      <c r="U72" s="33"/>
      <c r="V72" s="33"/>
      <c r="W72" s="33"/>
    </row>
    <row r="73" customFormat="false" ht="15" hidden="false" customHeight="false" outlineLevel="0" collapsed="false">
      <c r="A73" s="33"/>
      <c r="B73" s="33"/>
      <c r="C73" s="33"/>
      <c r="D73" s="33"/>
      <c r="E73" s="33"/>
      <c r="F73" s="33"/>
      <c r="G73" s="33"/>
      <c r="H73" s="33"/>
      <c r="I73" s="33"/>
      <c r="J73" s="33"/>
      <c r="K73" s="33"/>
      <c r="L73" s="34"/>
      <c r="M73" s="34"/>
      <c r="N73" s="34"/>
      <c r="O73" s="34"/>
      <c r="P73" s="33"/>
      <c r="Q73" s="35"/>
      <c r="R73" s="33"/>
      <c r="S73" s="33"/>
      <c r="T73" s="33"/>
      <c r="U73" s="33"/>
      <c r="V73" s="33"/>
      <c r="W73" s="33"/>
    </row>
    <row r="74" customFormat="false" ht="15" hidden="false" customHeight="false" outlineLevel="0" collapsed="false">
      <c r="A74" s="33"/>
      <c r="B74" s="33"/>
      <c r="C74" s="33"/>
      <c r="D74" s="33"/>
      <c r="E74" s="33"/>
      <c r="F74" s="33"/>
      <c r="G74" s="33"/>
      <c r="H74" s="33"/>
      <c r="I74" s="33"/>
      <c r="J74" s="33"/>
      <c r="K74" s="33"/>
      <c r="L74" s="34"/>
      <c r="M74" s="34"/>
      <c r="N74" s="34"/>
      <c r="O74" s="34"/>
      <c r="P74" s="33"/>
      <c r="Q74" s="35"/>
      <c r="R74" s="33"/>
      <c r="S74" s="33"/>
      <c r="T74" s="33"/>
      <c r="U74" s="33"/>
      <c r="V74" s="33"/>
      <c r="W74" s="33"/>
    </row>
    <row r="75" customFormat="false" ht="15" hidden="false" customHeight="false" outlineLevel="0" collapsed="false">
      <c r="A75" s="33"/>
      <c r="B75" s="33"/>
      <c r="C75" s="33"/>
      <c r="D75" s="33"/>
      <c r="E75" s="33"/>
      <c r="F75" s="33"/>
      <c r="G75" s="33"/>
      <c r="H75" s="33"/>
      <c r="I75" s="33"/>
      <c r="J75" s="33"/>
      <c r="K75" s="33"/>
      <c r="L75" s="34"/>
      <c r="M75" s="34"/>
      <c r="N75" s="34"/>
      <c r="O75" s="34"/>
      <c r="P75" s="33"/>
      <c r="Q75" s="35"/>
      <c r="R75" s="33"/>
      <c r="S75" s="33"/>
      <c r="T75" s="33"/>
      <c r="U75" s="33"/>
      <c r="V75" s="33"/>
      <c r="W75" s="33"/>
    </row>
    <row r="76" customFormat="false" ht="15" hidden="false" customHeight="false" outlineLevel="0" collapsed="false">
      <c r="A76" s="33"/>
      <c r="B76" s="33"/>
      <c r="C76" s="33"/>
      <c r="D76" s="33"/>
      <c r="E76" s="33"/>
      <c r="F76" s="33"/>
      <c r="G76" s="33"/>
      <c r="H76" s="33"/>
      <c r="I76" s="33"/>
      <c r="J76" s="33"/>
      <c r="K76" s="33"/>
      <c r="L76" s="34"/>
      <c r="M76" s="34"/>
      <c r="N76" s="34"/>
      <c r="O76" s="34"/>
      <c r="P76" s="33"/>
      <c r="Q76" s="35"/>
      <c r="R76" s="33"/>
      <c r="S76" s="33"/>
      <c r="T76" s="33"/>
      <c r="U76" s="33"/>
      <c r="V76" s="33"/>
      <c r="W76" s="33"/>
    </row>
    <row r="77" customFormat="false" ht="15" hidden="false" customHeight="false" outlineLevel="0" collapsed="false">
      <c r="A77" s="33"/>
      <c r="B77" s="33"/>
      <c r="C77" s="33"/>
      <c r="D77" s="33"/>
      <c r="E77" s="33"/>
      <c r="F77" s="33"/>
      <c r="G77" s="33"/>
      <c r="H77" s="33"/>
      <c r="I77" s="33"/>
      <c r="J77" s="33"/>
      <c r="K77" s="33"/>
      <c r="L77" s="34"/>
      <c r="M77" s="34"/>
      <c r="N77" s="34"/>
      <c r="O77" s="34"/>
      <c r="P77" s="33"/>
      <c r="Q77" s="35"/>
      <c r="R77" s="33"/>
      <c r="S77" s="33"/>
      <c r="T77" s="33"/>
      <c r="U77" s="33"/>
      <c r="V77" s="33"/>
      <c r="W77" s="33"/>
    </row>
    <row r="78" customFormat="false" ht="15" hidden="false" customHeight="false" outlineLevel="0" collapsed="false">
      <c r="A78" s="33"/>
      <c r="B78" s="33"/>
      <c r="C78" s="33"/>
      <c r="D78" s="33"/>
      <c r="E78" s="33"/>
      <c r="F78" s="33"/>
      <c r="G78" s="33"/>
      <c r="H78" s="33"/>
      <c r="I78" s="33"/>
      <c r="J78" s="33"/>
      <c r="K78" s="33"/>
      <c r="L78" s="34"/>
      <c r="M78" s="34"/>
      <c r="N78" s="34"/>
      <c r="O78" s="34"/>
      <c r="P78" s="33"/>
      <c r="Q78" s="35"/>
      <c r="R78" s="33"/>
      <c r="S78" s="33"/>
      <c r="T78" s="33"/>
      <c r="U78" s="33"/>
      <c r="V78" s="33"/>
      <c r="W78" s="33"/>
    </row>
    <row r="79" customFormat="false" ht="15" hidden="false" customHeight="false" outlineLevel="0" collapsed="false">
      <c r="A79" s="33"/>
      <c r="B79" s="33"/>
      <c r="C79" s="33"/>
      <c r="D79" s="33"/>
      <c r="E79" s="33"/>
      <c r="F79" s="33"/>
      <c r="G79" s="33"/>
      <c r="H79" s="33"/>
      <c r="I79" s="33"/>
      <c r="J79" s="33"/>
      <c r="K79" s="33"/>
      <c r="L79" s="34"/>
      <c r="M79" s="34"/>
      <c r="N79" s="34"/>
      <c r="O79" s="34"/>
      <c r="P79" s="33"/>
      <c r="Q79" s="35"/>
      <c r="R79" s="33"/>
      <c r="S79" s="33"/>
      <c r="T79" s="33"/>
      <c r="U79" s="33"/>
      <c r="V79" s="33"/>
      <c r="W79" s="33"/>
    </row>
    <row r="80" customFormat="false" ht="15" hidden="false" customHeight="false" outlineLevel="0" collapsed="false">
      <c r="A80" s="33"/>
      <c r="B80" s="33"/>
      <c r="C80" s="33"/>
      <c r="D80" s="33"/>
      <c r="E80" s="33"/>
      <c r="F80" s="33"/>
      <c r="G80" s="33"/>
      <c r="H80" s="33"/>
      <c r="I80" s="33"/>
      <c r="J80" s="33"/>
      <c r="K80" s="33"/>
      <c r="L80" s="34"/>
      <c r="M80" s="34"/>
      <c r="N80" s="34"/>
      <c r="O80" s="34"/>
      <c r="P80" s="33"/>
      <c r="Q80" s="35"/>
      <c r="R80" s="33"/>
      <c r="S80" s="33"/>
      <c r="T80" s="33"/>
      <c r="U80" s="33"/>
      <c r="V80" s="33"/>
      <c r="W80" s="33"/>
    </row>
    <row r="81" customFormat="false" ht="15" hidden="false" customHeight="false" outlineLevel="0" collapsed="false">
      <c r="A81" s="33"/>
      <c r="B81" s="33"/>
      <c r="C81" s="33"/>
      <c r="D81" s="33"/>
      <c r="E81" s="33"/>
      <c r="F81" s="33"/>
      <c r="G81" s="33"/>
      <c r="H81" s="33"/>
      <c r="I81" s="33"/>
      <c r="J81" s="33"/>
      <c r="K81" s="33"/>
      <c r="L81" s="34"/>
      <c r="M81" s="34"/>
      <c r="N81" s="34"/>
      <c r="O81" s="34"/>
      <c r="P81" s="33"/>
      <c r="Q81" s="35"/>
      <c r="R81" s="33"/>
      <c r="S81" s="33"/>
      <c r="T81" s="33"/>
      <c r="U81" s="33"/>
      <c r="V81" s="33"/>
      <c r="W81" s="33"/>
    </row>
    <row r="82" customFormat="false" ht="15" hidden="false" customHeight="false" outlineLevel="0" collapsed="false">
      <c r="A82" s="33"/>
      <c r="B82" s="33"/>
      <c r="C82" s="33"/>
      <c r="D82" s="33"/>
      <c r="E82" s="33"/>
      <c r="F82" s="33"/>
      <c r="G82" s="33"/>
      <c r="H82" s="33"/>
      <c r="I82" s="33"/>
      <c r="J82" s="33"/>
      <c r="K82" s="33"/>
      <c r="L82" s="34"/>
      <c r="M82" s="34"/>
      <c r="N82" s="34"/>
      <c r="O82" s="34"/>
      <c r="P82" s="33"/>
      <c r="Q82" s="35"/>
      <c r="R82" s="33"/>
      <c r="S82" s="33"/>
      <c r="T82" s="33"/>
      <c r="U82" s="33"/>
      <c r="V82" s="33"/>
      <c r="W82" s="33"/>
    </row>
    <row r="83" customFormat="false" ht="15" hidden="false" customHeight="false" outlineLevel="0" collapsed="false">
      <c r="A83" s="33"/>
      <c r="B83" s="33"/>
      <c r="C83" s="33"/>
      <c r="D83" s="33"/>
      <c r="E83" s="33"/>
      <c r="F83" s="33"/>
      <c r="G83" s="33"/>
      <c r="H83" s="33"/>
      <c r="I83" s="33"/>
      <c r="J83" s="33"/>
      <c r="K83" s="33"/>
      <c r="L83" s="34"/>
      <c r="M83" s="34"/>
      <c r="N83" s="34"/>
      <c r="O83" s="34"/>
      <c r="P83" s="33"/>
      <c r="Q83" s="35"/>
      <c r="R83" s="33"/>
      <c r="S83" s="33"/>
      <c r="T83" s="33"/>
      <c r="U83" s="33"/>
      <c r="V83" s="33"/>
      <c r="W83" s="33"/>
    </row>
    <row r="84" customFormat="false" ht="15" hidden="false" customHeight="false" outlineLevel="0" collapsed="false">
      <c r="A84" s="33"/>
      <c r="B84" s="33"/>
      <c r="C84" s="33"/>
      <c r="D84" s="33"/>
      <c r="E84" s="33"/>
      <c r="F84" s="33"/>
      <c r="G84" s="33"/>
      <c r="H84" s="33"/>
      <c r="I84" s="33"/>
      <c r="J84" s="33"/>
      <c r="K84" s="33"/>
      <c r="L84" s="34"/>
      <c r="M84" s="34"/>
      <c r="N84" s="34"/>
      <c r="O84" s="34"/>
      <c r="P84" s="33"/>
      <c r="Q84" s="35"/>
      <c r="R84" s="33"/>
      <c r="S84" s="33"/>
      <c r="T84" s="33"/>
      <c r="U84" s="33"/>
      <c r="V84" s="33"/>
      <c r="W84" s="33"/>
    </row>
    <row r="85" customFormat="false" ht="15" hidden="false" customHeight="false" outlineLevel="0" collapsed="false">
      <c r="A85" s="33"/>
      <c r="B85" s="33"/>
      <c r="C85" s="33"/>
      <c r="D85" s="33"/>
      <c r="E85" s="33"/>
      <c r="F85" s="33"/>
      <c r="G85" s="33"/>
      <c r="H85" s="33"/>
      <c r="I85" s="33"/>
      <c r="J85" s="33"/>
      <c r="K85" s="33"/>
      <c r="L85" s="34"/>
      <c r="M85" s="34"/>
      <c r="N85" s="34"/>
      <c r="O85" s="34"/>
      <c r="P85" s="33"/>
      <c r="Q85" s="35"/>
      <c r="R85" s="33"/>
      <c r="S85" s="33"/>
      <c r="T85" s="33"/>
      <c r="U85" s="33"/>
      <c r="V85" s="33"/>
      <c r="W85" s="33"/>
    </row>
    <row r="86" customFormat="false" ht="15" hidden="false" customHeight="false" outlineLevel="0" collapsed="false">
      <c r="A86" s="33"/>
      <c r="B86" s="33"/>
      <c r="C86" s="33"/>
      <c r="D86" s="33"/>
      <c r="E86" s="33"/>
      <c r="F86" s="33"/>
      <c r="G86" s="33"/>
      <c r="H86" s="33"/>
      <c r="I86" s="33"/>
      <c r="J86" s="33"/>
      <c r="K86" s="33"/>
      <c r="L86" s="34"/>
      <c r="M86" s="34"/>
      <c r="N86" s="34"/>
      <c r="O86" s="34"/>
      <c r="P86" s="33"/>
      <c r="Q86" s="35"/>
      <c r="R86" s="33"/>
      <c r="S86" s="33"/>
      <c r="T86" s="33"/>
      <c r="U86" s="33"/>
      <c r="V86" s="33"/>
      <c r="W86" s="33"/>
    </row>
    <row r="87" customFormat="false" ht="15" hidden="false" customHeight="false" outlineLevel="0" collapsed="false">
      <c r="A87" s="33"/>
      <c r="B87" s="33"/>
      <c r="C87" s="33"/>
      <c r="D87" s="33"/>
      <c r="E87" s="33"/>
      <c r="F87" s="33"/>
      <c r="G87" s="33"/>
      <c r="H87" s="33"/>
      <c r="I87" s="33"/>
      <c r="J87" s="33"/>
      <c r="K87" s="33"/>
      <c r="L87" s="34"/>
      <c r="M87" s="34"/>
      <c r="N87" s="34"/>
      <c r="O87" s="34"/>
      <c r="P87" s="33"/>
      <c r="Q87" s="35"/>
      <c r="R87" s="33"/>
      <c r="S87" s="33"/>
      <c r="T87" s="33"/>
      <c r="U87" s="33"/>
      <c r="V87" s="33"/>
      <c r="W87" s="33"/>
    </row>
    <row r="88" customFormat="false" ht="15" hidden="false" customHeight="false" outlineLevel="0" collapsed="false">
      <c r="A88" s="33"/>
      <c r="B88" s="33"/>
      <c r="C88" s="33"/>
      <c r="D88" s="33"/>
      <c r="E88" s="33"/>
      <c r="F88" s="33"/>
      <c r="G88" s="33"/>
      <c r="H88" s="33"/>
      <c r="I88" s="33"/>
      <c r="J88" s="33"/>
      <c r="K88" s="33"/>
      <c r="L88" s="34"/>
      <c r="M88" s="34"/>
      <c r="N88" s="34"/>
      <c r="O88" s="34"/>
      <c r="P88" s="33"/>
      <c r="Q88" s="35"/>
      <c r="R88" s="33"/>
      <c r="S88" s="33"/>
      <c r="T88" s="33"/>
      <c r="U88" s="33"/>
      <c r="V88" s="33"/>
      <c r="W88" s="33"/>
    </row>
    <row r="89" customFormat="false" ht="15" hidden="false" customHeight="false" outlineLevel="0" collapsed="false">
      <c r="A89" s="33"/>
      <c r="B89" s="33"/>
      <c r="C89" s="33"/>
      <c r="D89" s="33"/>
      <c r="E89" s="33"/>
      <c r="F89" s="33"/>
      <c r="G89" s="33"/>
      <c r="H89" s="33"/>
      <c r="I89" s="33"/>
      <c r="J89" s="33"/>
      <c r="K89" s="33"/>
      <c r="L89" s="34"/>
      <c r="M89" s="34"/>
      <c r="N89" s="34"/>
      <c r="O89" s="34"/>
      <c r="P89" s="33"/>
      <c r="Q89" s="35"/>
      <c r="R89" s="33"/>
      <c r="S89" s="33"/>
      <c r="T89" s="33"/>
      <c r="U89" s="33"/>
      <c r="V89" s="33"/>
      <c r="W89" s="33"/>
    </row>
    <row r="90" customFormat="false" ht="15" hidden="false" customHeight="false" outlineLevel="0" collapsed="false">
      <c r="A90" s="33"/>
      <c r="B90" s="33"/>
      <c r="C90" s="33"/>
      <c r="D90" s="33"/>
      <c r="E90" s="33"/>
      <c r="F90" s="33"/>
      <c r="G90" s="33"/>
      <c r="H90" s="33"/>
      <c r="I90" s="33"/>
      <c r="J90" s="33"/>
      <c r="K90" s="33"/>
      <c r="L90" s="34"/>
      <c r="M90" s="34"/>
      <c r="N90" s="34"/>
      <c r="O90" s="34"/>
      <c r="P90" s="33"/>
      <c r="Q90" s="35"/>
      <c r="R90" s="33"/>
      <c r="S90" s="33"/>
      <c r="T90" s="33"/>
      <c r="U90" s="33"/>
      <c r="V90" s="33"/>
      <c r="W90" s="33"/>
    </row>
    <row r="91" customFormat="false" ht="15" hidden="false" customHeight="false" outlineLevel="0" collapsed="false">
      <c r="A91" s="33"/>
      <c r="B91" s="33"/>
      <c r="C91" s="33"/>
      <c r="D91" s="33"/>
      <c r="E91" s="33"/>
      <c r="F91" s="33"/>
      <c r="G91" s="33"/>
      <c r="H91" s="33"/>
      <c r="I91" s="33"/>
      <c r="J91" s="33"/>
      <c r="K91" s="33"/>
      <c r="L91" s="34"/>
      <c r="M91" s="34"/>
      <c r="N91" s="34"/>
      <c r="O91" s="34"/>
      <c r="P91" s="33"/>
      <c r="Q91" s="35"/>
      <c r="R91" s="33"/>
      <c r="S91" s="33"/>
      <c r="T91" s="33"/>
      <c r="U91" s="33"/>
      <c r="V91" s="33"/>
      <c r="W91" s="33"/>
    </row>
    <row r="92" customFormat="false" ht="15" hidden="false" customHeight="false" outlineLevel="0" collapsed="false">
      <c r="A92" s="33"/>
      <c r="B92" s="33"/>
      <c r="C92" s="33"/>
      <c r="D92" s="33"/>
      <c r="E92" s="33"/>
      <c r="F92" s="33"/>
      <c r="G92" s="33"/>
      <c r="H92" s="33"/>
      <c r="I92" s="33"/>
      <c r="J92" s="33"/>
      <c r="K92" s="33"/>
      <c r="L92" s="34"/>
      <c r="M92" s="34"/>
      <c r="N92" s="34"/>
      <c r="O92" s="34"/>
      <c r="P92" s="33"/>
      <c r="Q92" s="35"/>
      <c r="R92" s="33"/>
      <c r="S92" s="33"/>
      <c r="T92" s="33"/>
      <c r="U92" s="33"/>
      <c r="V92" s="33"/>
      <c r="W92" s="33"/>
    </row>
    <row r="93" customFormat="false" ht="15" hidden="false" customHeight="false" outlineLevel="0" collapsed="false">
      <c r="A93" s="33"/>
      <c r="B93" s="33"/>
      <c r="C93" s="33"/>
      <c r="D93" s="33"/>
      <c r="E93" s="33"/>
      <c r="F93" s="33"/>
      <c r="G93" s="33"/>
      <c r="H93" s="33"/>
      <c r="I93" s="33"/>
      <c r="J93" s="33"/>
      <c r="K93" s="33"/>
      <c r="L93" s="34"/>
      <c r="M93" s="34"/>
      <c r="N93" s="34"/>
      <c r="O93" s="34"/>
      <c r="P93" s="33"/>
      <c r="Q93" s="35"/>
      <c r="R93" s="33"/>
      <c r="S93" s="33"/>
      <c r="T93" s="33"/>
      <c r="U93" s="33"/>
      <c r="V93" s="33"/>
      <c r="W93" s="33"/>
    </row>
    <row r="94" customFormat="false" ht="15" hidden="false" customHeight="false" outlineLevel="0" collapsed="false">
      <c r="A94" s="33"/>
      <c r="B94" s="33"/>
      <c r="C94" s="33"/>
      <c r="D94" s="33"/>
      <c r="E94" s="33"/>
      <c r="F94" s="33"/>
      <c r="G94" s="33"/>
      <c r="H94" s="33"/>
      <c r="I94" s="33"/>
      <c r="J94" s="33"/>
      <c r="K94" s="33"/>
      <c r="L94" s="34"/>
      <c r="M94" s="34"/>
      <c r="N94" s="34"/>
      <c r="O94" s="34"/>
      <c r="P94" s="33"/>
      <c r="Q94" s="35"/>
      <c r="R94" s="33"/>
      <c r="S94" s="33"/>
      <c r="T94" s="33"/>
      <c r="U94" s="33"/>
      <c r="V94" s="33"/>
      <c r="W94" s="33"/>
    </row>
    <row r="95" customFormat="false" ht="15" hidden="false" customHeight="false" outlineLevel="0" collapsed="false">
      <c r="A95" s="33"/>
      <c r="B95" s="33"/>
      <c r="C95" s="33"/>
      <c r="D95" s="33"/>
      <c r="E95" s="33"/>
      <c r="F95" s="33"/>
      <c r="G95" s="33"/>
      <c r="H95" s="33"/>
      <c r="I95" s="33"/>
      <c r="J95" s="33"/>
      <c r="K95" s="33"/>
      <c r="L95" s="34"/>
      <c r="M95" s="34"/>
      <c r="N95" s="34"/>
      <c r="O95" s="34"/>
      <c r="P95" s="33"/>
      <c r="Q95" s="35"/>
      <c r="R95" s="33"/>
      <c r="S95" s="33"/>
      <c r="T95" s="33"/>
      <c r="U95" s="33"/>
      <c r="V95" s="33"/>
      <c r="W95" s="33"/>
    </row>
    <row r="96" customFormat="false" ht="15" hidden="false" customHeight="false" outlineLevel="0" collapsed="false">
      <c r="A96" s="33"/>
      <c r="B96" s="33"/>
      <c r="C96" s="33"/>
      <c r="D96" s="33"/>
      <c r="E96" s="33"/>
      <c r="F96" s="33"/>
      <c r="G96" s="33"/>
      <c r="H96" s="33"/>
      <c r="I96" s="33"/>
      <c r="J96" s="33"/>
      <c r="K96" s="33"/>
      <c r="L96" s="34"/>
      <c r="M96" s="34"/>
      <c r="N96" s="34"/>
      <c r="O96" s="34"/>
      <c r="P96" s="33"/>
      <c r="Q96" s="35"/>
      <c r="R96" s="33"/>
      <c r="S96" s="33"/>
      <c r="T96" s="33"/>
      <c r="U96" s="33"/>
      <c r="V96" s="33"/>
      <c r="W96" s="33"/>
    </row>
    <row r="97" customFormat="false" ht="15" hidden="false" customHeight="false" outlineLevel="0" collapsed="false">
      <c r="A97" s="33"/>
      <c r="B97" s="33"/>
      <c r="C97" s="33"/>
      <c r="D97" s="33"/>
      <c r="E97" s="33"/>
      <c r="F97" s="33"/>
      <c r="G97" s="33"/>
      <c r="H97" s="33"/>
      <c r="I97" s="33"/>
      <c r="J97" s="33"/>
      <c r="K97" s="33"/>
      <c r="L97" s="34"/>
      <c r="M97" s="34"/>
      <c r="N97" s="34"/>
      <c r="O97" s="34"/>
      <c r="P97" s="33"/>
      <c r="Q97" s="35"/>
      <c r="R97" s="33"/>
      <c r="S97" s="33"/>
      <c r="T97" s="33"/>
      <c r="U97" s="33"/>
      <c r="V97" s="33"/>
      <c r="W97" s="33"/>
    </row>
    <row r="98" customFormat="false" ht="15" hidden="false" customHeight="false" outlineLevel="0" collapsed="false">
      <c r="A98" s="33"/>
      <c r="B98" s="33"/>
      <c r="C98" s="33"/>
      <c r="D98" s="33"/>
      <c r="E98" s="33"/>
      <c r="F98" s="33"/>
      <c r="G98" s="33"/>
      <c r="H98" s="33"/>
      <c r="I98" s="33"/>
      <c r="J98" s="33"/>
      <c r="K98" s="33"/>
      <c r="L98" s="34"/>
      <c r="M98" s="34"/>
      <c r="N98" s="34"/>
      <c r="O98" s="34"/>
      <c r="P98" s="33"/>
      <c r="Q98" s="35"/>
      <c r="R98" s="33"/>
      <c r="S98" s="33"/>
      <c r="T98" s="33"/>
      <c r="U98" s="33"/>
      <c r="V98" s="33"/>
      <c r="W98" s="33"/>
    </row>
    <row r="99" customFormat="false" ht="15" hidden="false" customHeight="false" outlineLevel="0" collapsed="false">
      <c r="A99" s="33"/>
      <c r="B99" s="33"/>
      <c r="C99" s="33"/>
      <c r="D99" s="33"/>
      <c r="E99" s="33"/>
      <c r="F99" s="33"/>
      <c r="G99" s="33"/>
      <c r="H99" s="33"/>
      <c r="I99" s="33"/>
      <c r="J99" s="33"/>
      <c r="K99" s="33"/>
      <c r="L99" s="34"/>
      <c r="M99" s="34"/>
      <c r="N99" s="34"/>
      <c r="O99" s="34"/>
      <c r="P99" s="33"/>
      <c r="Q99" s="35"/>
      <c r="R99" s="33"/>
      <c r="S99" s="33"/>
      <c r="T99" s="33"/>
      <c r="U99" s="33"/>
      <c r="V99" s="33"/>
      <c r="W99" s="33"/>
    </row>
    <row r="100" customFormat="false" ht="15" hidden="false" customHeight="false" outlineLevel="0" collapsed="false">
      <c r="A100" s="33"/>
      <c r="B100" s="33"/>
      <c r="C100" s="33"/>
      <c r="D100" s="33"/>
      <c r="E100" s="33"/>
      <c r="F100" s="33"/>
      <c r="G100" s="33"/>
      <c r="H100" s="33"/>
      <c r="I100" s="33"/>
      <c r="J100" s="33"/>
      <c r="K100" s="33"/>
      <c r="L100" s="34"/>
      <c r="M100" s="34"/>
      <c r="N100" s="34"/>
      <c r="O100" s="34"/>
      <c r="P100" s="33"/>
      <c r="Q100" s="35"/>
      <c r="R100" s="33"/>
      <c r="S100" s="33"/>
      <c r="T100" s="33"/>
      <c r="U100" s="33"/>
      <c r="V100" s="33"/>
      <c r="W100" s="33"/>
    </row>
    <row r="101" customFormat="false" ht="15" hidden="false" customHeight="false" outlineLevel="0" collapsed="false">
      <c r="A101" s="33"/>
      <c r="B101" s="33"/>
      <c r="C101" s="33"/>
      <c r="D101" s="33"/>
      <c r="E101" s="33"/>
      <c r="F101" s="33"/>
      <c r="G101" s="33"/>
      <c r="H101" s="33"/>
      <c r="I101" s="33"/>
      <c r="J101" s="33"/>
      <c r="K101" s="33"/>
      <c r="L101" s="34"/>
      <c r="M101" s="34"/>
      <c r="N101" s="34"/>
      <c r="O101" s="34"/>
      <c r="P101" s="33"/>
      <c r="Q101" s="35"/>
      <c r="R101" s="33"/>
      <c r="S101" s="33"/>
      <c r="T101" s="33"/>
      <c r="U101" s="33"/>
      <c r="V101" s="33"/>
      <c r="W101" s="33"/>
    </row>
    <row r="102" customFormat="false" ht="15" hidden="false" customHeight="false" outlineLevel="0" collapsed="false">
      <c r="A102" s="33"/>
      <c r="B102" s="33"/>
      <c r="C102" s="33"/>
      <c r="D102" s="33"/>
      <c r="E102" s="33"/>
      <c r="F102" s="33"/>
      <c r="G102" s="33"/>
      <c r="H102" s="33"/>
      <c r="I102" s="33"/>
      <c r="J102" s="33"/>
      <c r="K102" s="33"/>
      <c r="L102" s="34"/>
      <c r="M102" s="34"/>
      <c r="N102" s="34"/>
      <c r="O102" s="34"/>
      <c r="P102" s="33"/>
      <c r="Q102" s="35"/>
      <c r="R102" s="33"/>
      <c r="S102" s="33"/>
      <c r="T102" s="33"/>
      <c r="U102" s="33"/>
      <c r="V102" s="33"/>
      <c r="W102" s="33"/>
    </row>
    <row r="103" customFormat="false" ht="15" hidden="false" customHeight="false" outlineLevel="0" collapsed="false">
      <c r="A103" s="33"/>
      <c r="B103" s="33"/>
      <c r="C103" s="33"/>
      <c r="D103" s="33"/>
      <c r="E103" s="33"/>
      <c r="F103" s="33"/>
      <c r="G103" s="33"/>
      <c r="H103" s="33"/>
      <c r="I103" s="33"/>
      <c r="J103" s="33"/>
      <c r="K103" s="33"/>
      <c r="L103" s="34"/>
      <c r="M103" s="34"/>
      <c r="N103" s="34"/>
      <c r="O103" s="34"/>
      <c r="P103" s="33"/>
      <c r="Q103" s="35"/>
      <c r="R103" s="33"/>
      <c r="S103" s="33"/>
      <c r="T103" s="33"/>
      <c r="U103" s="33"/>
      <c r="V103" s="33"/>
      <c r="W103" s="33"/>
    </row>
    <row r="104" customFormat="false" ht="15" hidden="false" customHeight="false" outlineLevel="0" collapsed="false">
      <c r="A104" s="33"/>
      <c r="B104" s="33"/>
      <c r="C104" s="33"/>
      <c r="D104" s="33"/>
      <c r="E104" s="33"/>
      <c r="F104" s="33"/>
      <c r="G104" s="33"/>
      <c r="H104" s="33"/>
      <c r="I104" s="33"/>
      <c r="J104" s="33"/>
      <c r="K104" s="33"/>
      <c r="L104" s="34"/>
      <c r="M104" s="34"/>
      <c r="N104" s="34"/>
      <c r="O104" s="34"/>
      <c r="P104" s="33"/>
      <c r="Q104" s="35"/>
      <c r="R104" s="33"/>
      <c r="S104" s="33"/>
      <c r="T104" s="33"/>
      <c r="U104" s="33"/>
      <c r="V104" s="33"/>
      <c r="W104" s="33"/>
    </row>
    <row r="105" customFormat="false" ht="15" hidden="false" customHeight="false" outlineLevel="0" collapsed="false">
      <c r="A105" s="33"/>
      <c r="B105" s="33"/>
      <c r="C105" s="33"/>
      <c r="D105" s="33"/>
      <c r="E105" s="33"/>
      <c r="F105" s="33"/>
      <c r="G105" s="33"/>
      <c r="H105" s="33"/>
      <c r="I105" s="33"/>
      <c r="J105" s="33"/>
      <c r="K105" s="33"/>
      <c r="L105" s="34"/>
      <c r="M105" s="34"/>
      <c r="N105" s="34"/>
      <c r="O105" s="34"/>
      <c r="P105" s="33"/>
      <c r="Q105" s="35"/>
      <c r="R105" s="33"/>
      <c r="S105" s="33"/>
      <c r="T105" s="33"/>
      <c r="U105" s="33"/>
      <c r="V105" s="33"/>
      <c r="W105" s="33"/>
    </row>
    <row r="106" customFormat="false" ht="15" hidden="false" customHeight="false" outlineLevel="0" collapsed="false">
      <c r="A106" s="33"/>
      <c r="B106" s="33"/>
      <c r="C106" s="33"/>
      <c r="D106" s="33"/>
      <c r="E106" s="33"/>
      <c r="F106" s="33"/>
      <c r="G106" s="33"/>
      <c r="H106" s="33"/>
      <c r="I106" s="33"/>
      <c r="J106" s="33"/>
      <c r="K106" s="33"/>
      <c r="L106" s="34"/>
      <c r="M106" s="34"/>
      <c r="N106" s="34"/>
      <c r="O106" s="34"/>
      <c r="P106" s="33"/>
      <c r="Q106" s="35"/>
      <c r="R106" s="33"/>
      <c r="S106" s="33"/>
      <c r="T106" s="33"/>
      <c r="U106" s="33"/>
      <c r="V106" s="33"/>
      <c r="W106" s="33"/>
    </row>
    <row r="107" customFormat="false" ht="15" hidden="false" customHeight="false" outlineLevel="0" collapsed="false">
      <c r="A107" s="33"/>
      <c r="B107" s="33"/>
      <c r="C107" s="33"/>
      <c r="D107" s="33"/>
      <c r="E107" s="33"/>
      <c r="F107" s="33"/>
      <c r="G107" s="33"/>
      <c r="H107" s="33"/>
      <c r="I107" s="33"/>
      <c r="J107" s="33"/>
      <c r="K107" s="33"/>
      <c r="L107" s="34"/>
      <c r="M107" s="34"/>
      <c r="N107" s="34"/>
      <c r="O107" s="34"/>
      <c r="P107" s="33"/>
      <c r="Q107" s="35"/>
      <c r="R107" s="33"/>
      <c r="S107" s="33"/>
      <c r="T107" s="33"/>
      <c r="U107" s="33"/>
      <c r="V107" s="33"/>
      <c r="W107" s="33"/>
    </row>
    <row r="108" customFormat="false" ht="15" hidden="false" customHeight="false" outlineLevel="0" collapsed="false">
      <c r="A108" s="33"/>
      <c r="B108" s="33"/>
      <c r="C108" s="33"/>
      <c r="D108" s="33"/>
      <c r="E108" s="33"/>
      <c r="F108" s="33"/>
      <c r="G108" s="33"/>
      <c r="H108" s="33"/>
      <c r="I108" s="33"/>
      <c r="J108" s="33"/>
      <c r="K108" s="33"/>
      <c r="L108" s="34"/>
      <c r="M108" s="34"/>
      <c r="N108" s="34"/>
      <c r="O108" s="34"/>
      <c r="P108" s="33"/>
      <c r="Q108" s="35"/>
      <c r="R108" s="33"/>
      <c r="S108" s="33"/>
      <c r="T108" s="33"/>
      <c r="U108" s="33"/>
      <c r="V108" s="33"/>
      <c r="W108" s="33"/>
    </row>
    <row r="109" customFormat="false" ht="15" hidden="false" customHeight="false" outlineLevel="0" collapsed="false">
      <c r="A109" s="33"/>
      <c r="B109" s="33"/>
      <c r="C109" s="33"/>
      <c r="D109" s="33"/>
      <c r="E109" s="33"/>
      <c r="F109" s="33"/>
      <c r="G109" s="33"/>
      <c r="H109" s="33"/>
      <c r="I109" s="33"/>
      <c r="J109" s="33"/>
      <c r="K109" s="33"/>
      <c r="L109" s="34"/>
      <c r="M109" s="34"/>
      <c r="N109" s="34"/>
      <c r="O109" s="34"/>
      <c r="P109" s="33"/>
      <c r="Q109" s="35"/>
      <c r="R109" s="33"/>
      <c r="S109" s="33"/>
      <c r="T109" s="33"/>
      <c r="U109" s="33"/>
      <c r="V109" s="33"/>
      <c r="W109" s="33"/>
    </row>
    <row r="110" customFormat="false" ht="15" hidden="false" customHeight="false" outlineLevel="0" collapsed="false">
      <c r="A110" s="33"/>
      <c r="B110" s="33"/>
      <c r="C110" s="33"/>
      <c r="D110" s="33"/>
      <c r="E110" s="33"/>
      <c r="F110" s="33"/>
      <c r="G110" s="33"/>
      <c r="H110" s="33"/>
      <c r="I110" s="33"/>
      <c r="J110" s="33"/>
      <c r="K110" s="33"/>
      <c r="L110" s="34"/>
      <c r="M110" s="34"/>
      <c r="N110" s="34"/>
      <c r="O110" s="34"/>
      <c r="P110" s="33"/>
      <c r="Q110" s="35"/>
      <c r="R110" s="33"/>
      <c r="S110" s="33"/>
      <c r="T110" s="33"/>
      <c r="U110" s="33"/>
      <c r="V110" s="33"/>
      <c r="W110" s="33"/>
    </row>
    <row r="111" customFormat="false" ht="15" hidden="false" customHeight="false" outlineLevel="0" collapsed="false">
      <c r="A111" s="33"/>
      <c r="B111" s="33"/>
      <c r="C111" s="33"/>
      <c r="D111" s="33"/>
      <c r="E111" s="33"/>
      <c r="F111" s="33"/>
      <c r="G111" s="33"/>
      <c r="H111" s="33"/>
      <c r="I111" s="33"/>
      <c r="J111" s="33"/>
      <c r="K111" s="33"/>
      <c r="L111" s="34"/>
      <c r="M111" s="34"/>
      <c r="N111" s="34"/>
      <c r="O111" s="34"/>
      <c r="P111" s="33"/>
      <c r="Q111" s="35"/>
      <c r="R111" s="33"/>
      <c r="S111" s="33"/>
      <c r="T111" s="33"/>
      <c r="U111" s="33"/>
      <c r="V111" s="33"/>
      <c r="W111" s="33"/>
    </row>
    <row r="112" customFormat="false" ht="15" hidden="false" customHeight="false" outlineLevel="0" collapsed="false">
      <c r="A112" s="33"/>
      <c r="B112" s="33"/>
      <c r="C112" s="33"/>
      <c r="D112" s="33"/>
      <c r="E112" s="33"/>
      <c r="F112" s="33"/>
      <c r="G112" s="33"/>
      <c r="H112" s="33"/>
      <c r="I112" s="33"/>
      <c r="J112" s="33"/>
      <c r="K112" s="33"/>
      <c r="L112" s="34"/>
      <c r="M112" s="34"/>
      <c r="N112" s="34"/>
      <c r="O112" s="34"/>
      <c r="P112" s="33"/>
      <c r="Q112" s="35"/>
      <c r="R112" s="33"/>
      <c r="S112" s="33"/>
      <c r="T112" s="33"/>
      <c r="U112" s="33"/>
      <c r="V112" s="33"/>
      <c r="W112" s="33"/>
    </row>
    <row r="113" customFormat="false" ht="15" hidden="false" customHeight="false" outlineLevel="0" collapsed="false">
      <c r="A113" s="33"/>
      <c r="B113" s="33"/>
      <c r="C113" s="33"/>
      <c r="D113" s="33"/>
      <c r="E113" s="33"/>
      <c r="F113" s="33"/>
      <c r="G113" s="33"/>
      <c r="H113" s="33"/>
      <c r="I113" s="33"/>
      <c r="J113" s="33"/>
      <c r="K113" s="33"/>
      <c r="L113" s="34"/>
      <c r="M113" s="34"/>
      <c r="N113" s="34"/>
      <c r="O113" s="34"/>
      <c r="P113" s="33"/>
      <c r="Q113" s="35"/>
      <c r="R113" s="33"/>
      <c r="S113" s="33"/>
      <c r="T113" s="33"/>
      <c r="U113" s="33"/>
      <c r="V113" s="33"/>
      <c r="W113" s="33"/>
    </row>
    <row r="114" customFormat="false" ht="15" hidden="false" customHeight="false" outlineLevel="0" collapsed="false">
      <c r="A114" s="33"/>
      <c r="B114" s="33"/>
      <c r="C114" s="33"/>
      <c r="D114" s="33"/>
      <c r="E114" s="33"/>
      <c r="F114" s="33"/>
      <c r="G114" s="33"/>
      <c r="H114" s="33"/>
      <c r="I114" s="33"/>
      <c r="J114" s="33"/>
      <c r="K114" s="33"/>
      <c r="L114" s="34"/>
      <c r="M114" s="34"/>
      <c r="N114" s="34"/>
      <c r="O114" s="34"/>
      <c r="P114" s="33"/>
      <c r="Q114" s="35"/>
      <c r="R114" s="33"/>
      <c r="S114" s="33"/>
      <c r="T114" s="33"/>
      <c r="U114" s="33"/>
      <c r="V114" s="33"/>
      <c r="W114" s="33"/>
    </row>
    <row r="115" customFormat="false" ht="15" hidden="false" customHeight="false" outlineLevel="0" collapsed="false">
      <c r="A115" s="33"/>
      <c r="B115" s="33"/>
      <c r="C115" s="33"/>
      <c r="D115" s="33"/>
      <c r="E115" s="33"/>
      <c r="F115" s="33"/>
      <c r="G115" s="33"/>
      <c r="H115" s="33"/>
      <c r="I115" s="33"/>
      <c r="J115" s="33"/>
      <c r="K115" s="33"/>
      <c r="L115" s="34"/>
      <c r="M115" s="34"/>
      <c r="N115" s="34"/>
      <c r="O115" s="34"/>
      <c r="P115" s="33"/>
      <c r="Q115" s="35"/>
      <c r="R115" s="33"/>
      <c r="S115" s="33"/>
      <c r="T115" s="33"/>
      <c r="U115" s="33"/>
      <c r="V115" s="33"/>
      <c r="W115" s="33"/>
    </row>
    <row r="116" customFormat="false" ht="15" hidden="false" customHeight="false" outlineLevel="0" collapsed="false">
      <c r="A116" s="33"/>
      <c r="B116" s="33"/>
      <c r="C116" s="33"/>
      <c r="D116" s="33"/>
      <c r="E116" s="33"/>
      <c r="F116" s="33"/>
      <c r="G116" s="33"/>
      <c r="H116" s="33"/>
      <c r="I116" s="33"/>
      <c r="J116" s="33"/>
      <c r="K116" s="33"/>
      <c r="L116" s="34"/>
      <c r="M116" s="34"/>
      <c r="N116" s="34"/>
      <c r="O116" s="34"/>
      <c r="P116" s="33"/>
      <c r="Q116" s="35"/>
      <c r="R116" s="33"/>
      <c r="S116" s="33"/>
      <c r="T116" s="33"/>
      <c r="U116" s="33"/>
      <c r="V116" s="33"/>
      <c r="W116" s="33"/>
    </row>
    <row r="117" customFormat="false" ht="15" hidden="false" customHeight="false" outlineLevel="0" collapsed="false">
      <c r="A117" s="33"/>
      <c r="B117" s="33"/>
      <c r="C117" s="33"/>
      <c r="D117" s="33"/>
      <c r="E117" s="33"/>
      <c r="F117" s="33"/>
      <c r="G117" s="33"/>
      <c r="H117" s="33"/>
      <c r="I117" s="33"/>
      <c r="J117" s="33"/>
      <c r="K117" s="33"/>
      <c r="L117" s="34"/>
      <c r="M117" s="34"/>
      <c r="N117" s="34"/>
      <c r="O117" s="34"/>
      <c r="P117" s="33"/>
      <c r="Q117" s="35"/>
      <c r="R117" s="33"/>
      <c r="S117" s="33"/>
      <c r="T117" s="33"/>
      <c r="U117" s="33"/>
      <c r="V117" s="33"/>
      <c r="W117" s="33"/>
    </row>
    <row r="118" customFormat="false" ht="15" hidden="false" customHeight="false" outlineLevel="0" collapsed="false">
      <c r="A118" s="33"/>
      <c r="B118" s="33"/>
      <c r="C118" s="33"/>
      <c r="D118" s="33"/>
      <c r="E118" s="33"/>
      <c r="F118" s="33"/>
      <c r="G118" s="33"/>
      <c r="H118" s="33"/>
      <c r="I118" s="33"/>
      <c r="J118" s="33"/>
      <c r="K118" s="33"/>
      <c r="L118" s="34"/>
      <c r="M118" s="34"/>
      <c r="N118" s="34"/>
      <c r="O118" s="34"/>
      <c r="P118" s="33"/>
      <c r="Q118" s="35"/>
      <c r="R118" s="33"/>
      <c r="S118" s="33"/>
      <c r="T118" s="33"/>
      <c r="U118" s="33"/>
      <c r="V118" s="33"/>
      <c r="W118" s="33"/>
    </row>
    <row r="119" customFormat="false" ht="15" hidden="false" customHeight="false" outlineLevel="0" collapsed="false">
      <c r="A119" s="33"/>
      <c r="B119" s="33"/>
      <c r="C119" s="33"/>
      <c r="D119" s="33"/>
      <c r="E119" s="33"/>
      <c r="F119" s="33"/>
      <c r="G119" s="33"/>
      <c r="H119" s="33"/>
      <c r="I119" s="33"/>
      <c r="J119" s="33"/>
      <c r="K119" s="33"/>
      <c r="L119" s="34"/>
      <c r="M119" s="34"/>
      <c r="N119" s="34"/>
      <c r="O119" s="34"/>
      <c r="P119" s="33"/>
      <c r="Q119" s="35"/>
      <c r="R119" s="33"/>
      <c r="S119" s="33"/>
      <c r="T119" s="33"/>
      <c r="U119" s="33"/>
      <c r="V119" s="33"/>
      <c r="W119" s="33"/>
    </row>
    <row r="120" customFormat="false" ht="15" hidden="false" customHeight="false" outlineLevel="0" collapsed="false">
      <c r="A120" s="33"/>
      <c r="B120" s="33"/>
      <c r="C120" s="33"/>
      <c r="D120" s="33"/>
      <c r="E120" s="33"/>
      <c r="F120" s="33"/>
      <c r="G120" s="33"/>
      <c r="H120" s="33"/>
      <c r="I120" s="33"/>
      <c r="J120" s="33"/>
      <c r="K120" s="33"/>
      <c r="L120" s="34"/>
      <c r="M120" s="34"/>
      <c r="N120" s="34"/>
      <c r="O120" s="34"/>
      <c r="P120" s="33"/>
      <c r="Q120" s="35"/>
      <c r="R120" s="33"/>
      <c r="S120" s="33"/>
      <c r="T120" s="33"/>
      <c r="U120" s="33"/>
      <c r="V120" s="33"/>
      <c r="W120" s="33"/>
    </row>
    <row r="121" customFormat="false" ht="15" hidden="false" customHeight="false" outlineLevel="0" collapsed="false">
      <c r="A121" s="33"/>
      <c r="B121" s="33"/>
      <c r="C121" s="33"/>
      <c r="D121" s="33"/>
      <c r="E121" s="33"/>
      <c r="F121" s="33"/>
      <c r="G121" s="33"/>
      <c r="H121" s="33"/>
      <c r="I121" s="33"/>
      <c r="J121" s="33"/>
      <c r="K121" s="33"/>
      <c r="L121" s="34"/>
      <c r="M121" s="34"/>
      <c r="N121" s="34"/>
      <c r="O121" s="34"/>
      <c r="P121" s="33"/>
      <c r="Q121" s="35"/>
      <c r="R121" s="33"/>
      <c r="S121" s="33"/>
      <c r="T121" s="33"/>
      <c r="U121" s="33"/>
      <c r="V121" s="33"/>
      <c r="W121" s="33"/>
    </row>
    <row r="122" customFormat="false" ht="15" hidden="false" customHeight="false" outlineLevel="0" collapsed="false">
      <c r="A122" s="33"/>
      <c r="B122" s="33"/>
      <c r="C122" s="33"/>
      <c r="D122" s="33"/>
      <c r="E122" s="33"/>
      <c r="F122" s="33"/>
      <c r="G122" s="33"/>
      <c r="H122" s="33"/>
      <c r="I122" s="33"/>
      <c r="J122" s="33"/>
      <c r="K122" s="33"/>
      <c r="L122" s="34"/>
      <c r="M122" s="34"/>
      <c r="N122" s="34"/>
      <c r="O122" s="34"/>
      <c r="P122" s="33"/>
      <c r="Q122" s="35"/>
      <c r="R122" s="33"/>
      <c r="S122" s="33"/>
      <c r="T122" s="33"/>
      <c r="U122" s="33"/>
      <c r="V122" s="33"/>
      <c r="W122" s="33"/>
    </row>
    <row r="123" customFormat="false" ht="15" hidden="false" customHeight="false" outlineLevel="0" collapsed="false">
      <c r="A123" s="33"/>
      <c r="B123" s="33"/>
      <c r="C123" s="33"/>
      <c r="D123" s="33"/>
      <c r="E123" s="33"/>
      <c r="F123" s="33"/>
      <c r="G123" s="33"/>
      <c r="H123" s="33"/>
      <c r="I123" s="33"/>
      <c r="J123" s="33"/>
      <c r="K123" s="33"/>
      <c r="L123" s="34"/>
      <c r="M123" s="34"/>
      <c r="N123" s="34"/>
      <c r="O123" s="34"/>
      <c r="P123" s="33"/>
      <c r="Q123" s="35"/>
      <c r="R123" s="33"/>
      <c r="S123" s="33"/>
      <c r="T123" s="33"/>
      <c r="U123" s="33"/>
      <c r="V123" s="33"/>
      <c r="W123" s="33"/>
    </row>
    <row r="124" customFormat="false" ht="15" hidden="false" customHeight="false" outlineLevel="0" collapsed="false">
      <c r="A124" s="33"/>
      <c r="B124" s="33"/>
      <c r="C124" s="33"/>
      <c r="D124" s="33"/>
      <c r="E124" s="33"/>
      <c r="F124" s="33"/>
      <c r="G124" s="33"/>
      <c r="H124" s="33"/>
      <c r="I124" s="33"/>
      <c r="J124" s="33"/>
      <c r="K124" s="33"/>
      <c r="L124" s="34"/>
      <c r="M124" s="34"/>
      <c r="N124" s="34"/>
      <c r="O124" s="34"/>
      <c r="P124" s="33"/>
      <c r="Q124" s="35"/>
      <c r="R124" s="33"/>
      <c r="S124" s="33"/>
      <c r="T124" s="33"/>
      <c r="U124" s="33"/>
      <c r="V124" s="33"/>
      <c r="W124" s="33"/>
    </row>
    <row r="125" customFormat="false" ht="15" hidden="false" customHeight="false" outlineLevel="0" collapsed="false">
      <c r="A125" s="33"/>
      <c r="B125" s="33"/>
      <c r="C125" s="33"/>
      <c r="D125" s="33"/>
      <c r="E125" s="33"/>
      <c r="F125" s="33"/>
      <c r="G125" s="33"/>
      <c r="H125" s="33"/>
      <c r="I125" s="33"/>
      <c r="J125" s="33"/>
      <c r="K125" s="33"/>
      <c r="L125" s="34"/>
      <c r="M125" s="34"/>
      <c r="N125" s="34"/>
      <c r="O125" s="34"/>
      <c r="P125" s="33"/>
      <c r="Q125" s="35"/>
      <c r="R125" s="33"/>
      <c r="S125" s="33"/>
      <c r="T125" s="33"/>
      <c r="U125" s="33"/>
      <c r="V125" s="33"/>
      <c r="W125" s="33"/>
    </row>
    <row r="126" customFormat="false" ht="15" hidden="false" customHeight="false" outlineLevel="0" collapsed="false">
      <c r="A126" s="33"/>
      <c r="B126" s="33"/>
      <c r="C126" s="33"/>
      <c r="D126" s="33"/>
      <c r="E126" s="33"/>
      <c r="F126" s="33"/>
      <c r="G126" s="33"/>
      <c r="H126" s="33"/>
      <c r="I126" s="33"/>
      <c r="J126" s="33"/>
      <c r="K126" s="33"/>
      <c r="L126" s="34"/>
      <c r="M126" s="34"/>
      <c r="N126" s="34"/>
      <c r="O126" s="34"/>
      <c r="P126" s="33"/>
      <c r="Q126" s="35"/>
      <c r="R126" s="33"/>
      <c r="S126" s="33"/>
      <c r="T126" s="33"/>
      <c r="U126" s="33"/>
      <c r="V126" s="33"/>
      <c r="W126" s="33"/>
    </row>
    <row r="127" customFormat="false" ht="15" hidden="false" customHeight="false" outlineLevel="0" collapsed="false">
      <c r="A127" s="33"/>
      <c r="B127" s="33"/>
      <c r="C127" s="33"/>
      <c r="D127" s="33"/>
      <c r="E127" s="33"/>
      <c r="F127" s="33"/>
      <c r="G127" s="33"/>
      <c r="H127" s="33"/>
      <c r="I127" s="33"/>
      <c r="J127" s="33"/>
      <c r="K127" s="33"/>
      <c r="L127" s="34"/>
      <c r="M127" s="34"/>
      <c r="N127" s="34"/>
      <c r="O127" s="34"/>
      <c r="P127" s="33"/>
      <c r="Q127" s="35"/>
      <c r="R127" s="33"/>
      <c r="S127" s="33"/>
      <c r="T127" s="33"/>
      <c r="U127" s="33"/>
      <c r="V127" s="33"/>
      <c r="W127" s="33"/>
    </row>
    <row r="128" customFormat="false" ht="15" hidden="false" customHeight="false" outlineLevel="0" collapsed="false">
      <c r="A128" s="33"/>
      <c r="B128" s="33"/>
      <c r="C128" s="33"/>
      <c r="D128" s="33"/>
      <c r="E128" s="33"/>
      <c r="F128" s="33"/>
      <c r="G128" s="33"/>
      <c r="H128" s="33"/>
      <c r="I128" s="33"/>
      <c r="J128" s="33"/>
      <c r="K128" s="33"/>
      <c r="L128" s="34"/>
      <c r="M128" s="34"/>
      <c r="N128" s="34"/>
      <c r="O128" s="34"/>
      <c r="P128" s="33"/>
      <c r="Q128" s="35"/>
      <c r="R128" s="33"/>
      <c r="S128" s="33"/>
      <c r="T128" s="33"/>
      <c r="U128" s="33"/>
      <c r="V128" s="33"/>
      <c r="W128" s="33"/>
    </row>
    <row r="129" customFormat="false" ht="15" hidden="false" customHeight="false" outlineLevel="0" collapsed="false">
      <c r="A129" s="33"/>
      <c r="B129" s="33"/>
      <c r="C129" s="33"/>
      <c r="D129" s="33"/>
      <c r="E129" s="33"/>
      <c r="F129" s="33"/>
      <c r="G129" s="33"/>
      <c r="H129" s="33"/>
      <c r="I129" s="33"/>
      <c r="J129" s="33"/>
      <c r="K129" s="33"/>
      <c r="L129" s="34"/>
      <c r="M129" s="34"/>
      <c r="N129" s="34"/>
      <c r="O129" s="34"/>
      <c r="P129" s="33"/>
      <c r="Q129" s="35"/>
      <c r="R129" s="33"/>
      <c r="S129" s="33"/>
      <c r="T129" s="33"/>
      <c r="U129" s="33"/>
      <c r="V129" s="33"/>
      <c r="W129" s="33"/>
    </row>
    <row r="130" customFormat="false" ht="15" hidden="false" customHeight="false" outlineLevel="0" collapsed="false">
      <c r="A130" s="33"/>
      <c r="B130" s="33"/>
      <c r="C130" s="33"/>
      <c r="D130" s="33"/>
      <c r="E130" s="33"/>
      <c r="F130" s="33"/>
      <c r="G130" s="33"/>
      <c r="H130" s="33"/>
      <c r="I130" s="33"/>
      <c r="J130" s="33"/>
      <c r="K130" s="33"/>
      <c r="L130" s="34"/>
      <c r="M130" s="34"/>
      <c r="N130" s="34"/>
      <c r="O130" s="34"/>
      <c r="P130" s="33"/>
      <c r="Q130" s="35"/>
      <c r="R130" s="33"/>
      <c r="S130" s="33"/>
      <c r="T130" s="33"/>
      <c r="U130" s="33"/>
      <c r="V130" s="33"/>
      <c r="W130" s="33"/>
    </row>
    <row r="131" customFormat="false" ht="15" hidden="false" customHeight="false" outlineLevel="0" collapsed="false">
      <c r="A131" s="33"/>
      <c r="B131" s="33"/>
      <c r="C131" s="33"/>
      <c r="D131" s="33"/>
      <c r="E131" s="33"/>
      <c r="F131" s="33"/>
      <c r="G131" s="33"/>
      <c r="H131" s="33"/>
      <c r="I131" s="33"/>
      <c r="J131" s="33"/>
      <c r="K131" s="33"/>
      <c r="L131" s="34"/>
      <c r="M131" s="34"/>
      <c r="N131" s="34"/>
      <c r="O131" s="34"/>
      <c r="P131" s="33"/>
      <c r="Q131" s="35"/>
      <c r="R131" s="33"/>
      <c r="S131" s="33"/>
      <c r="T131" s="33"/>
      <c r="U131" s="33"/>
      <c r="V131" s="33"/>
      <c r="W131" s="33"/>
    </row>
    <row r="132" customFormat="false" ht="15" hidden="false" customHeight="false" outlineLevel="0" collapsed="false">
      <c r="A132" s="33"/>
      <c r="B132" s="33"/>
      <c r="C132" s="33"/>
      <c r="D132" s="33"/>
      <c r="E132" s="33"/>
      <c r="F132" s="33"/>
      <c r="G132" s="33"/>
      <c r="H132" s="33"/>
      <c r="I132" s="33"/>
      <c r="J132" s="33"/>
      <c r="K132" s="33"/>
      <c r="L132" s="34"/>
      <c r="M132" s="34"/>
      <c r="N132" s="34"/>
      <c r="O132" s="34"/>
      <c r="P132" s="33"/>
      <c r="Q132" s="35"/>
      <c r="R132" s="33"/>
      <c r="S132" s="33"/>
      <c r="T132" s="33"/>
      <c r="U132" s="33"/>
      <c r="V132" s="33"/>
      <c r="W132" s="33"/>
    </row>
    <row r="133" customFormat="false" ht="15" hidden="false" customHeight="false" outlineLevel="0" collapsed="false">
      <c r="A133" s="33"/>
      <c r="B133" s="33"/>
      <c r="C133" s="33"/>
      <c r="D133" s="33"/>
      <c r="E133" s="33"/>
      <c r="F133" s="33"/>
      <c r="G133" s="33"/>
      <c r="H133" s="33"/>
      <c r="I133" s="33"/>
      <c r="J133" s="33"/>
      <c r="K133" s="33"/>
      <c r="L133" s="34"/>
      <c r="M133" s="34"/>
      <c r="N133" s="34"/>
      <c r="O133" s="34"/>
      <c r="P133" s="33"/>
      <c r="Q133" s="35"/>
      <c r="R133" s="33"/>
      <c r="S133" s="33"/>
      <c r="T133" s="33"/>
      <c r="U133" s="33"/>
      <c r="V133" s="33"/>
      <c r="W133" s="33"/>
    </row>
    <row r="134" customFormat="false" ht="15" hidden="false" customHeight="false" outlineLevel="0" collapsed="false">
      <c r="A134" s="33"/>
      <c r="B134" s="33"/>
      <c r="C134" s="33"/>
      <c r="D134" s="33"/>
      <c r="E134" s="33"/>
      <c r="F134" s="33"/>
      <c r="G134" s="33"/>
      <c r="H134" s="33"/>
      <c r="I134" s="33"/>
      <c r="J134" s="33"/>
      <c r="K134" s="33"/>
      <c r="L134" s="34"/>
      <c r="M134" s="34"/>
      <c r="N134" s="34"/>
      <c r="O134" s="34"/>
      <c r="P134" s="33"/>
      <c r="Q134" s="35"/>
      <c r="R134" s="33"/>
      <c r="S134" s="33"/>
      <c r="T134" s="33"/>
      <c r="U134" s="33"/>
      <c r="V134" s="33"/>
      <c r="W134" s="33"/>
    </row>
    <row r="135" customFormat="false" ht="15" hidden="false" customHeight="false" outlineLevel="0" collapsed="false">
      <c r="A135" s="33"/>
      <c r="B135" s="33"/>
      <c r="C135" s="33"/>
      <c r="D135" s="33"/>
      <c r="E135" s="33"/>
      <c r="F135" s="33"/>
      <c r="G135" s="33"/>
      <c r="H135" s="33"/>
      <c r="I135" s="33"/>
      <c r="J135" s="33"/>
      <c r="K135" s="33"/>
      <c r="L135" s="34"/>
      <c r="M135" s="34"/>
      <c r="N135" s="34"/>
      <c r="O135" s="34"/>
      <c r="P135" s="33"/>
      <c r="Q135" s="35"/>
      <c r="R135" s="33"/>
      <c r="S135" s="33"/>
      <c r="T135" s="33"/>
      <c r="U135" s="33"/>
      <c r="V135" s="33"/>
      <c r="W135" s="33"/>
    </row>
    <row r="136" customFormat="false" ht="15" hidden="false" customHeight="false" outlineLevel="0" collapsed="false">
      <c r="A136" s="33"/>
      <c r="B136" s="33"/>
      <c r="C136" s="33"/>
      <c r="D136" s="33"/>
      <c r="E136" s="33"/>
      <c r="F136" s="33"/>
      <c r="G136" s="33"/>
      <c r="H136" s="33"/>
      <c r="I136" s="33"/>
      <c r="J136" s="33"/>
      <c r="K136" s="33"/>
      <c r="L136" s="34"/>
      <c r="M136" s="34"/>
      <c r="N136" s="34"/>
      <c r="O136" s="34"/>
      <c r="P136" s="33"/>
      <c r="Q136" s="35"/>
      <c r="R136" s="33"/>
      <c r="S136" s="33"/>
      <c r="T136" s="33"/>
      <c r="U136" s="33"/>
      <c r="V136" s="33"/>
      <c r="W136" s="33"/>
    </row>
    <row r="137" customFormat="false" ht="15" hidden="false" customHeight="false" outlineLevel="0" collapsed="false">
      <c r="A137" s="33"/>
      <c r="B137" s="33"/>
      <c r="C137" s="33"/>
      <c r="D137" s="33"/>
      <c r="E137" s="33"/>
      <c r="F137" s="33"/>
      <c r="G137" s="33"/>
      <c r="H137" s="33"/>
      <c r="I137" s="33"/>
      <c r="J137" s="33"/>
      <c r="K137" s="33"/>
      <c r="L137" s="34"/>
      <c r="M137" s="34"/>
      <c r="N137" s="34"/>
      <c r="O137" s="34"/>
      <c r="P137" s="33"/>
      <c r="Q137" s="35"/>
      <c r="R137" s="33"/>
      <c r="S137" s="33"/>
      <c r="T137" s="33"/>
      <c r="U137" s="33"/>
      <c r="V137" s="33"/>
      <c r="W137" s="33"/>
    </row>
    <row r="138" customFormat="false" ht="15" hidden="false" customHeight="false" outlineLevel="0" collapsed="false">
      <c r="A138" s="33"/>
      <c r="B138" s="33"/>
      <c r="C138" s="33"/>
      <c r="D138" s="33"/>
      <c r="E138" s="33"/>
      <c r="F138" s="33"/>
      <c r="G138" s="33"/>
      <c r="H138" s="33"/>
      <c r="I138" s="33"/>
      <c r="J138" s="33"/>
      <c r="K138" s="33"/>
      <c r="L138" s="34"/>
      <c r="M138" s="34"/>
      <c r="N138" s="34"/>
      <c r="O138" s="34"/>
      <c r="P138" s="33"/>
      <c r="Q138" s="35"/>
      <c r="R138" s="33"/>
      <c r="S138" s="33"/>
      <c r="T138" s="33"/>
      <c r="U138" s="33"/>
      <c r="V138" s="33"/>
      <c r="W138" s="33"/>
    </row>
    <row r="139" customFormat="false" ht="15" hidden="false" customHeight="false" outlineLevel="0" collapsed="false">
      <c r="A139" s="33"/>
      <c r="B139" s="33"/>
      <c r="C139" s="33"/>
      <c r="D139" s="33"/>
      <c r="E139" s="33"/>
      <c r="F139" s="33"/>
      <c r="G139" s="33"/>
      <c r="H139" s="33"/>
      <c r="I139" s="33"/>
      <c r="J139" s="33"/>
      <c r="K139" s="33"/>
      <c r="L139" s="34"/>
      <c r="M139" s="34"/>
      <c r="N139" s="34"/>
      <c r="O139" s="34"/>
      <c r="P139" s="33"/>
      <c r="Q139" s="35"/>
      <c r="R139" s="33"/>
      <c r="S139" s="33"/>
      <c r="T139" s="33"/>
      <c r="U139" s="33"/>
      <c r="V139" s="33"/>
      <c r="W139" s="33"/>
    </row>
    <row r="140" customFormat="false" ht="15" hidden="false" customHeight="false" outlineLevel="0" collapsed="false">
      <c r="A140" s="33"/>
      <c r="B140" s="33"/>
      <c r="C140" s="33"/>
      <c r="D140" s="33"/>
      <c r="E140" s="33"/>
      <c r="F140" s="33"/>
      <c r="G140" s="33"/>
      <c r="H140" s="33"/>
      <c r="I140" s="33"/>
      <c r="J140" s="33"/>
      <c r="K140" s="33"/>
      <c r="L140" s="34"/>
      <c r="M140" s="34"/>
      <c r="N140" s="34"/>
      <c r="O140" s="34"/>
      <c r="P140" s="33"/>
      <c r="Q140" s="35"/>
      <c r="R140" s="33"/>
      <c r="S140" s="33"/>
      <c r="T140" s="33"/>
      <c r="U140" s="33"/>
      <c r="V140" s="33"/>
      <c r="W140" s="33"/>
    </row>
    <row r="141" customFormat="false" ht="15" hidden="false" customHeight="false" outlineLevel="0" collapsed="false">
      <c r="A141" s="33"/>
      <c r="B141" s="33"/>
      <c r="C141" s="33"/>
      <c r="D141" s="33"/>
      <c r="E141" s="33"/>
      <c r="F141" s="33"/>
      <c r="G141" s="33"/>
      <c r="H141" s="33"/>
      <c r="I141" s="33"/>
      <c r="J141" s="33"/>
      <c r="K141" s="33"/>
      <c r="L141" s="34"/>
      <c r="M141" s="34"/>
      <c r="N141" s="34"/>
      <c r="O141" s="34"/>
      <c r="P141" s="33"/>
      <c r="Q141" s="35"/>
      <c r="R141" s="33"/>
      <c r="S141" s="33"/>
      <c r="T141" s="33"/>
      <c r="U141" s="33"/>
      <c r="V141" s="33"/>
      <c r="W141" s="33"/>
    </row>
    <row r="142" customFormat="false" ht="15" hidden="false" customHeight="false" outlineLevel="0" collapsed="false">
      <c r="A142" s="33"/>
      <c r="B142" s="33"/>
      <c r="C142" s="33"/>
      <c r="D142" s="33"/>
      <c r="E142" s="33"/>
      <c r="F142" s="33"/>
      <c r="G142" s="33"/>
      <c r="H142" s="33"/>
      <c r="I142" s="33"/>
      <c r="J142" s="33"/>
      <c r="K142" s="33"/>
      <c r="L142" s="34"/>
      <c r="M142" s="34"/>
      <c r="N142" s="34"/>
      <c r="O142" s="34"/>
      <c r="P142" s="33"/>
      <c r="Q142" s="35"/>
      <c r="R142" s="33"/>
      <c r="S142" s="33"/>
      <c r="T142" s="33"/>
      <c r="U142" s="33"/>
      <c r="V142" s="33"/>
      <c r="W142" s="33"/>
    </row>
    <row r="143" customFormat="false" ht="15" hidden="false" customHeight="false" outlineLevel="0" collapsed="false">
      <c r="A143" s="33"/>
      <c r="B143" s="33"/>
      <c r="C143" s="33"/>
      <c r="D143" s="33"/>
      <c r="E143" s="33"/>
      <c r="F143" s="33"/>
      <c r="G143" s="33"/>
      <c r="H143" s="33"/>
      <c r="I143" s="33"/>
      <c r="J143" s="33"/>
      <c r="K143" s="33"/>
      <c r="L143" s="34"/>
      <c r="M143" s="34"/>
      <c r="N143" s="34"/>
      <c r="O143" s="34"/>
      <c r="P143" s="33"/>
      <c r="Q143" s="35"/>
      <c r="R143" s="33"/>
      <c r="S143" s="33"/>
      <c r="T143" s="33"/>
      <c r="U143" s="33"/>
      <c r="V143" s="33"/>
      <c r="W143" s="33"/>
    </row>
    <row r="144" customFormat="false" ht="15" hidden="false" customHeight="false" outlineLevel="0" collapsed="false">
      <c r="A144" s="33"/>
      <c r="B144" s="33"/>
      <c r="C144" s="33"/>
      <c r="D144" s="33"/>
      <c r="E144" s="33"/>
      <c r="F144" s="33"/>
      <c r="G144" s="33"/>
      <c r="H144" s="33"/>
      <c r="I144" s="33"/>
      <c r="J144" s="33"/>
      <c r="K144" s="33"/>
      <c r="L144" s="34"/>
      <c r="M144" s="34"/>
      <c r="N144" s="34"/>
      <c r="O144" s="34"/>
      <c r="P144" s="33"/>
      <c r="Q144" s="35"/>
      <c r="R144" s="33"/>
      <c r="S144" s="33"/>
      <c r="T144" s="33"/>
      <c r="U144" s="33"/>
      <c r="V144" s="33"/>
      <c r="W144" s="33"/>
    </row>
    <row r="145" customFormat="false" ht="15" hidden="false" customHeight="false" outlineLevel="0" collapsed="false">
      <c r="A145" s="33"/>
      <c r="B145" s="33"/>
      <c r="C145" s="33"/>
      <c r="D145" s="33"/>
      <c r="E145" s="33"/>
      <c r="F145" s="33"/>
      <c r="G145" s="33"/>
      <c r="H145" s="33"/>
      <c r="I145" s="33"/>
      <c r="J145" s="33"/>
      <c r="K145" s="33"/>
      <c r="L145" s="34"/>
      <c r="M145" s="34"/>
      <c r="N145" s="34"/>
      <c r="O145" s="34"/>
      <c r="P145" s="33"/>
      <c r="Q145" s="35"/>
      <c r="R145" s="33"/>
      <c r="S145" s="33"/>
      <c r="T145" s="33"/>
      <c r="U145" s="33"/>
      <c r="V145" s="33"/>
      <c r="W145" s="33"/>
    </row>
    <row r="146" customFormat="false" ht="15" hidden="false" customHeight="false" outlineLevel="0" collapsed="false">
      <c r="A146" s="33"/>
      <c r="B146" s="33"/>
      <c r="C146" s="33"/>
      <c r="D146" s="33"/>
      <c r="E146" s="33"/>
      <c r="F146" s="33"/>
      <c r="G146" s="33"/>
      <c r="H146" s="33"/>
      <c r="I146" s="33"/>
      <c r="J146" s="33"/>
      <c r="K146" s="33"/>
      <c r="L146" s="34"/>
      <c r="M146" s="34"/>
      <c r="N146" s="34"/>
      <c r="O146" s="34"/>
      <c r="P146" s="33"/>
      <c r="Q146" s="35"/>
      <c r="R146" s="33"/>
      <c r="S146" s="33"/>
      <c r="T146" s="33"/>
      <c r="U146" s="33"/>
      <c r="V146" s="33"/>
      <c r="W146" s="33"/>
    </row>
    <row r="147" customFormat="false" ht="15" hidden="false" customHeight="false" outlineLevel="0" collapsed="false">
      <c r="A147" s="33"/>
      <c r="B147" s="33"/>
      <c r="C147" s="33"/>
      <c r="D147" s="33"/>
      <c r="E147" s="33"/>
      <c r="F147" s="33"/>
      <c r="G147" s="33"/>
      <c r="H147" s="33"/>
      <c r="I147" s="33"/>
      <c r="J147" s="33"/>
      <c r="K147" s="33"/>
      <c r="L147" s="34"/>
      <c r="M147" s="34"/>
      <c r="N147" s="34"/>
      <c r="O147" s="34"/>
      <c r="P147" s="33"/>
      <c r="Q147" s="35"/>
      <c r="R147" s="33"/>
      <c r="S147" s="33"/>
      <c r="T147" s="33"/>
      <c r="U147" s="33"/>
      <c r="V147" s="33"/>
      <c r="W147" s="33"/>
    </row>
    <row r="148" customFormat="false" ht="15" hidden="false" customHeight="false" outlineLevel="0" collapsed="false">
      <c r="A148" s="33"/>
      <c r="B148" s="33"/>
      <c r="C148" s="33"/>
      <c r="D148" s="33"/>
      <c r="E148" s="33"/>
      <c r="F148" s="33"/>
      <c r="G148" s="33"/>
      <c r="H148" s="33"/>
      <c r="I148" s="33"/>
      <c r="J148" s="33"/>
      <c r="K148" s="33"/>
      <c r="L148" s="34"/>
      <c r="M148" s="34"/>
      <c r="N148" s="34"/>
      <c r="O148" s="34"/>
      <c r="P148" s="33"/>
      <c r="Q148" s="35"/>
      <c r="R148" s="33"/>
      <c r="S148" s="33"/>
      <c r="T148" s="33"/>
      <c r="U148" s="33"/>
      <c r="V148" s="33"/>
      <c r="W148" s="33"/>
    </row>
    <row r="149" customFormat="false" ht="15" hidden="false" customHeight="false" outlineLevel="0" collapsed="false">
      <c r="A149" s="33"/>
      <c r="B149" s="33"/>
      <c r="C149" s="33"/>
      <c r="D149" s="33"/>
      <c r="E149" s="33"/>
      <c r="F149" s="33"/>
      <c r="G149" s="33"/>
      <c r="H149" s="33"/>
      <c r="I149" s="33"/>
      <c r="J149" s="33"/>
      <c r="K149" s="33"/>
      <c r="L149" s="34"/>
      <c r="M149" s="34"/>
      <c r="N149" s="34"/>
      <c r="O149" s="34"/>
      <c r="P149" s="33"/>
      <c r="Q149" s="35"/>
      <c r="R149" s="33"/>
      <c r="S149" s="33"/>
      <c r="T149" s="33"/>
      <c r="U149" s="33"/>
      <c r="V149" s="33"/>
      <c r="W149" s="33"/>
    </row>
    <row r="150" customFormat="false" ht="15" hidden="false" customHeight="false" outlineLevel="0" collapsed="false">
      <c r="A150" s="33"/>
      <c r="B150" s="33"/>
      <c r="C150" s="33"/>
      <c r="D150" s="33"/>
      <c r="E150" s="33"/>
      <c r="F150" s="33"/>
      <c r="G150" s="33"/>
      <c r="H150" s="33"/>
      <c r="I150" s="33"/>
      <c r="J150" s="33"/>
      <c r="K150" s="33"/>
      <c r="L150" s="34"/>
      <c r="M150" s="34"/>
      <c r="N150" s="34"/>
      <c r="O150" s="34"/>
      <c r="P150" s="33"/>
      <c r="Q150" s="35"/>
      <c r="R150" s="33"/>
      <c r="S150" s="33"/>
      <c r="T150" s="33"/>
      <c r="U150" s="33"/>
      <c r="V150" s="33"/>
      <c r="W150" s="33"/>
    </row>
    <row r="151" customFormat="false" ht="15" hidden="false" customHeight="false" outlineLevel="0" collapsed="false">
      <c r="A151" s="33"/>
      <c r="B151" s="33"/>
      <c r="C151" s="33"/>
      <c r="D151" s="33"/>
      <c r="E151" s="33"/>
      <c r="F151" s="33"/>
      <c r="G151" s="33"/>
      <c r="H151" s="33"/>
      <c r="I151" s="33"/>
      <c r="J151" s="33"/>
      <c r="K151" s="33"/>
      <c r="L151" s="34"/>
      <c r="M151" s="34"/>
      <c r="N151" s="34"/>
      <c r="O151" s="34"/>
      <c r="P151" s="33"/>
      <c r="Q151" s="35"/>
      <c r="R151" s="33"/>
      <c r="S151" s="33"/>
      <c r="T151" s="33"/>
      <c r="U151" s="33"/>
      <c r="V151" s="33"/>
      <c r="W151" s="33"/>
    </row>
    <row r="152" customFormat="false" ht="15" hidden="false" customHeight="false" outlineLevel="0" collapsed="false">
      <c r="A152" s="33"/>
      <c r="B152" s="33"/>
      <c r="C152" s="33"/>
      <c r="D152" s="33"/>
      <c r="E152" s="33"/>
      <c r="F152" s="33"/>
      <c r="G152" s="33"/>
      <c r="H152" s="33"/>
      <c r="I152" s="33"/>
      <c r="J152" s="33"/>
      <c r="K152" s="33"/>
      <c r="L152" s="34"/>
      <c r="M152" s="34"/>
      <c r="N152" s="34"/>
      <c r="O152" s="34"/>
      <c r="P152" s="33"/>
      <c r="Q152" s="35"/>
      <c r="R152" s="33"/>
      <c r="S152" s="33"/>
      <c r="T152" s="33"/>
      <c r="U152" s="33"/>
      <c r="V152" s="33"/>
      <c r="W152" s="33"/>
    </row>
    <row r="153" customFormat="false" ht="15" hidden="false" customHeight="false" outlineLevel="0" collapsed="false">
      <c r="A153" s="33"/>
      <c r="B153" s="33"/>
      <c r="C153" s="33"/>
      <c r="D153" s="33"/>
      <c r="E153" s="33"/>
      <c r="F153" s="33"/>
      <c r="G153" s="33"/>
      <c r="H153" s="33"/>
      <c r="I153" s="33"/>
      <c r="J153" s="33"/>
      <c r="K153" s="33"/>
      <c r="L153" s="34"/>
      <c r="M153" s="34"/>
      <c r="N153" s="34"/>
      <c r="O153" s="34"/>
      <c r="P153" s="33"/>
      <c r="Q153" s="35"/>
      <c r="R153" s="33"/>
      <c r="S153" s="33"/>
      <c r="T153" s="33"/>
      <c r="U153" s="33"/>
      <c r="V153" s="33"/>
      <c r="W153" s="33"/>
    </row>
    <row r="154" customFormat="false" ht="15" hidden="false" customHeight="false" outlineLevel="0" collapsed="false">
      <c r="A154" s="33"/>
      <c r="B154" s="33"/>
      <c r="C154" s="33"/>
      <c r="D154" s="33"/>
      <c r="E154" s="33"/>
      <c r="F154" s="33"/>
      <c r="G154" s="33"/>
      <c r="H154" s="33"/>
      <c r="I154" s="33"/>
      <c r="J154" s="33"/>
      <c r="K154" s="33"/>
      <c r="L154" s="34"/>
      <c r="M154" s="34"/>
      <c r="N154" s="34"/>
      <c r="O154" s="34"/>
      <c r="P154" s="33"/>
      <c r="Q154" s="35"/>
      <c r="R154" s="33"/>
      <c r="S154" s="33"/>
      <c r="T154" s="33"/>
      <c r="U154" s="33"/>
      <c r="V154" s="33"/>
      <c r="W154" s="33"/>
    </row>
    <row r="155" customFormat="false" ht="15" hidden="false" customHeight="false" outlineLevel="0" collapsed="false">
      <c r="A155" s="33"/>
      <c r="B155" s="33"/>
      <c r="C155" s="33"/>
      <c r="D155" s="33"/>
      <c r="E155" s="33"/>
      <c r="F155" s="33"/>
      <c r="G155" s="33"/>
      <c r="H155" s="33"/>
      <c r="I155" s="33"/>
      <c r="J155" s="33"/>
      <c r="K155" s="33"/>
      <c r="L155" s="34"/>
      <c r="M155" s="34"/>
      <c r="N155" s="34"/>
      <c r="O155" s="34"/>
      <c r="P155" s="33"/>
      <c r="Q155" s="35"/>
      <c r="R155" s="33"/>
      <c r="S155" s="33"/>
      <c r="T155" s="33"/>
      <c r="U155" s="33"/>
      <c r="V155" s="33"/>
      <c r="W155" s="33"/>
    </row>
    <row r="156" customFormat="false" ht="15" hidden="false" customHeight="false" outlineLevel="0" collapsed="false">
      <c r="A156" s="33"/>
      <c r="B156" s="33"/>
      <c r="C156" s="33"/>
      <c r="D156" s="33"/>
      <c r="E156" s="33"/>
      <c r="F156" s="33"/>
      <c r="G156" s="33"/>
      <c r="H156" s="33"/>
      <c r="I156" s="33"/>
      <c r="J156" s="33"/>
      <c r="K156" s="33"/>
      <c r="L156" s="34"/>
      <c r="M156" s="34"/>
      <c r="N156" s="34"/>
      <c r="O156" s="34"/>
      <c r="P156" s="33"/>
      <c r="Q156" s="35"/>
      <c r="R156" s="33"/>
      <c r="S156" s="33"/>
      <c r="T156" s="33"/>
      <c r="U156" s="33"/>
      <c r="V156" s="33"/>
      <c r="W156" s="33"/>
    </row>
    <row r="157" customFormat="false" ht="15" hidden="false" customHeight="false" outlineLevel="0" collapsed="false">
      <c r="A157" s="33"/>
      <c r="B157" s="33"/>
      <c r="C157" s="33"/>
      <c r="D157" s="33"/>
      <c r="E157" s="33"/>
      <c r="F157" s="33"/>
      <c r="G157" s="33"/>
      <c r="H157" s="33"/>
      <c r="I157" s="33"/>
      <c r="J157" s="33"/>
      <c r="K157" s="33"/>
      <c r="L157" s="34"/>
      <c r="M157" s="34"/>
      <c r="N157" s="34"/>
      <c r="O157" s="34"/>
      <c r="P157" s="33"/>
      <c r="Q157" s="35"/>
      <c r="R157" s="33"/>
      <c r="S157" s="33"/>
      <c r="T157" s="33"/>
      <c r="U157" s="33"/>
      <c r="V157" s="33"/>
      <c r="W157" s="33"/>
    </row>
    <row r="158" customFormat="false" ht="15" hidden="false" customHeight="false" outlineLevel="0" collapsed="false">
      <c r="A158" s="33"/>
      <c r="B158" s="33"/>
      <c r="C158" s="33"/>
      <c r="D158" s="33"/>
      <c r="E158" s="33"/>
      <c r="F158" s="33"/>
      <c r="G158" s="33"/>
      <c r="H158" s="33"/>
      <c r="I158" s="33"/>
      <c r="J158" s="33"/>
      <c r="K158" s="33"/>
      <c r="L158" s="34"/>
      <c r="M158" s="34"/>
      <c r="N158" s="34"/>
      <c r="O158" s="34"/>
      <c r="P158" s="33"/>
      <c r="Q158" s="35"/>
      <c r="R158" s="33"/>
      <c r="S158" s="33"/>
      <c r="T158" s="33"/>
      <c r="U158" s="33"/>
      <c r="V158" s="33"/>
      <c r="W158" s="33"/>
    </row>
    <row r="159" customFormat="false" ht="15" hidden="false" customHeight="false" outlineLevel="0" collapsed="false">
      <c r="A159" s="33"/>
      <c r="B159" s="33"/>
      <c r="C159" s="33"/>
      <c r="D159" s="33"/>
      <c r="E159" s="33"/>
      <c r="F159" s="33"/>
      <c r="G159" s="33"/>
      <c r="H159" s="33"/>
      <c r="I159" s="33"/>
      <c r="J159" s="33"/>
      <c r="K159" s="33"/>
      <c r="L159" s="34"/>
      <c r="M159" s="34"/>
      <c r="N159" s="34"/>
      <c r="O159" s="34"/>
      <c r="P159" s="33"/>
      <c r="Q159" s="35"/>
      <c r="R159" s="33"/>
      <c r="S159" s="33"/>
      <c r="T159" s="33"/>
      <c r="U159" s="33"/>
      <c r="V159" s="33"/>
      <c r="W159" s="33"/>
    </row>
    <row r="160" customFormat="false" ht="15" hidden="false" customHeight="false" outlineLevel="0" collapsed="false">
      <c r="A160" s="33"/>
      <c r="B160" s="33"/>
      <c r="C160" s="33"/>
      <c r="D160" s="33"/>
      <c r="E160" s="33"/>
      <c r="F160" s="33"/>
      <c r="G160" s="33"/>
      <c r="H160" s="33"/>
      <c r="I160" s="33"/>
      <c r="J160" s="33"/>
      <c r="K160" s="33"/>
      <c r="L160" s="34"/>
      <c r="M160" s="34"/>
      <c r="N160" s="34"/>
      <c r="O160" s="34"/>
      <c r="P160" s="33"/>
      <c r="Q160" s="35"/>
      <c r="R160" s="33"/>
      <c r="S160" s="33"/>
      <c r="T160" s="33"/>
      <c r="U160" s="33"/>
      <c r="V160" s="33"/>
      <c r="W160" s="33"/>
    </row>
    <row r="161" customFormat="false" ht="15" hidden="false" customHeight="false" outlineLevel="0" collapsed="false">
      <c r="A161" s="33"/>
      <c r="B161" s="33"/>
      <c r="C161" s="33"/>
      <c r="D161" s="33"/>
      <c r="E161" s="33"/>
      <c r="F161" s="33"/>
      <c r="G161" s="33"/>
      <c r="H161" s="33"/>
      <c r="I161" s="33"/>
      <c r="J161" s="33"/>
      <c r="K161" s="33"/>
      <c r="L161" s="34"/>
      <c r="M161" s="34"/>
      <c r="N161" s="34"/>
      <c r="O161" s="34"/>
      <c r="P161" s="33"/>
      <c r="Q161" s="35"/>
      <c r="R161" s="33"/>
      <c r="S161" s="33"/>
      <c r="T161" s="33"/>
      <c r="U161" s="33"/>
      <c r="V161" s="33"/>
      <c r="W161" s="33"/>
    </row>
    <row r="162" customFormat="false" ht="15" hidden="false" customHeight="false" outlineLevel="0" collapsed="false">
      <c r="A162" s="33"/>
      <c r="B162" s="33"/>
      <c r="C162" s="33"/>
      <c r="D162" s="33"/>
      <c r="E162" s="33"/>
      <c r="F162" s="33"/>
      <c r="G162" s="33"/>
      <c r="H162" s="33"/>
      <c r="I162" s="33"/>
      <c r="J162" s="33"/>
      <c r="K162" s="33"/>
      <c r="L162" s="34"/>
      <c r="M162" s="34"/>
      <c r="N162" s="34"/>
      <c r="O162" s="34"/>
      <c r="P162" s="33"/>
      <c r="Q162" s="35"/>
      <c r="R162" s="33"/>
      <c r="S162" s="33"/>
      <c r="T162" s="33"/>
      <c r="U162" s="33"/>
      <c r="V162" s="33"/>
      <c r="W162" s="33"/>
    </row>
    <row r="163" customFormat="false" ht="15" hidden="false" customHeight="false" outlineLevel="0" collapsed="false">
      <c r="A163" s="33"/>
      <c r="B163" s="33"/>
      <c r="C163" s="33"/>
      <c r="D163" s="33"/>
      <c r="E163" s="33"/>
      <c r="F163" s="33"/>
      <c r="G163" s="33"/>
      <c r="H163" s="33"/>
      <c r="I163" s="33"/>
      <c r="J163" s="33"/>
      <c r="K163" s="33"/>
      <c r="L163" s="34"/>
      <c r="M163" s="34"/>
      <c r="N163" s="34"/>
      <c r="O163" s="34"/>
      <c r="P163" s="33"/>
      <c r="Q163" s="35"/>
      <c r="R163" s="33"/>
      <c r="S163" s="33"/>
      <c r="T163" s="33"/>
      <c r="U163" s="33"/>
      <c r="V163" s="33"/>
      <c r="W163" s="33"/>
    </row>
    <row r="164" customFormat="false" ht="15" hidden="false" customHeight="false" outlineLevel="0" collapsed="false">
      <c r="A164" s="33"/>
      <c r="B164" s="33"/>
      <c r="C164" s="33"/>
      <c r="D164" s="33"/>
      <c r="E164" s="33"/>
      <c r="F164" s="33"/>
      <c r="G164" s="33"/>
      <c r="H164" s="33"/>
      <c r="I164" s="33"/>
      <c r="J164" s="33"/>
      <c r="K164" s="33"/>
      <c r="L164" s="34"/>
      <c r="M164" s="34"/>
      <c r="N164" s="34"/>
      <c r="O164" s="34"/>
      <c r="P164" s="33"/>
      <c r="Q164" s="35"/>
      <c r="R164" s="33"/>
      <c r="S164" s="33"/>
      <c r="T164" s="33"/>
      <c r="U164" s="33"/>
      <c r="V164" s="33"/>
      <c r="W164" s="33"/>
    </row>
    <row r="165" customFormat="false" ht="15" hidden="false" customHeight="false" outlineLevel="0" collapsed="false">
      <c r="A165" s="33"/>
      <c r="B165" s="33"/>
      <c r="C165" s="33"/>
      <c r="D165" s="33"/>
      <c r="E165" s="33"/>
      <c r="F165" s="33"/>
      <c r="G165" s="33"/>
      <c r="H165" s="33"/>
      <c r="I165" s="33"/>
      <c r="J165" s="33"/>
      <c r="K165" s="33"/>
      <c r="L165" s="34"/>
      <c r="M165" s="34"/>
      <c r="N165" s="34"/>
      <c r="O165" s="34"/>
      <c r="P165" s="33"/>
      <c r="Q165" s="35"/>
      <c r="R165" s="33"/>
      <c r="S165" s="33"/>
      <c r="T165" s="33"/>
      <c r="U165" s="33"/>
      <c r="V165" s="33"/>
      <c r="W165" s="33"/>
    </row>
    <row r="166" customFormat="false" ht="15" hidden="false" customHeight="false" outlineLevel="0" collapsed="false">
      <c r="A166" s="33"/>
      <c r="B166" s="33"/>
      <c r="C166" s="33"/>
      <c r="D166" s="33"/>
      <c r="E166" s="33"/>
      <c r="F166" s="33"/>
      <c r="G166" s="33"/>
      <c r="H166" s="33"/>
      <c r="I166" s="33"/>
      <c r="J166" s="33"/>
      <c r="K166" s="33"/>
      <c r="L166" s="34"/>
      <c r="M166" s="34"/>
      <c r="N166" s="34"/>
      <c r="O166" s="34"/>
      <c r="P166" s="33"/>
      <c r="Q166" s="35"/>
      <c r="R166" s="33"/>
      <c r="S166" s="33"/>
      <c r="T166" s="33"/>
      <c r="U166" s="33"/>
      <c r="V166" s="33"/>
      <c r="W166" s="33"/>
    </row>
    <row r="167" customFormat="false" ht="15" hidden="false" customHeight="false" outlineLevel="0" collapsed="false">
      <c r="A167" s="33"/>
      <c r="B167" s="33"/>
      <c r="C167" s="33"/>
      <c r="D167" s="33"/>
      <c r="E167" s="33"/>
      <c r="F167" s="33"/>
      <c r="G167" s="33"/>
      <c r="H167" s="33"/>
      <c r="I167" s="33"/>
      <c r="J167" s="33"/>
      <c r="K167" s="33"/>
      <c r="L167" s="34"/>
      <c r="M167" s="34"/>
      <c r="N167" s="34"/>
      <c r="O167" s="34"/>
      <c r="P167" s="33"/>
      <c r="Q167" s="35"/>
      <c r="R167" s="33"/>
      <c r="S167" s="33"/>
      <c r="T167" s="33"/>
      <c r="U167" s="33"/>
      <c r="V167" s="33"/>
      <c r="W167" s="33"/>
    </row>
    <row r="168" customFormat="false" ht="15" hidden="false" customHeight="false" outlineLevel="0" collapsed="false">
      <c r="A168" s="33"/>
      <c r="B168" s="33"/>
      <c r="C168" s="33"/>
      <c r="D168" s="33"/>
      <c r="E168" s="33"/>
      <c r="F168" s="33"/>
      <c r="G168" s="33"/>
      <c r="H168" s="33"/>
      <c r="I168" s="33"/>
      <c r="J168" s="33"/>
      <c r="K168" s="33"/>
      <c r="L168" s="34"/>
      <c r="M168" s="34"/>
      <c r="N168" s="34"/>
      <c r="O168" s="34"/>
      <c r="P168" s="33"/>
      <c r="Q168" s="35"/>
      <c r="R168" s="33"/>
      <c r="S168" s="33"/>
      <c r="T168" s="33"/>
      <c r="U168" s="33"/>
      <c r="V168" s="33"/>
      <c r="W168" s="33"/>
    </row>
    <row r="169" customFormat="false" ht="15" hidden="false" customHeight="false" outlineLevel="0" collapsed="false">
      <c r="A169" s="33"/>
      <c r="B169" s="33"/>
      <c r="C169" s="33"/>
      <c r="D169" s="33"/>
      <c r="E169" s="33"/>
      <c r="F169" s="33"/>
      <c r="G169" s="33"/>
      <c r="H169" s="33"/>
      <c r="I169" s="33"/>
      <c r="J169" s="33"/>
      <c r="K169" s="33"/>
      <c r="L169" s="34"/>
      <c r="M169" s="34"/>
      <c r="N169" s="34"/>
      <c r="O169" s="34"/>
      <c r="P169" s="33"/>
      <c r="Q169" s="35"/>
      <c r="R169" s="33"/>
      <c r="S169" s="33"/>
      <c r="T169" s="33"/>
      <c r="U169" s="33"/>
      <c r="V169" s="33"/>
      <c r="W169" s="33"/>
    </row>
    <row r="170" customFormat="false" ht="15" hidden="false" customHeight="false" outlineLevel="0" collapsed="false">
      <c r="A170" s="33"/>
      <c r="B170" s="33"/>
      <c r="C170" s="33"/>
      <c r="D170" s="33"/>
      <c r="E170" s="33"/>
      <c r="F170" s="33"/>
      <c r="G170" s="33"/>
      <c r="H170" s="33"/>
      <c r="I170" s="33"/>
      <c r="J170" s="33"/>
      <c r="K170" s="33"/>
      <c r="L170" s="34"/>
      <c r="M170" s="34"/>
      <c r="N170" s="34"/>
      <c r="O170" s="34"/>
      <c r="P170" s="33"/>
      <c r="Q170" s="35"/>
      <c r="R170" s="33"/>
      <c r="S170" s="33"/>
      <c r="T170" s="33"/>
      <c r="U170" s="33"/>
      <c r="V170" s="33"/>
      <c r="W170" s="33"/>
    </row>
    <row r="171" customFormat="false" ht="15" hidden="false" customHeight="false" outlineLevel="0" collapsed="false">
      <c r="A171" s="33"/>
      <c r="B171" s="33"/>
      <c r="C171" s="33"/>
      <c r="D171" s="33"/>
      <c r="E171" s="33"/>
      <c r="F171" s="33"/>
      <c r="G171" s="33"/>
      <c r="H171" s="33"/>
      <c r="I171" s="33"/>
      <c r="J171" s="33"/>
      <c r="K171" s="33"/>
      <c r="L171" s="34"/>
      <c r="M171" s="34"/>
      <c r="N171" s="34"/>
      <c r="O171" s="34"/>
      <c r="P171" s="33"/>
      <c r="Q171" s="35"/>
      <c r="R171" s="33"/>
      <c r="S171" s="33"/>
      <c r="T171" s="33"/>
      <c r="U171" s="33"/>
      <c r="V171" s="33"/>
      <c r="W171" s="33"/>
    </row>
    <row r="172" customFormat="false" ht="15" hidden="false" customHeight="false" outlineLevel="0" collapsed="false">
      <c r="A172" s="33"/>
      <c r="B172" s="33"/>
      <c r="C172" s="33"/>
      <c r="D172" s="33"/>
      <c r="E172" s="33"/>
      <c r="F172" s="33"/>
      <c r="G172" s="33"/>
      <c r="H172" s="33"/>
      <c r="I172" s="33"/>
      <c r="J172" s="33"/>
      <c r="K172" s="33"/>
      <c r="L172" s="34"/>
      <c r="M172" s="34"/>
      <c r="N172" s="34"/>
      <c r="O172" s="34"/>
      <c r="P172" s="33"/>
      <c r="Q172" s="35"/>
      <c r="R172" s="33"/>
      <c r="S172" s="33"/>
      <c r="T172" s="33"/>
      <c r="U172" s="33"/>
      <c r="V172" s="33"/>
      <c r="W172" s="33"/>
    </row>
    <row r="173" customFormat="false" ht="15" hidden="false" customHeight="false" outlineLevel="0" collapsed="false">
      <c r="A173" s="33"/>
      <c r="B173" s="33"/>
      <c r="C173" s="33"/>
      <c r="D173" s="33"/>
      <c r="E173" s="33"/>
      <c r="F173" s="33"/>
      <c r="G173" s="33"/>
      <c r="H173" s="33"/>
      <c r="I173" s="33"/>
      <c r="J173" s="33"/>
      <c r="K173" s="33"/>
      <c r="L173" s="34"/>
      <c r="M173" s="34"/>
      <c r="N173" s="34"/>
      <c r="O173" s="34"/>
      <c r="P173" s="33"/>
      <c r="Q173" s="35"/>
      <c r="R173" s="33"/>
      <c r="S173" s="33"/>
      <c r="T173" s="33"/>
      <c r="U173" s="33"/>
      <c r="V173" s="33"/>
      <c r="W173" s="33"/>
    </row>
    <row r="174" customFormat="false" ht="15" hidden="false" customHeight="false" outlineLevel="0" collapsed="false">
      <c r="A174" s="33"/>
      <c r="B174" s="33"/>
      <c r="C174" s="33"/>
      <c r="D174" s="33"/>
      <c r="E174" s="33"/>
      <c r="F174" s="33"/>
      <c r="G174" s="33"/>
      <c r="H174" s="33"/>
      <c r="I174" s="33"/>
      <c r="J174" s="33"/>
      <c r="K174" s="33"/>
      <c r="L174" s="34"/>
      <c r="M174" s="34"/>
      <c r="N174" s="34"/>
      <c r="O174" s="34"/>
      <c r="P174" s="33"/>
      <c r="Q174" s="35"/>
      <c r="R174" s="33"/>
      <c r="S174" s="33"/>
      <c r="T174" s="33"/>
      <c r="U174" s="33"/>
      <c r="V174" s="33"/>
      <c r="W174" s="33"/>
    </row>
    <row r="175" customFormat="false" ht="15" hidden="false" customHeight="false" outlineLevel="0" collapsed="false">
      <c r="A175" s="33"/>
      <c r="B175" s="33"/>
      <c r="C175" s="33"/>
      <c r="D175" s="33"/>
      <c r="E175" s="33"/>
      <c r="F175" s="33"/>
      <c r="G175" s="33"/>
      <c r="H175" s="33"/>
      <c r="I175" s="33"/>
      <c r="J175" s="33"/>
      <c r="K175" s="33"/>
      <c r="L175" s="34"/>
      <c r="M175" s="34"/>
      <c r="N175" s="34"/>
      <c r="O175" s="34"/>
      <c r="P175" s="33"/>
      <c r="Q175" s="35"/>
      <c r="R175" s="33"/>
      <c r="S175" s="33"/>
      <c r="T175" s="33"/>
      <c r="U175" s="33"/>
      <c r="V175" s="33"/>
      <c r="W175" s="33"/>
    </row>
    <row r="176" customFormat="false" ht="15" hidden="false" customHeight="false" outlineLevel="0" collapsed="false">
      <c r="A176" s="33"/>
      <c r="B176" s="33"/>
      <c r="C176" s="33"/>
      <c r="D176" s="33"/>
      <c r="E176" s="33"/>
      <c r="F176" s="33"/>
      <c r="G176" s="33"/>
      <c r="H176" s="33"/>
      <c r="I176" s="33"/>
      <c r="J176" s="33"/>
      <c r="K176" s="33"/>
      <c r="L176" s="34"/>
      <c r="M176" s="34"/>
      <c r="N176" s="34"/>
      <c r="O176" s="34"/>
      <c r="P176" s="33"/>
      <c r="Q176" s="35"/>
      <c r="R176" s="33"/>
      <c r="S176" s="33"/>
      <c r="T176" s="33"/>
      <c r="U176" s="33"/>
      <c r="V176" s="33"/>
      <c r="W176" s="33"/>
    </row>
    <row r="177" customFormat="false" ht="15" hidden="false" customHeight="false" outlineLevel="0" collapsed="false">
      <c r="A177" s="33"/>
      <c r="B177" s="33"/>
      <c r="C177" s="33"/>
      <c r="D177" s="33"/>
      <c r="E177" s="33"/>
      <c r="F177" s="33"/>
      <c r="G177" s="33"/>
      <c r="H177" s="33"/>
      <c r="I177" s="33"/>
      <c r="J177" s="33"/>
      <c r="K177" s="33"/>
      <c r="L177" s="34"/>
      <c r="M177" s="34"/>
      <c r="N177" s="34"/>
      <c r="O177" s="34"/>
      <c r="P177" s="33"/>
      <c r="Q177" s="35"/>
      <c r="R177" s="33"/>
      <c r="S177" s="33"/>
      <c r="T177" s="33"/>
      <c r="U177" s="33"/>
      <c r="V177" s="33"/>
      <c r="W177" s="33"/>
    </row>
    <row r="178" customFormat="false" ht="15" hidden="false" customHeight="false" outlineLevel="0" collapsed="false">
      <c r="A178" s="33"/>
      <c r="B178" s="33"/>
      <c r="C178" s="33"/>
      <c r="D178" s="33"/>
      <c r="E178" s="33"/>
      <c r="F178" s="33"/>
      <c r="G178" s="33"/>
      <c r="H178" s="33"/>
      <c r="I178" s="33"/>
      <c r="J178" s="33"/>
      <c r="K178" s="33"/>
      <c r="L178" s="34"/>
      <c r="M178" s="34"/>
      <c r="N178" s="34"/>
      <c r="O178" s="34"/>
      <c r="P178" s="33"/>
      <c r="Q178" s="35"/>
      <c r="R178" s="33"/>
      <c r="S178" s="33"/>
      <c r="T178" s="33"/>
      <c r="U178" s="33"/>
      <c r="V178" s="33"/>
      <c r="W178" s="33"/>
    </row>
    <row r="179" customFormat="false" ht="15" hidden="false" customHeight="false" outlineLevel="0" collapsed="false">
      <c r="A179" s="33"/>
      <c r="B179" s="33"/>
      <c r="C179" s="33"/>
      <c r="D179" s="33"/>
      <c r="E179" s="33"/>
      <c r="F179" s="33"/>
      <c r="G179" s="33"/>
      <c r="H179" s="33"/>
      <c r="I179" s="33"/>
      <c r="J179" s="33"/>
      <c r="K179" s="33"/>
      <c r="L179" s="34"/>
      <c r="M179" s="34"/>
      <c r="N179" s="34"/>
      <c r="O179" s="34"/>
      <c r="P179" s="33"/>
      <c r="Q179" s="35"/>
      <c r="R179" s="33"/>
      <c r="S179" s="33"/>
      <c r="T179" s="33"/>
      <c r="U179" s="33"/>
      <c r="V179" s="33"/>
      <c r="W179" s="33"/>
    </row>
    <row r="180" customFormat="false" ht="15" hidden="false" customHeight="false" outlineLevel="0" collapsed="false">
      <c r="A180" s="33"/>
      <c r="B180" s="33"/>
      <c r="C180" s="33"/>
      <c r="D180" s="33"/>
      <c r="E180" s="33"/>
      <c r="F180" s="33"/>
      <c r="G180" s="33"/>
      <c r="H180" s="33"/>
      <c r="I180" s="33"/>
      <c r="J180" s="33"/>
      <c r="K180" s="33"/>
      <c r="L180" s="34"/>
      <c r="M180" s="34"/>
      <c r="N180" s="34"/>
      <c r="O180" s="34"/>
      <c r="P180" s="33"/>
      <c r="Q180" s="35"/>
      <c r="R180" s="33"/>
      <c r="S180" s="33"/>
      <c r="T180" s="33"/>
      <c r="U180" s="33"/>
      <c r="V180" s="33"/>
      <c r="W180" s="33"/>
    </row>
    <row r="181" customFormat="false" ht="15" hidden="false" customHeight="false" outlineLevel="0" collapsed="false">
      <c r="A181" s="33"/>
      <c r="B181" s="33"/>
      <c r="C181" s="33"/>
      <c r="D181" s="33"/>
      <c r="E181" s="33"/>
      <c r="F181" s="33"/>
      <c r="G181" s="33"/>
      <c r="H181" s="33"/>
      <c r="I181" s="33"/>
      <c r="J181" s="33"/>
      <c r="K181" s="33"/>
      <c r="L181" s="34"/>
      <c r="M181" s="34"/>
      <c r="N181" s="34"/>
      <c r="O181" s="34"/>
      <c r="P181" s="33"/>
      <c r="Q181" s="35"/>
      <c r="R181" s="33"/>
      <c r="S181" s="33"/>
      <c r="T181" s="33"/>
      <c r="U181" s="33"/>
      <c r="V181" s="33"/>
      <c r="W181" s="33"/>
    </row>
    <row r="182" customFormat="false" ht="15" hidden="false" customHeight="false" outlineLevel="0" collapsed="false">
      <c r="A182" s="33"/>
      <c r="B182" s="33"/>
      <c r="C182" s="33"/>
      <c r="D182" s="33"/>
      <c r="E182" s="33"/>
      <c r="F182" s="33"/>
      <c r="G182" s="33"/>
      <c r="H182" s="33"/>
      <c r="I182" s="33"/>
      <c r="J182" s="33"/>
      <c r="K182" s="33"/>
      <c r="L182" s="34"/>
      <c r="M182" s="34"/>
      <c r="N182" s="34"/>
      <c r="O182" s="34"/>
      <c r="P182" s="33"/>
      <c r="Q182" s="35"/>
      <c r="R182" s="33"/>
      <c r="S182" s="33"/>
      <c r="T182" s="33"/>
      <c r="U182" s="33"/>
      <c r="V182" s="33"/>
      <c r="W182" s="33"/>
    </row>
    <row r="183" customFormat="false" ht="15" hidden="false" customHeight="false" outlineLevel="0" collapsed="false">
      <c r="A183" s="33"/>
      <c r="B183" s="33"/>
      <c r="C183" s="33"/>
      <c r="D183" s="33"/>
      <c r="E183" s="33"/>
      <c r="F183" s="33"/>
      <c r="G183" s="33"/>
      <c r="H183" s="33"/>
      <c r="I183" s="33"/>
      <c r="J183" s="33"/>
      <c r="K183" s="33"/>
      <c r="L183" s="34"/>
      <c r="M183" s="34"/>
      <c r="N183" s="34"/>
      <c r="O183" s="34"/>
      <c r="P183" s="33"/>
      <c r="Q183" s="35"/>
      <c r="R183" s="33"/>
      <c r="S183" s="33"/>
      <c r="T183" s="33"/>
      <c r="U183" s="33"/>
      <c r="V183" s="33"/>
      <c r="W183" s="33"/>
    </row>
    <row r="184" customFormat="false" ht="15" hidden="false" customHeight="false" outlineLevel="0" collapsed="false">
      <c r="A184" s="33"/>
      <c r="B184" s="33"/>
      <c r="C184" s="33"/>
      <c r="D184" s="33"/>
      <c r="E184" s="33"/>
      <c r="F184" s="33"/>
      <c r="G184" s="33"/>
      <c r="H184" s="33"/>
      <c r="I184" s="33"/>
      <c r="J184" s="33"/>
      <c r="K184" s="33"/>
      <c r="L184" s="34"/>
      <c r="M184" s="34"/>
      <c r="N184" s="34"/>
      <c r="O184" s="34"/>
      <c r="P184" s="33"/>
      <c r="Q184" s="35"/>
      <c r="R184" s="33"/>
      <c r="S184" s="33"/>
      <c r="T184" s="33"/>
      <c r="U184" s="33"/>
      <c r="V184" s="33"/>
      <c r="W184" s="33"/>
    </row>
    <row r="185" customFormat="false" ht="15" hidden="false" customHeight="false" outlineLevel="0" collapsed="false">
      <c r="A185" s="33"/>
      <c r="B185" s="33"/>
      <c r="C185" s="33"/>
      <c r="D185" s="33"/>
      <c r="E185" s="33"/>
      <c r="F185" s="33"/>
      <c r="G185" s="33"/>
      <c r="H185" s="33"/>
      <c r="I185" s="33"/>
      <c r="J185" s="33"/>
      <c r="K185" s="33"/>
      <c r="L185" s="34"/>
      <c r="M185" s="34"/>
      <c r="N185" s="34"/>
      <c r="O185" s="34"/>
      <c r="P185" s="33"/>
      <c r="Q185" s="35"/>
      <c r="R185" s="33"/>
      <c r="S185" s="33"/>
      <c r="T185" s="33"/>
      <c r="U185" s="33"/>
      <c r="V185" s="33"/>
      <c r="W185" s="33"/>
    </row>
    <row r="186" customFormat="false" ht="15" hidden="false" customHeight="false" outlineLevel="0" collapsed="false">
      <c r="A186" s="33"/>
      <c r="B186" s="33"/>
      <c r="C186" s="33"/>
      <c r="D186" s="33"/>
      <c r="E186" s="33"/>
      <c r="F186" s="33"/>
      <c r="G186" s="33"/>
      <c r="H186" s="33"/>
      <c r="I186" s="33"/>
      <c r="J186" s="33"/>
      <c r="K186" s="33"/>
      <c r="L186" s="34"/>
      <c r="M186" s="34"/>
      <c r="N186" s="34"/>
      <c r="O186" s="34"/>
      <c r="P186" s="33"/>
      <c r="Q186" s="35"/>
      <c r="R186" s="33"/>
      <c r="S186" s="33"/>
      <c r="T186" s="33"/>
      <c r="U186" s="33"/>
      <c r="V186" s="33"/>
      <c r="W186" s="33"/>
    </row>
    <row r="187" customFormat="false" ht="15" hidden="false" customHeight="false" outlineLevel="0" collapsed="false">
      <c r="A187" s="33"/>
      <c r="B187" s="33"/>
      <c r="C187" s="33"/>
      <c r="D187" s="33"/>
      <c r="E187" s="33"/>
      <c r="F187" s="33"/>
      <c r="G187" s="33"/>
      <c r="H187" s="33"/>
      <c r="I187" s="33"/>
      <c r="J187" s="33"/>
      <c r="K187" s="33"/>
      <c r="L187" s="34"/>
      <c r="M187" s="34"/>
      <c r="N187" s="34"/>
      <c r="O187" s="34"/>
      <c r="P187" s="33"/>
      <c r="Q187" s="35"/>
      <c r="R187" s="33"/>
      <c r="S187" s="33"/>
      <c r="T187" s="33"/>
      <c r="U187" s="33"/>
      <c r="V187" s="33"/>
      <c r="W187" s="33"/>
    </row>
    <row r="188" customFormat="false" ht="15" hidden="false" customHeight="false" outlineLevel="0" collapsed="false">
      <c r="A188" s="33"/>
      <c r="B188" s="33"/>
      <c r="C188" s="33"/>
      <c r="D188" s="33"/>
      <c r="E188" s="33"/>
      <c r="F188" s="33"/>
      <c r="G188" s="33"/>
      <c r="H188" s="33"/>
      <c r="I188" s="33"/>
      <c r="J188" s="33"/>
      <c r="K188" s="33"/>
      <c r="L188" s="34"/>
      <c r="M188" s="34"/>
      <c r="N188" s="34"/>
      <c r="O188" s="34"/>
      <c r="P188" s="33"/>
      <c r="Q188" s="35"/>
      <c r="R188" s="33"/>
      <c r="S188" s="33"/>
      <c r="T188" s="33"/>
      <c r="U188" s="33"/>
      <c r="V188" s="33"/>
      <c r="W188" s="33"/>
    </row>
    <row r="189" customFormat="false" ht="15" hidden="false" customHeight="false" outlineLevel="0" collapsed="false">
      <c r="A189" s="33"/>
      <c r="B189" s="33"/>
      <c r="C189" s="33"/>
      <c r="D189" s="33"/>
      <c r="E189" s="33"/>
      <c r="F189" s="33"/>
      <c r="G189" s="33"/>
      <c r="H189" s="33"/>
      <c r="I189" s="33"/>
      <c r="J189" s="33"/>
      <c r="K189" s="33"/>
      <c r="L189" s="34"/>
      <c r="M189" s="34"/>
      <c r="N189" s="34"/>
      <c r="O189" s="34"/>
      <c r="P189" s="33"/>
      <c r="Q189" s="35"/>
      <c r="R189" s="33"/>
      <c r="S189" s="33"/>
      <c r="T189" s="33"/>
      <c r="U189" s="33"/>
      <c r="V189" s="33"/>
      <c r="W189" s="33"/>
    </row>
    <row r="190" customFormat="false" ht="15" hidden="false" customHeight="false" outlineLevel="0" collapsed="false">
      <c r="A190" s="33"/>
      <c r="B190" s="33"/>
      <c r="C190" s="33"/>
      <c r="D190" s="33"/>
      <c r="E190" s="33"/>
      <c r="F190" s="33"/>
      <c r="G190" s="33"/>
      <c r="H190" s="33"/>
      <c r="I190" s="33"/>
      <c r="J190" s="33"/>
      <c r="K190" s="33"/>
      <c r="L190" s="34"/>
      <c r="M190" s="34"/>
      <c r="N190" s="34"/>
      <c r="O190" s="34"/>
      <c r="P190" s="33"/>
      <c r="Q190" s="35"/>
      <c r="R190" s="33"/>
      <c r="S190" s="33"/>
      <c r="T190" s="33"/>
      <c r="U190" s="33"/>
      <c r="V190" s="33"/>
      <c r="W190" s="33"/>
    </row>
    <row r="191" customFormat="false" ht="15" hidden="false" customHeight="false" outlineLevel="0" collapsed="false">
      <c r="A191" s="33"/>
      <c r="B191" s="33"/>
      <c r="C191" s="33"/>
      <c r="D191" s="33"/>
      <c r="E191" s="33"/>
      <c r="F191" s="33"/>
      <c r="G191" s="33"/>
      <c r="H191" s="33"/>
      <c r="I191" s="33"/>
      <c r="J191" s="33"/>
      <c r="K191" s="33"/>
      <c r="L191" s="34"/>
      <c r="M191" s="34"/>
      <c r="N191" s="34"/>
      <c r="O191" s="34"/>
      <c r="P191" s="33"/>
      <c r="Q191" s="35"/>
      <c r="R191" s="33"/>
      <c r="S191" s="33"/>
      <c r="T191" s="33"/>
      <c r="U191" s="33"/>
      <c r="V191" s="33"/>
      <c r="W191" s="33"/>
    </row>
    <row r="192" customFormat="false" ht="15" hidden="false" customHeight="false" outlineLevel="0" collapsed="false">
      <c r="A192" s="33"/>
      <c r="B192" s="33"/>
      <c r="C192" s="33"/>
      <c r="D192" s="33"/>
      <c r="E192" s="33"/>
      <c r="F192" s="33"/>
      <c r="G192" s="33"/>
      <c r="H192" s="33"/>
      <c r="I192" s="33"/>
      <c r="J192" s="33"/>
      <c r="K192" s="33"/>
      <c r="L192" s="34"/>
      <c r="M192" s="34"/>
      <c r="N192" s="34"/>
      <c r="O192" s="34"/>
      <c r="P192" s="33"/>
      <c r="Q192" s="35"/>
      <c r="R192" s="33"/>
      <c r="S192" s="33"/>
      <c r="T192" s="33"/>
      <c r="U192" s="33"/>
      <c r="V192" s="33"/>
      <c r="W192" s="33"/>
    </row>
    <row r="193" customFormat="false" ht="15" hidden="false" customHeight="false" outlineLevel="0" collapsed="false">
      <c r="A193" s="33"/>
      <c r="B193" s="33"/>
      <c r="C193" s="33"/>
      <c r="D193" s="33"/>
      <c r="E193" s="33"/>
      <c r="F193" s="33"/>
      <c r="G193" s="33"/>
      <c r="H193" s="33"/>
      <c r="I193" s="33"/>
      <c r="J193" s="33"/>
      <c r="K193" s="33"/>
      <c r="L193" s="34"/>
      <c r="M193" s="34"/>
      <c r="N193" s="34"/>
      <c r="O193" s="34"/>
      <c r="P193" s="33"/>
      <c r="Q193" s="35"/>
      <c r="R193" s="33"/>
      <c r="S193" s="33"/>
      <c r="T193" s="33"/>
      <c r="U193" s="33"/>
      <c r="V193" s="33"/>
      <c r="W193" s="33"/>
    </row>
    <row r="194" customFormat="false" ht="15" hidden="false" customHeight="false" outlineLevel="0" collapsed="false">
      <c r="A194" s="33"/>
      <c r="B194" s="33"/>
      <c r="C194" s="33"/>
      <c r="D194" s="33"/>
      <c r="E194" s="33"/>
      <c r="F194" s="33"/>
      <c r="G194" s="33"/>
      <c r="H194" s="33"/>
      <c r="I194" s="33"/>
      <c r="J194" s="33"/>
      <c r="K194" s="33"/>
      <c r="L194" s="34"/>
      <c r="M194" s="34"/>
      <c r="N194" s="34"/>
      <c r="O194" s="34"/>
      <c r="P194" s="33"/>
      <c r="Q194" s="35"/>
      <c r="R194" s="33"/>
      <c r="S194" s="33"/>
      <c r="T194" s="33"/>
      <c r="U194" s="33"/>
      <c r="V194" s="33"/>
      <c r="W194" s="33"/>
    </row>
    <row r="195" customFormat="false" ht="15" hidden="false" customHeight="false" outlineLevel="0" collapsed="false">
      <c r="A195" s="33"/>
      <c r="B195" s="33"/>
      <c r="C195" s="33"/>
      <c r="D195" s="33"/>
      <c r="E195" s="33"/>
      <c r="F195" s="33"/>
      <c r="G195" s="33"/>
      <c r="H195" s="33"/>
      <c r="I195" s="33"/>
      <c r="J195" s="33"/>
      <c r="K195" s="33"/>
      <c r="L195" s="34"/>
      <c r="M195" s="34"/>
      <c r="N195" s="34"/>
      <c r="O195" s="34"/>
      <c r="P195" s="33"/>
      <c r="Q195" s="35"/>
      <c r="R195" s="33"/>
      <c r="S195" s="33"/>
      <c r="T195" s="33"/>
      <c r="U195" s="33"/>
      <c r="V195" s="33"/>
      <c r="W195" s="33"/>
    </row>
    <row r="196" customFormat="false" ht="15" hidden="false" customHeight="false" outlineLevel="0" collapsed="false">
      <c r="A196" s="33"/>
      <c r="B196" s="33"/>
      <c r="C196" s="33"/>
      <c r="D196" s="33"/>
      <c r="E196" s="33"/>
      <c r="F196" s="33"/>
      <c r="G196" s="33"/>
      <c r="H196" s="33"/>
      <c r="I196" s="33"/>
      <c r="J196" s="33"/>
      <c r="K196" s="33"/>
      <c r="L196" s="34"/>
      <c r="M196" s="34"/>
      <c r="N196" s="34"/>
      <c r="O196" s="34"/>
      <c r="P196" s="33"/>
      <c r="Q196" s="35"/>
      <c r="R196" s="33"/>
      <c r="S196" s="33"/>
      <c r="T196" s="33"/>
      <c r="U196" s="33"/>
      <c r="V196" s="33"/>
      <c r="W196" s="33"/>
    </row>
    <row r="197" customFormat="false" ht="15" hidden="false" customHeight="false" outlineLevel="0" collapsed="false">
      <c r="A197" s="33"/>
      <c r="B197" s="33"/>
      <c r="C197" s="33"/>
      <c r="D197" s="33"/>
      <c r="E197" s="33"/>
      <c r="F197" s="33"/>
      <c r="G197" s="33"/>
      <c r="H197" s="33"/>
      <c r="I197" s="33"/>
      <c r="J197" s="33"/>
      <c r="K197" s="33"/>
      <c r="L197" s="34"/>
      <c r="M197" s="34"/>
      <c r="N197" s="34"/>
      <c r="O197" s="34"/>
      <c r="P197" s="33"/>
      <c r="Q197" s="35"/>
      <c r="R197" s="33"/>
      <c r="S197" s="33"/>
      <c r="T197" s="33"/>
      <c r="U197" s="33"/>
      <c r="V197" s="33"/>
      <c r="W197" s="33"/>
    </row>
    <row r="198" customFormat="false" ht="15" hidden="false" customHeight="false" outlineLevel="0" collapsed="false">
      <c r="A198" s="33"/>
      <c r="B198" s="33"/>
      <c r="C198" s="33"/>
      <c r="D198" s="33"/>
      <c r="E198" s="33"/>
      <c r="F198" s="33"/>
      <c r="G198" s="33"/>
      <c r="H198" s="33"/>
      <c r="I198" s="33"/>
      <c r="J198" s="33"/>
      <c r="K198" s="33"/>
      <c r="L198" s="34"/>
      <c r="M198" s="34"/>
      <c r="N198" s="34"/>
      <c r="O198" s="34"/>
      <c r="P198" s="33"/>
      <c r="Q198" s="35"/>
      <c r="R198" s="33"/>
      <c r="S198" s="33"/>
      <c r="T198" s="33"/>
      <c r="U198" s="33"/>
      <c r="V198" s="33"/>
      <c r="W198" s="33"/>
    </row>
    <row r="199" customFormat="false" ht="15" hidden="false" customHeight="false" outlineLevel="0" collapsed="false">
      <c r="A199" s="33"/>
      <c r="B199" s="33"/>
      <c r="C199" s="33"/>
      <c r="D199" s="33"/>
      <c r="E199" s="33"/>
      <c r="F199" s="33"/>
      <c r="G199" s="33"/>
      <c r="H199" s="33"/>
      <c r="I199" s="33"/>
      <c r="J199" s="33"/>
      <c r="K199" s="33"/>
      <c r="L199" s="34"/>
      <c r="M199" s="34"/>
      <c r="N199" s="34"/>
      <c r="O199" s="34"/>
      <c r="P199" s="33"/>
      <c r="Q199" s="35"/>
      <c r="R199" s="33"/>
      <c r="S199" s="33"/>
      <c r="T199" s="33"/>
      <c r="U199" s="33"/>
      <c r="V199" s="33"/>
      <c r="W199" s="33"/>
    </row>
    <row r="200" customFormat="false" ht="15" hidden="false" customHeight="false" outlineLevel="0" collapsed="false">
      <c r="A200" s="33"/>
      <c r="B200" s="33"/>
      <c r="C200" s="33"/>
      <c r="D200" s="33"/>
      <c r="E200" s="33"/>
      <c r="F200" s="33"/>
      <c r="G200" s="33"/>
      <c r="H200" s="33"/>
      <c r="I200" s="33"/>
      <c r="J200" s="33"/>
      <c r="K200" s="33"/>
      <c r="L200" s="34"/>
      <c r="M200" s="34"/>
      <c r="N200" s="34"/>
      <c r="O200" s="34"/>
      <c r="P200" s="33"/>
      <c r="Q200" s="35"/>
      <c r="R200" s="33"/>
      <c r="S200" s="33"/>
      <c r="T200" s="33"/>
      <c r="U200" s="33"/>
      <c r="V200" s="33"/>
      <c r="W200" s="33"/>
    </row>
    <row r="201" customFormat="false" ht="15" hidden="false" customHeight="false" outlineLevel="0" collapsed="false">
      <c r="A201" s="33"/>
      <c r="B201" s="33"/>
      <c r="C201" s="33"/>
      <c r="D201" s="33"/>
      <c r="E201" s="33"/>
      <c r="F201" s="33"/>
      <c r="G201" s="33"/>
      <c r="H201" s="33"/>
      <c r="I201" s="33"/>
      <c r="J201" s="33"/>
      <c r="K201" s="33"/>
      <c r="L201" s="34"/>
      <c r="M201" s="34"/>
      <c r="N201" s="34"/>
      <c r="O201" s="34"/>
      <c r="P201" s="33"/>
      <c r="Q201" s="35"/>
      <c r="R201" s="33"/>
      <c r="S201" s="33"/>
      <c r="T201" s="33"/>
      <c r="U201" s="33"/>
      <c r="V201" s="33"/>
      <c r="W201" s="33"/>
    </row>
    <row r="202" customFormat="false" ht="15" hidden="false" customHeight="false" outlineLevel="0" collapsed="false">
      <c r="A202" s="33"/>
      <c r="B202" s="33"/>
      <c r="C202" s="33"/>
      <c r="D202" s="33"/>
      <c r="E202" s="33"/>
      <c r="F202" s="33"/>
      <c r="G202" s="33"/>
      <c r="H202" s="33"/>
      <c r="I202" s="33"/>
      <c r="J202" s="33"/>
      <c r="K202" s="33"/>
      <c r="L202" s="34"/>
      <c r="M202" s="34"/>
      <c r="N202" s="34"/>
      <c r="O202" s="34"/>
      <c r="P202" s="33"/>
      <c r="Q202" s="35"/>
      <c r="R202" s="33"/>
      <c r="S202" s="33"/>
      <c r="T202" s="33"/>
      <c r="U202" s="33"/>
      <c r="V202" s="33"/>
      <c r="W202" s="33"/>
    </row>
    <row r="203" customFormat="false" ht="15" hidden="false" customHeight="false" outlineLevel="0" collapsed="false">
      <c r="A203" s="33"/>
      <c r="B203" s="33"/>
      <c r="C203" s="33"/>
      <c r="D203" s="33"/>
      <c r="E203" s="33"/>
      <c r="F203" s="33"/>
      <c r="G203" s="33"/>
      <c r="H203" s="33"/>
      <c r="I203" s="33"/>
      <c r="J203" s="33"/>
      <c r="K203" s="33"/>
      <c r="L203" s="34"/>
      <c r="M203" s="34"/>
      <c r="N203" s="34"/>
      <c r="O203" s="34"/>
      <c r="P203" s="33"/>
      <c r="Q203" s="35"/>
      <c r="R203" s="33"/>
      <c r="S203" s="33"/>
      <c r="T203" s="33"/>
      <c r="U203" s="33"/>
      <c r="V203" s="33"/>
      <c r="W203" s="33"/>
    </row>
    <row r="204" customFormat="false" ht="15" hidden="false" customHeight="false" outlineLevel="0" collapsed="false">
      <c r="A204" s="33"/>
      <c r="B204" s="33"/>
      <c r="C204" s="33"/>
      <c r="D204" s="33"/>
      <c r="E204" s="33"/>
      <c r="F204" s="33"/>
      <c r="G204" s="33"/>
      <c r="H204" s="33"/>
      <c r="I204" s="33"/>
      <c r="J204" s="33"/>
      <c r="K204" s="33"/>
      <c r="L204" s="34"/>
      <c r="M204" s="34"/>
      <c r="N204" s="34"/>
      <c r="O204" s="34"/>
      <c r="P204" s="33"/>
      <c r="Q204" s="35"/>
      <c r="R204" s="33"/>
      <c r="S204" s="33"/>
      <c r="T204" s="33"/>
      <c r="U204" s="33"/>
      <c r="V204" s="33"/>
      <c r="W204" s="33"/>
    </row>
    <row r="205" customFormat="false" ht="15" hidden="false" customHeight="false" outlineLevel="0" collapsed="false">
      <c r="A205" s="33"/>
      <c r="B205" s="33"/>
      <c r="C205" s="33"/>
      <c r="D205" s="33"/>
      <c r="E205" s="33"/>
      <c r="F205" s="33"/>
      <c r="G205" s="33"/>
      <c r="H205" s="33"/>
      <c r="I205" s="33"/>
      <c r="J205" s="33"/>
      <c r="K205" s="33"/>
      <c r="L205" s="34"/>
      <c r="M205" s="34"/>
      <c r="N205" s="34"/>
      <c r="O205" s="34"/>
      <c r="P205" s="33"/>
      <c r="Q205" s="35"/>
      <c r="R205" s="33"/>
      <c r="S205" s="33"/>
      <c r="T205" s="33"/>
      <c r="U205" s="33"/>
      <c r="V205" s="33"/>
      <c r="W205" s="33"/>
    </row>
    <row r="206" customFormat="false" ht="15" hidden="false" customHeight="false" outlineLevel="0" collapsed="false">
      <c r="A206" s="33"/>
      <c r="B206" s="33"/>
      <c r="C206" s="33"/>
      <c r="D206" s="33"/>
      <c r="E206" s="33"/>
      <c r="F206" s="33"/>
      <c r="G206" s="33"/>
      <c r="H206" s="33"/>
      <c r="I206" s="33"/>
      <c r="J206" s="33"/>
      <c r="K206" s="33"/>
      <c r="L206" s="34"/>
      <c r="M206" s="34"/>
      <c r="N206" s="34"/>
      <c r="O206" s="34"/>
      <c r="P206" s="33"/>
      <c r="Q206" s="35"/>
      <c r="R206" s="33"/>
      <c r="S206" s="33"/>
      <c r="T206" s="33"/>
      <c r="U206" s="33"/>
      <c r="V206" s="33"/>
      <c r="W206" s="33"/>
    </row>
    <row r="207" customFormat="false" ht="15" hidden="false" customHeight="false" outlineLevel="0" collapsed="false">
      <c r="A207" s="33"/>
      <c r="B207" s="33"/>
      <c r="C207" s="33"/>
      <c r="D207" s="33"/>
      <c r="E207" s="33"/>
      <c r="F207" s="33"/>
      <c r="G207" s="33"/>
      <c r="H207" s="33"/>
      <c r="I207" s="33"/>
      <c r="J207" s="33"/>
      <c r="K207" s="33"/>
      <c r="L207" s="34"/>
      <c r="M207" s="34"/>
      <c r="N207" s="34"/>
      <c r="O207" s="34"/>
      <c r="P207" s="33"/>
      <c r="Q207" s="35"/>
      <c r="R207" s="33"/>
      <c r="S207" s="33"/>
      <c r="T207" s="33"/>
      <c r="U207" s="33"/>
      <c r="V207" s="33"/>
      <c r="W207" s="33"/>
    </row>
    <row r="208" customFormat="false" ht="15" hidden="false" customHeight="false" outlineLevel="0" collapsed="false">
      <c r="A208" s="33"/>
      <c r="B208" s="33"/>
      <c r="C208" s="33"/>
      <c r="D208" s="33"/>
      <c r="E208" s="33"/>
      <c r="F208" s="33"/>
      <c r="G208" s="33"/>
      <c r="H208" s="33"/>
      <c r="I208" s="33"/>
      <c r="J208" s="33"/>
      <c r="K208" s="33"/>
      <c r="L208" s="34"/>
      <c r="M208" s="34"/>
      <c r="N208" s="34"/>
      <c r="O208" s="34"/>
      <c r="P208" s="33"/>
      <c r="Q208" s="35"/>
      <c r="R208" s="33"/>
      <c r="S208" s="33"/>
      <c r="T208" s="33"/>
      <c r="U208" s="33"/>
      <c r="V208" s="33"/>
      <c r="W208" s="33"/>
    </row>
    <row r="209" customFormat="false" ht="15" hidden="false" customHeight="false" outlineLevel="0" collapsed="false">
      <c r="A209" s="33"/>
      <c r="B209" s="33"/>
      <c r="C209" s="33"/>
      <c r="D209" s="33"/>
      <c r="E209" s="33"/>
      <c r="F209" s="33"/>
      <c r="G209" s="33"/>
      <c r="H209" s="33"/>
      <c r="I209" s="33"/>
      <c r="J209" s="33"/>
      <c r="K209" s="33"/>
      <c r="L209" s="34"/>
      <c r="M209" s="34"/>
      <c r="N209" s="34"/>
      <c r="O209" s="34"/>
      <c r="P209" s="33"/>
      <c r="Q209" s="35"/>
      <c r="R209" s="33"/>
      <c r="S209" s="33"/>
      <c r="T209" s="33"/>
      <c r="U209" s="33"/>
      <c r="V209" s="33"/>
      <c r="W209" s="33"/>
    </row>
    <row r="210" customFormat="false" ht="15" hidden="false" customHeight="false" outlineLevel="0" collapsed="false">
      <c r="A210" s="33"/>
      <c r="B210" s="33"/>
      <c r="C210" s="33"/>
      <c r="D210" s="33"/>
      <c r="E210" s="33"/>
      <c r="F210" s="33"/>
      <c r="G210" s="33"/>
      <c r="H210" s="33"/>
      <c r="I210" s="33"/>
      <c r="J210" s="33"/>
      <c r="K210" s="33"/>
      <c r="L210" s="34"/>
      <c r="M210" s="34"/>
      <c r="N210" s="34"/>
      <c r="O210" s="34"/>
      <c r="P210" s="33"/>
      <c r="Q210" s="35"/>
      <c r="R210" s="33"/>
      <c r="S210" s="33"/>
      <c r="T210" s="33"/>
      <c r="U210" s="33"/>
      <c r="V210" s="33"/>
      <c r="W210" s="33"/>
    </row>
    <row r="211" customFormat="false" ht="15" hidden="false" customHeight="false" outlineLevel="0" collapsed="false">
      <c r="A211" s="33"/>
      <c r="B211" s="33"/>
      <c r="C211" s="33"/>
      <c r="D211" s="33"/>
      <c r="E211" s="33"/>
      <c r="F211" s="33"/>
      <c r="G211" s="33"/>
      <c r="H211" s="33"/>
      <c r="I211" s="33"/>
      <c r="J211" s="33"/>
      <c r="K211" s="33"/>
      <c r="L211" s="34"/>
      <c r="M211" s="34"/>
      <c r="N211" s="34"/>
      <c r="O211" s="34"/>
      <c r="P211" s="33"/>
      <c r="Q211" s="35"/>
      <c r="R211" s="33"/>
      <c r="S211" s="33"/>
      <c r="T211" s="33"/>
      <c r="U211" s="33"/>
      <c r="V211" s="33"/>
      <c r="W211" s="33"/>
    </row>
    <row r="212" customFormat="false" ht="15" hidden="false" customHeight="false" outlineLevel="0" collapsed="false">
      <c r="A212" s="33"/>
      <c r="B212" s="33"/>
      <c r="C212" s="33"/>
      <c r="D212" s="33"/>
      <c r="E212" s="33"/>
      <c r="F212" s="33"/>
      <c r="G212" s="33"/>
      <c r="H212" s="33"/>
      <c r="I212" s="33"/>
      <c r="J212" s="33"/>
      <c r="K212" s="33"/>
      <c r="L212" s="34"/>
      <c r="M212" s="34"/>
      <c r="N212" s="34"/>
      <c r="O212" s="34"/>
      <c r="P212" s="33"/>
      <c r="Q212" s="35"/>
      <c r="R212" s="33"/>
      <c r="S212" s="33"/>
      <c r="T212" s="33"/>
      <c r="U212" s="33"/>
      <c r="V212" s="33"/>
      <c r="W212" s="33"/>
    </row>
    <row r="213" customFormat="false" ht="15" hidden="false" customHeight="false" outlineLevel="0" collapsed="false">
      <c r="A213" s="33"/>
      <c r="B213" s="33"/>
      <c r="C213" s="33"/>
      <c r="D213" s="33"/>
      <c r="E213" s="33"/>
      <c r="F213" s="33"/>
      <c r="G213" s="33"/>
      <c r="H213" s="33"/>
      <c r="I213" s="33"/>
      <c r="J213" s="33"/>
      <c r="K213" s="33"/>
      <c r="L213" s="34"/>
      <c r="M213" s="34"/>
      <c r="N213" s="34"/>
      <c r="O213" s="34"/>
      <c r="P213" s="33"/>
      <c r="Q213" s="35"/>
      <c r="R213" s="33"/>
      <c r="S213" s="33"/>
      <c r="T213" s="33"/>
      <c r="U213" s="33"/>
      <c r="V213" s="33"/>
      <c r="W213" s="33"/>
    </row>
    <row r="214" customFormat="false" ht="15" hidden="false" customHeight="false" outlineLevel="0" collapsed="false">
      <c r="A214" s="33"/>
      <c r="B214" s="33"/>
      <c r="C214" s="33"/>
      <c r="D214" s="33"/>
      <c r="E214" s="33"/>
      <c r="F214" s="33"/>
      <c r="G214" s="33"/>
      <c r="H214" s="33"/>
      <c r="I214" s="33"/>
      <c r="J214" s="33"/>
      <c r="K214" s="33"/>
      <c r="L214" s="34"/>
      <c r="M214" s="34"/>
      <c r="N214" s="34"/>
      <c r="O214" s="34"/>
      <c r="P214" s="33"/>
      <c r="Q214" s="35"/>
      <c r="R214" s="33"/>
      <c r="S214" s="33"/>
      <c r="T214" s="33"/>
      <c r="U214" s="33"/>
      <c r="V214" s="33"/>
      <c r="W214" s="33"/>
    </row>
    <row r="215" customFormat="false" ht="15" hidden="false" customHeight="false" outlineLevel="0" collapsed="false">
      <c r="A215" s="33"/>
      <c r="B215" s="33"/>
      <c r="C215" s="33"/>
      <c r="D215" s="33"/>
      <c r="E215" s="33"/>
      <c r="F215" s="33"/>
      <c r="G215" s="33"/>
      <c r="H215" s="33"/>
      <c r="I215" s="33"/>
      <c r="J215" s="33"/>
      <c r="K215" s="33"/>
      <c r="L215" s="34"/>
      <c r="M215" s="34"/>
      <c r="N215" s="34"/>
      <c r="O215" s="34"/>
      <c r="P215" s="33"/>
      <c r="Q215" s="35"/>
      <c r="R215" s="33"/>
      <c r="S215" s="33"/>
      <c r="T215" s="33"/>
      <c r="U215" s="33"/>
      <c r="V215" s="33"/>
      <c r="W215" s="33"/>
    </row>
    <row r="216" customFormat="false" ht="15" hidden="false" customHeight="false" outlineLevel="0" collapsed="false">
      <c r="A216" s="33"/>
      <c r="B216" s="33"/>
      <c r="C216" s="33"/>
      <c r="D216" s="33"/>
      <c r="E216" s="33"/>
      <c r="F216" s="33"/>
      <c r="G216" s="33"/>
      <c r="H216" s="33"/>
      <c r="I216" s="33"/>
      <c r="J216" s="33"/>
      <c r="K216" s="33"/>
      <c r="L216" s="34"/>
      <c r="M216" s="34"/>
      <c r="N216" s="34"/>
      <c r="O216" s="34"/>
      <c r="P216" s="33"/>
      <c r="Q216" s="35"/>
      <c r="R216" s="33"/>
      <c r="S216" s="33"/>
      <c r="T216" s="33"/>
      <c r="U216" s="33"/>
      <c r="V216" s="33"/>
      <c r="W216" s="33"/>
    </row>
    <row r="217" customFormat="false" ht="15" hidden="false" customHeight="false" outlineLevel="0" collapsed="false">
      <c r="A217" s="33"/>
      <c r="B217" s="33"/>
      <c r="C217" s="33"/>
      <c r="D217" s="33"/>
      <c r="E217" s="33"/>
      <c r="F217" s="33"/>
      <c r="G217" s="33"/>
      <c r="H217" s="33"/>
      <c r="I217" s="33"/>
      <c r="J217" s="33"/>
      <c r="K217" s="33"/>
      <c r="L217" s="34"/>
      <c r="M217" s="34"/>
      <c r="N217" s="34"/>
      <c r="O217" s="34"/>
      <c r="P217" s="33"/>
      <c r="Q217" s="35"/>
      <c r="R217" s="33"/>
      <c r="S217" s="33"/>
      <c r="T217" s="33"/>
      <c r="U217" s="33"/>
      <c r="V217" s="33"/>
      <c r="W217" s="33"/>
    </row>
    <row r="218" customFormat="false" ht="15" hidden="false" customHeight="false" outlineLevel="0" collapsed="false">
      <c r="A218" s="33"/>
      <c r="B218" s="33"/>
      <c r="C218" s="33"/>
      <c r="D218" s="33"/>
      <c r="E218" s="33"/>
      <c r="F218" s="33"/>
      <c r="G218" s="33"/>
      <c r="H218" s="33"/>
      <c r="I218" s="33"/>
      <c r="J218" s="33"/>
      <c r="K218" s="33"/>
      <c r="L218" s="34"/>
      <c r="M218" s="34"/>
      <c r="N218" s="34"/>
      <c r="O218" s="34"/>
      <c r="P218" s="33"/>
      <c r="Q218" s="35"/>
      <c r="R218" s="33"/>
      <c r="S218" s="33"/>
      <c r="T218" s="33"/>
      <c r="U218" s="33"/>
      <c r="V218" s="33"/>
      <c r="W218" s="33"/>
    </row>
    <row r="219" customFormat="false" ht="15" hidden="false" customHeight="false" outlineLevel="0" collapsed="false">
      <c r="A219" s="33"/>
      <c r="B219" s="33"/>
      <c r="C219" s="33"/>
      <c r="D219" s="33"/>
      <c r="E219" s="33"/>
      <c r="F219" s="33"/>
      <c r="G219" s="33"/>
      <c r="H219" s="33"/>
      <c r="I219" s="33"/>
      <c r="J219" s="33"/>
      <c r="K219" s="33"/>
      <c r="L219" s="34"/>
      <c r="M219" s="34"/>
      <c r="N219" s="34"/>
      <c r="O219" s="34"/>
      <c r="P219" s="33"/>
      <c r="Q219" s="35"/>
      <c r="R219" s="33"/>
      <c r="S219" s="33"/>
      <c r="T219" s="33"/>
      <c r="U219" s="33"/>
      <c r="V219" s="33"/>
      <c r="W219" s="33"/>
    </row>
    <row r="220" customFormat="false" ht="15" hidden="false" customHeight="false" outlineLevel="0" collapsed="false">
      <c r="A220" s="33"/>
      <c r="B220" s="33"/>
      <c r="C220" s="33"/>
      <c r="D220" s="33"/>
      <c r="E220" s="33"/>
      <c r="F220" s="33"/>
      <c r="G220" s="33"/>
      <c r="H220" s="33"/>
      <c r="I220" s="33"/>
      <c r="J220" s="33"/>
      <c r="K220" s="33"/>
      <c r="L220" s="34"/>
      <c r="M220" s="34"/>
      <c r="N220" s="34"/>
      <c r="O220" s="34"/>
      <c r="P220" s="33"/>
      <c r="Q220" s="35"/>
      <c r="R220" s="33"/>
      <c r="S220" s="33"/>
      <c r="T220" s="33"/>
      <c r="U220" s="33"/>
      <c r="V220" s="33"/>
      <c r="W220" s="33"/>
    </row>
    <row r="221" customFormat="false" ht="15" hidden="false" customHeight="false" outlineLevel="0" collapsed="false">
      <c r="A221" s="33"/>
      <c r="B221" s="33"/>
      <c r="C221" s="33"/>
      <c r="D221" s="33"/>
      <c r="E221" s="33"/>
      <c r="F221" s="33"/>
      <c r="G221" s="33"/>
      <c r="H221" s="33"/>
      <c r="I221" s="33"/>
      <c r="J221" s="33"/>
      <c r="K221" s="33"/>
      <c r="L221" s="34"/>
      <c r="M221" s="34"/>
      <c r="N221" s="34"/>
      <c r="O221" s="34"/>
      <c r="P221" s="33"/>
      <c r="Q221" s="35"/>
      <c r="R221" s="33"/>
      <c r="S221" s="33"/>
      <c r="T221" s="33"/>
      <c r="U221" s="33"/>
      <c r="V221" s="33"/>
      <c r="W221" s="33"/>
    </row>
    <row r="222" customFormat="false" ht="15" hidden="false" customHeight="false" outlineLevel="0" collapsed="false">
      <c r="A222" s="33"/>
      <c r="B222" s="33"/>
      <c r="C222" s="33"/>
      <c r="D222" s="33"/>
      <c r="E222" s="33"/>
      <c r="F222" s="33"/>
      <c r="G222" s="33"/>
      <c r="H222" s="33"/>
      <c r="I222" s="33"/>
      <c r="J222" s="33"/>
      <c r="K222" s="33"/>
      <c r="L222" s="34"/>
      <c r="M222" s="34"/>
      <c r="N222" s="34"/>
      <c r="O222" s="34"/>
      <c r="P222" s="33"/>
      <c r="Q222" s="35"/>
      <c r="R222" s="33"/>
      <c r="S222" s="33"/>
      <c r="T222" s="33"/>
      <c r="U222" s="33"/>
      <c r="V222" s="33"/>
      <c r="W222" s="33"/>
    </row>
    <row r="223" customFormat="false" ht="15" hidden="false" customHeight="false" outlineLevel="0" collapsed="false">
      <c r="A223" s="33"/>
      <c r="B223" s="33"/>
      <c r="C223" s="33"/>
      <c r="D223" s="33"/>
      <c r="E223" s="33"/>
      <c r="F223" s="33"/>
      <c r="G223" s="33"/>
      <c r="H223" s="33"/>
      <c r="I223" s="33"/>
      <c r="J223" s="33"/>
      <c r="K223" s="33"/>
      <c r="L223" s="34"/>
      <c r="M223" s="34"/>
      <c r="N223" s="34"/>
      <c r="O223" s="34"/>
      <c r="P223" s="33"/>
      <c r="Q223" s="35"/>
      <c r="R223" s="33"/>
      <c r="S223" s="33"/>
      <c r="T223" s="33"/>
      <c r="U223" s="33"/>
      <c r="V223" s="33"/>
      <c r="W223" s="33"/>
    </row>
    <row r="224" customFormat="false" ht="15" hidden="false" customHeight="false" outlineLevel="0" collapsed="false">
      <c r="A224" s="33"/>
      <c r="B224" s="33"/>
      <c r="C224" s="33"/>
      <c r="D224" s="33"/>
      <c r="E224" s="33"/>
      <c r="F224" s="33"/>
      <c r="G224" s="33"/>
      <c r="H224" s="33"/>
      <c r="I224" s="33"/>
      <c r="J224" s="33"/>
      <c r="K224" s="33"/>
      <c r="L224" s="34"/>
      <c r="M224" s="34"/>
      <c r="N224" s="34"/>
      <c r="O224" s="34"/>
      <c r="P224" s="33"/>
      <c r="Q224" s="35"/>
      <c r="R224" s="33"/>
      <c r="S224" s="33"/>
      <c r="T224" s="33"/>
      <c r="U224" s="33"/>
      <c r="V224" s="33"/>
      <c r="W224" s="33"/>
    </row>
    <row r="225" customFormat="false" ht="15" hidden="false" customHeight="false" outlineLevel="0" collapsed="false">
      <c r="A225" s="33"/>
      <c r="B225" s="33"/>
      <c r="C225" s="33"/>
      <c r="D225" s="33"/>
      <c r="E225" s="33"/>
      <c r="F225" s="33"/>
      <c r="G225" s="33"/>
      <c r="H225" s="33"/>
      <c r="I225" s="33"/>
      <c r="J225" s="33"/>
      <c r="K225" s="33"/>
      <c r="L225" s="34"/>
      <c r="M225" s="34"/>
      <c r="N225" s="34"/>
      <c r="O225" s="34"/>
      <c r="P225" s="33"/>
      <c r="Q225" s="35"/>
      <c r="R225" s="33"/>
      <c r="S225" s="33"/>
      <c r="T225" s="33"/>
      <c r="U225" s="33"/>
      <c r="V225" s="33"/>
      <c r="W225" s="33"/>
    </row>
    <row r="226" customFormat="false" ht="15" hidden="false" customHeight="false" outlineLevel="0" collapsed="false">
      <c r="A226" s="33"/>
      <c r="B226" s="33"/>
      <c r="C226" s="33"/>
      <c r="D226" s="33"/>
      <c r="E226" s="33"/>
      <c r="F226" s="33"/>
      <c r="G226" s="33"/>
      <c r="H226" s="33"/>
      <c r="I226" s="33"/>
      <c r="J226" s="33"/>
      <c r="K226" s="33"/>
      <c r="L226" s="34"/>
      <c r="M226" s="34"/>
      <c r="N226" s="34"/>
      <c r="O226" s="34"/>
      <c r="P226" s="33"/>
      <c r="Q226" s="35"/>
      <c r="R226" s="33"/>
      <c r="S226" s="33"/>
      <c r="T226" s="33"/>
      <c r="U226" s="33"/>
      <c r="V226" s="33"/>
      <c r="W226" s="33"/>
    </row>
    <row r="227" customFormat="false" ht="15" hidden="false" customHeight="false" outlineLevel="0" collapsed="false">
      <c r="A227" s="33"/>
      <c r="B227" s="33"/>
      <c r="C227" s="33"/>
      <c r="D227" s="33"/>
      <c r="E227" s="33"/>
      <c r="F227" s="33"/>
      <c r="G227" s="33"/>
      <c r="H227" s="33"/>
      <c r="I227" s="33"/>
      <c r="J227" s="33"/>
      <c r="K227" s="33"/>
      <c r="L227" s="34"/>
      <c r="M227" s="34"/>
      <c r="N227" s="34"/>
      <c r="O227" s="34"/>
      <c r="P227" s="33"/>
      <c r="Q227" s="35"/>
      <c r="R227" s="33"/>
      <c r="S227" s="33"/>
      <c r="T227" s="33"/>
      <c r="U227" s="33"/>
      <c r="V227" s="33"/>
      <c r="W227" s="33"/>
    </row>
    <row r="228" customFormat="false" ht="15" hidden="false" customHeight="false" outlineLevel="0" collapsed="false">
      <c r="A228" s="33"/>
      <c r="B228" s="33"/>
      <c r="C228" s="33"/>
      <c r="D228" s="33"/>
      <c r="E228" s="33"/>
      <c r="F228" s="33"/>
      <c r="G228" s="33"/>
      <c r="H228" s="33"/>
      <c r="I228" s="33"/>
      <c r="J228" s="33"/>
      <c r="K228" s="33"/>
      <c r="L228" s="34"/>
      <c r="M228" s="34"/>
      <c r="N228" s="34"/>
      <c r="O228" s="34"/>
      <c r="P228" s="33"/>
      <c r="Q228" s="35"/>
      <c r="R228" s="33"/>
      <c r="S228" s="33"/>
      <c r="T228" s="33"/>
      <c r="U228" s="33"/>
      <c r="V228" s="33"/>
      <c r="W228" s="33"/>
    </row>
    <row r="229" customFormat="false" ht="15" hidden="false" customHeight="false" outlineLevel="0" collapsed="false">
      <c r="A229" s="33"/>
      <c r="B229" s="33"/>
      <c r="C229" s="33"/>
      <c r="D229" s="33"/>
      <c r="E229" s="33"/>
      <c r="F229" s="33"/>
      <c r="G229" s="33"/>
      <c r="H229" s="33"/>
      <c r="I229" s="33"/>
      <c r="J229" s="33"/>
      <c r="K229" s="33"/>
      <c r="L229" s="34"/>
      <c r="M229" s="34"/>
      <c r="N229" s="34"/>
      <c r="O229" s="34"/>
      <c r="P229" s="33"/>
      <c r="Q229" s="35"/>
      <c r="R229" s="33"/>
      <c r="S229" s="33"/>
      <c r="T229" s="33"/>
      <c r="U229" s="33"/>
      <c r="V229" s="33"/>
      <c r="W229" s="33"/>
    </row>
    <row r="230" customFormat="false" ht="15" hidden="false" customHeight="false" outlineLevel="0" collapsed="false">
      <c r="A230" s="33"/>
      <c r="B230" s="33"/>
      <c r="C230" s="33"/>
      <c r="D230" s="33"/>
      <c r="E230" s="33"/>
      <c r="F230" s="33"/>
      <c r="G230" s="33"/>
      <c r="H230" s="33"/>
      <c r="I230" s="33"/>
      <c r="J230" s="33"/>
      <c r="K230" s="33"/>
      <c r="L230" s="34"/>
      <c r="M230" s="34"/>
      <c r="N230" s="34"/>
      <c r="O230" s="34"/>
      <c r="P230" s="33"/>
      <c r="Q230" s="35"/>
      <c r="R230" s="33"/>
      <c r="S230" s="33"/>
      <c r="T230" s="33"/>
      <c r="U230" s="33"/>
      <c r="V230" s="33"/>
      <c r="W230" s="33"/>
    </row>
    <row r="231" customFormat="false" ht="15" hidden="false" customHeight="false" outlineLevel="0" collapsed="false">
      <c r="A231" s="33"/>
      <c r="B231" s="33"/>
      <c r="C231" s="33"/>
      <c r="D231" s="33"/>
      <c r="E231" s="33"/>
      <c r="F231" s="33"/>
      <c r="G231" s="33"/>
      <c r="H231" s="33"/>
      <c r="I231" s="33"/>
      <c r="J231" s="33"/>
      <c r="K231" s="33"/>
      <c r="L231" s="34"/>
      <c r="M231" s="34"/>
      <c r="N231" s="34"/>
      <c r="O231" s="34"/>
      <c r="P231" s="33"/>
      <c r="Q231" s="35"/>
      <c r="R231" s="33"/>
      <c r="S231" s="33"/>
      <c r="T231" s="33"/>
      <c r="U231" s="33"/>
      <c r="V231" s="33"/>
      <c r="W231" s="33"/>
    </row>
    <row r="232" customFormat="false" ht="15" hidden="false" customHeight="false" outlineLevel="0" collapsed="false">
      <c r="A232" s="33"/>
      <c r="B232" s="33"/>
      <c r="C232" s="33"/>
      <c r="D232" s="33"/>
      <c r="E232" s="33"/>
      <c r="F232" s="33"/>
      <c r="G232" s="33"/>
      <c r="H232" s="33"/>
      <c r="I232" s="33"/>
      <c r="J232" s="33"/>
      <c r="K232" s="33"/>
      <c r="L232" s="34"/>
      <c r="M232" s="34"/>
      <c r="N232" s="34"/>
      <c r="O232" s="34"/>
      <c r="P232" s="33"/>
      <c r="Q232" s="35"/>
      <c r="R232" s="33"/>
      <c r="S232" s="33"/>
      <c r="T232" s="33"/>
      <c r="U232" s="33"/>
      <c r="V232" s="33"/>
      <c r="W232" s="33"/>
    </row>
    <row r="233" customFormat="false" ht="15" hidden="false" customHeight="false" outlineLevel="0" collapsed="false">
      <c r="A233" s="33"/>
      <c r="B233" s="33"/>
      <c r="C233" s="33"/>
      <c r="D233" s="33"/>
      <c r="E233" s="33"/>
      <c r="F233" s="33"/>
      <c r="G233" s="33"/>
      <c r="H233" s="33"/>
      <c r="I233" s="33"/>
      <c r="J233" s="33"/>
      <c r="K233" s="33"/>
      <c r="L233" s="34"/>
      <c r="M233" s="34"/>
      <c r="N233" s="34"/>
      <c r="O233" s="34"/>
      <c r="P233" s="33"/>
      <c r="Q233" s="35"/>
      <c r="R233" s="33"/>
      <c r="S233" s="33"/>
      <c r="T233" s="33"/>
      <c r="U233" s="33"/>
      <c r="V233" s="33"/>
      <c r="W233" s="33"/>
    </row>
    <row r="234" customFormat="false" ht="15" hidden="false" customHeight="false" outlineLevel="0" collapsed="false">
      <c r="A234" s="33"/>
      <c r="B234" s="33"/>
      <c r="C234" s="33"/>
      <c r="D234" s="33"/>
      <c r="E234" s="33"/>
      <c r="F234" s="33"/>
      <c r="G234" s="33"/>
      <c r="H234" s="33"/>
      <c r="I234" s="33"/>
      <c r="J234" s="33"/>
      <c r="K234" s="33"/>
      <c r="L234" s="34"/>
      <c r="M234" s="34"/>
      <c r="N234" s="34"/>
      <c r="O234" s="34"/>
      <c r="P234" s="33"/>
      <c r="Q234" s="35"/>
      <c r="R234" s="33"/>
      <c r="S234" s="33"/>
      <c r="T234" s="33"/>
      <c r="U234" s="33"/>
      <c r="V234" s="33"/>
      <c r="W234" s="33"/>
    </row>
    <row r="235" customFormat="false" ht="15" hidden="false" customHeight="false" outlineLevel="0" collapsed="false">
      <c r="A235" s="33"/>
      <c r="B235" s="33"/>
      <c r="C235" s="33"/>
      <c r="D235" s="33"/>
      <c r="E235" s="33"/>
      <c r="F235" s="33"/>
      <c r="G235" s="33"/>
      <c r="H235" s="33"/>
      <c r="I235" s="33"/>
      <c r="J235" s="33"/>
      <c r="K235" s="33"/>
      <c r="L235" s="34"/>
      <c r="M235" s="34"/>
      <c r="N235" s="34"/>
      <c r="O235" s="34"/>
      <c r="P235" s="33"/>
      <c r="Q235" s="35"/>
      <c r="R235" s="33"/>
      <c r="S235" s="33"/>
      <c r="T235" s="33"/>
      <c r="U235" s="33"/>
      <c r="V235" s="33"/>
      <c r="W235" s="33"/>
    </row>
    <row r="236" customFormat="false" ht="15" hidden="false" customHeight="false" outlineLevel="0" collapsed="false">
      <c r="A236" s="33"/>
      <c r="B236" s="33"/>
      <c r="C236" s="33"/>
      <c r="D236" s="33"/>
      <c r="E236" s="33"/>
      <c r="F236" s="33"/>
      <c r="G236" s="33"/>
      <c r="H236" s="33"/>
      <c r="I236" s="33"/>
      <c r="J236" s="33"/>
      <c r="K236" s="33"/>
      <c r="L236" s="34"/>
      <c r="M236" s="34"/>
      <c r="N236" s="34"/>
      <c r="O236" s="34"/>
      <c r="P236" s="33"/>
      <c r="Q236" s="35"/>
      <c r="R236" s="33"/>
      <c r="S236" s="33"/>
      <c r="T236" s="33"/>
      <c r="U236" s="33"/>
      <c r="V236" s="33"/>
      <c r="W236" s="33"/>
    </row>
    <row r="237" customFormat="false" ht="15" hidden="false" customHeight="false" outlineLevel="0" collapsed="false">
      <c r="A237" s="33"/>
      <c r="B237" s="33"/>
      <c r="C237" s="33"/>
      <c r="D237" s="33"/>
      <c r="E237" s="33"/>
      <c r="F237" s="33"/>
      <c r="G237" s="33"/>
      <c r="H237" s="33"/>
      <c r="I237" s="33"/>
      <c r="J237" s="33"/>
      <c r="K237" s="33"/>
      <c r="L237" s="34"/>
      <c r="M237" s="34"/>
      <c r="N237" s="34"/>
      <c r="O237" s="34"/>
      <c r="P237" s="33"/>
      <c r="Q237" s="35"/>
      <c r="R237" s="33"/>
      <c r="S237" s="33"/>
      <c r="T237" s="33"/>
      <c r="U237" s="33"/>
      <c r="V237" s="33"/>
      <c r="W237" s="33"/>
    </row>
    <row r="238" customFormat="false" ht="15" hidden="false" customHeight="false" outlineLevel="0" collapsed="false">
      <c r="A238" s="33"/>
      <c r="B238" s="33"/>
      <c r="C238" s="33"/>
      <c r="D238" s="33"/>
      <c r="E238" s="33"/>
      <c r="F238" s="33"/>
      <c r="G238" s="33"/>
      <c r="H238" s="33"/>
      <c r="I238" s="33"/>
      <c r="J238" s="33"/>
      <c r="K238" s="33"/>
      <c r="L238" s="34"/>
      <c r="M238" s="34"/>
      <c r="N238" s="34"/>
      <c r="O238" s="34"/>
      <c r="P238" s="33"/>
      <c r="Q238" s="35"/>
      <c r="R238" s="33"/>
      <c r="S238" s="33"/>
      <c r="T238" s="33"/>
      <c r="U238" s="33"/>
      <c r="V238" s="33"/>
      <c r="W238" s="33"/>
    </row>
    <row r="239" customFormat="false" ht="15" hidden="false" customHeight="false" outlineLevel="0" collapsed="false">
      <c r="A239" s="33"/>
      <c r="B239" s="33"/>
      <c r="C239" s="33"/>
      <c r="D239" s="33"/>
      <c r="E239" s="33"/>
      <c r="F239" s="33"/>
      <c r="G239" s="33"/>
      <c r="H239" s="33"/>
      <c r="I239" s="33"/>
      <c r="J239" s="33"/>
      <c r="K239" s="33"/>
      <c r="L239" s="34"/>
      <c r="M239" s="34"/>
      <c r="N239" s="34"/>
      <c r="O239" s="34"/>
      <c r="P239" s="33"/>
      <c r="Q239" s="35"/>
      <c r="R239" s="33"/>
      <c r="S239" s="33"/>
      <c r="T239" s="33"/>
      <c r="U239" s="33"/>
      <c r="V239" s="33"/>
      <c r="W239" s="33"/>
    </row>
    <row r="240" customFormat="false" ht="15" hidden="false" customHeight="false" outlineLevel="0" collapsed="false">
      <c r="A240" s="33"/>
      <c r="B240" s="33"/>
      <c r="C240" s="33"/>
      <c r="D240" s="33"/>
      <c r="E240" s="33"/>
      <c r="F240" s="33"/>
      <c r="G240" s="33"/>
      <c r="H240" s="33"/>
      <c r="I240" s="33"/>
      <c r="J240" s="33"/>
      <c r="K240" s="33"/>
      <c r="L240" s="34"/>
      <c r="M240" s="34"/>
      <c r="N240" s="34"/>
      <c r="O240" s="34"/>
      <c r="P240" s="33"/>
      <c r="Q240" s="35"/>
      <c r="R240" s="33"/>
      <c r="S240" s="33"/>
      <c r="T240" s="33"/>
      <c r="U240" s="33"/>
      <c r="V240" s="33"/>
      <c r="W240" s="33"/>
    </row>
    <row r="241" customFormat="false" ht="15" hidden="false" customHeight="false" outlineLevel="0" collapsed="false">
      <c r="A241" s="33"/>
      <c r="B241" s="33"/>
      <c r="C241" s="33"/>
      <c r="D241" s="33"/>
      <c r="E241" s="33"/>
      <c r="F241" s="33"/>
      <c r="G241" s="33"/>
      <c r="H241" s="33"/>
      <c r="I241" s="33"/>
      <c r="J241" s="33"/>
      <c r="K241" s="33"/>
      <c r="L241" s="34"/>
      <c r="M241" s="34"/>
      <c r="N241" s="34"/>
      <c r="O241" s="34"/>
      <c r="P241" s="33"/>
      <c r="Q241" s="35"/>
      <c r="R241" s="33"/>
      <c r="S241" s="33"/>
      <c r="T241" s="33"/>
      <c r="U241" s="33"/>
      <c r="V241" s="33"/>
      <c r="W241" s="33"/>
    </row>
    <row r="242" customFormat="false" ht="15" hidden="false" customHeight="false" outlineLevel="0" collapsed="false">
      <c r="A242" s="33"/>
      <c r="B242" s="33"/>
      <c r="C242" s="33"/>
      <c r="D242" s="33"/>
      <c r="E242" s="33"/>
      <c r="F242" s="33"/>
      <c r="G242" s="33"/>
      <c r="H242" s="33"/>
      <c r="I242" s="33"/>
      <c r="J242" s="33"/>
      <c r="K242" s="33"/>
      <c r="L242" s="34"/>
      <c r="M242" s="34"/>
      <c r="N242" s="34"/>
      <c r="O242" s="34"/>
      <c r="P242" s="33"/>
      <c r="Q242" s="35"/>
      <c r="R242" s="33"/>
      <c r="S242" s="33"/>
      <c r="T242" s="33"/>
      <c r="U242" s="33"/>
      <c r="V242" s="33"/>
      <c r="W242" s="33"/>
    </row>
    <row r="243" customFormat="false" ht="15" hidden="false" customHeight="false" outlineLevel="0" collapsed="false">
      <c r="A243" s="33"/>
      <c r="B243" s="33"/>
      <c r="C243" s="33"/>
      <c r="D243" s="33"/>
      <c r="E243" s="33"/>
      <c r="F243" s="33"/>
      <c r="G243" s="33"/>
      <c r="H243" s="33"/>
      <c r="I243" s="33"/>
      <c r="J243" s="33"/>
      <c r="K243" s="33"/>
      <c r="L243" s="34"/>
      <c r="M243" s="34"/>
      <c r="N243" s="34"/>
      <c r="O243" s="34"/>
      <c r="P243" s="33"/>
      <c r="Q243" s="35"/>
      <c r="R243" s="33"/>
      <c r="S243" s="33"/>
      <c r="T243" s="33"/>
      <c r="U243" s="33"/>
      <c r="V243" s="33"/>
      <c r="W243" s="33"/>
    </row>
    <row r="244" customFormat="false" ht="15" hidden="false" customHeight="false" outlineLevel="0" collapsed="false">
      <c r="A244" s="33"/>
      <c r="B244" s="33"/>
      <c r="C244" s="33"/>
      <c r="D244" s="33"/>
      <c r="E244" s="33"/>
      <c r="F244" s="33"/>
      <c r="G244" s="33"/>
      <c r="H244" s="33"/>
      <c r="I244" s="33"/>
      <c r="J244" s="33"/>
      <c r="K244" s="33"/>
      <c r="L244" s="34"/>
      <c r="M244" s="34"/>
      <c r="N244" s="34"/>
      <c r="O244" s="34"/>
      <c r="P244" s="33"/>
      <c r="Q244" s="35"/>
      <c r="R244" s="33"/>
      <c r="S244" s="33"/>
      <c r="T244" s="33"/>
      <c r="U244" s="33"/>
      <c r="V244" s="33"/>
      <c r="W244" s="33"/>
    </row>
    <row r="245" customFormat="false" ht="15" hidden="false" customHeight="false" outlineLevel="0" collapsed="false">
      <c r="A245" s="33"/>
      <c r="B245" s="33"/>
      <c r="C245" s="33"/>
      <c r="D245" s="33"/>
      <c r="E245" s="33"/>
      <c r="F245" s="33"/>
      <c r="G245" s="33"/>
      <c r="H245" s="33"/>
      <c r="I245" s="33"/>
      <c r="J245" s="33"/>
      <c r="K245" s="33"/>
      <c r="L245" s="34"/>
      <c r="M245" s="34"/>
      <c r="N245" s="34"/>
      <c r="O245" s="34"/>
      <c r="P245" s="33"/>
      <c r="Q245" s="35"/>
      <c r="R245" s="33"/>
      <c r="S245" s="33"/>
      <c r="T245" s="33"/>
      <c r="U245" s="33"/>
      <c r="V245" s="33"/>
      <c r="W245" s="33"/>
    </row>
    <row r="246" customFormat="false" ht="15" hidden="false" customHeight="false" outlineLevel="0" collapsed="false">
      <c r="A246" s="33"/>
      <c r="B246" s="33"/>
      <c r="C246" s="33"/>
      <c r="D246" s="33"/>
      <c r="E246" s="33"/>
      <c r="F246" s="33"/>
      <c r="G246" s="33"/>
      <c r="H246" s="33"/>
      <c r="I246" s="33"/>
      <c r="J246" s="33"/>
      <c r="K246" s="33"/>
      <c r="L246" s="34"/>
      <c r="M246" s="34"/>
      <c r="N246" s="34"/>
      <c r="O246" s="34"/>
      <c r="P246" s="33"/>
      <c r="Q246" s="35"/>
      <c r="R246" s="33"/>
      <c r="S246" s="33"/>
      <c r="T246" s="33"/>
      <c r="U246" s="33"/>
      <c r="V246" s="33"/>
      <c r="W246" s="33"/>
    </row>
    <row r="247" customFormat="false" ht="15" hidden="false" customHeight="false" outlineLevel="0" collapsed="false">
      <c r="A247" s="33"/>
      <c r="B247" s="33"/>
      <c r="C247" s="33"/>
      <c r="D247" s="33"/>
      <c r="E247" s="33"/>
      <c r="F247" s="33"/>
      <c r="G247" s="33"/>
      <c r="H247" s="33"/>
      <c r="I247" s="33"/>
      <c r="J247" s="33"/>
      <c r="K247" s="33"/>
      <c r="L247" s="34"/>
      <c r="M247" s="34"/>
      <c r="N247" s="34"/>
      <c r="O247" s="34"/>
      <c r="P247" s="33"/>
      <c r="Q247" s="35"/>
      <c r="R247" s="33"/>
      <c r="S247" s="33"/>
      <c r="T247" s="33"/>
      <c r="U247" s="33"/>
      <c r="V247" s="33"/>
      <c r="W247" s="33"/>
    </row>
    <row r="248" customFormat="false" ht="15" hidden="false" customHeight="false" outlineLevel="0" collapsed="false">
      <c r="A248" s="33"/>
      <c r="B248" s="33"/>
      <c r="C248" s="33"/>
      <c r="D248" s="33"/>
      <c r="E248" s="33"/>
      <c r="F248" s="33"/>
      <c r="G248" s="33"/>
      <c r="H248" s="33"/>
      <c r="I248" s="33"/>
      <c r="J248" s="33"/>
      <c r="K248" s="33"/>
      <c r="L248" s="34"/>
      <c r="M248" s="34"/>
      <c r="N248" s="34"/>
      <c r="O248" s="34"/>
      <c r="P248" s="33"/>
      <c r="Q248" s="35"/>
      <c r="R248" s="33"/>
      <c r="S248" s="33"/>
      <c r="T248" s="33"/>
      <c r="U248" s="33"/>
      <c r="V248" s="33"/>
      <c r="W248" s="33"/>
    </row>
    <row r="249" customFormat="false" ht="15" hidden="false" customHeight="false" outlineLevel="0" collapsed="false">
      <c r="A249" s="33"/>
      <c r="B249" s="33"/>
      <c r="C249" s="33"/>
      <c r="D249" s="33"/>
      <c r="E249" s="33"/>
      <c r="F249" s="33"/>
      <c r="G249" s="33"/>
      <c r="H249" s="33"/>
      <c r="I249" s="33"/>
      <c r="J249" s="33"/>
      <c r="K249" s="33"/>
      <c r="L249" s="34"/>
      <c r="M249" s="34"/>
      <c r="N249" s="34"/>
      <c r="O249" s="34"/>
      <c r="P249" s="33"/>
      <c r="Q249" s="35"/>
      <c r="R249" s="33"/>
      <c r="S249" s="33"/>
      <c r="T249" s="33"/>
      <c r="U249" s="33"/>
      <c r="V249" s="33"/>
      <c r="W249" s="33"/>
    </row>
    <row r="250" customFormat="false" ht="15" hidden="false" customHeight="false" outlineLevel="0" collapsed="false">
      <c r="A250" s="33"/>
      <c r="B250" s="33"/>
      <c r="C250" s="33"/>
      <c r="D250" s="33"/>
      <c r="E250" s="33"/>
      <c r="F250" s="33"/>
      <c r="G250" s="33"/>
      <c r="H250" s="33"/>
      <c r="I250" s="33"/>
      <c r="J250" s="33"/>
      <c r="K250" s="33"/>
      <c r="L250" s="34"/>
      <c r="M250" s="34"/>
      <c r="N250" s="34"/>
      <c r="O250" s="34"/>
      <c r="P250" s="33"/>
      <c r="Q250" s="35"/>
      <c r="R250" s="33"/>
      <c r="S250" s="33"/>
      <c r="T250" s="33"/>
      <c r="U250" s="33"/>
      <c r="V250" s="33"/>
      <c r="W250" s="33"/>
    </row>
    <row r="251" customFormat="false" ht="15" hidden="false" customHeight="false" outlineLevel="0" collapsed="false">
      <c r="A251" s="33"/>
      <c r="B251" s="33"/>
      <c r="C251" s="33"/>
      <c r="D251" s="33"/>
      <c r="E251" s="33"/>
      <c r="F251" s="33"/>
      <c r="G251" s="33"/>
      <c r="H251" s="33"/>
      <c r="I251" s="33"/>
      <c r="J251" s="33"/>
      <c r="K251" s="33"/>
      <c r="L251" s="34"/>
      <c r="M251" s="34"/>
      <c r="N251" s="34"/>
      <c r="O251" s="34"/>
      <c r="P251" s="33"/>
      <c r="Q251" s="35"/>
      <c r="R251" s="33"/>
      <c r="S251" s="33"/>
      <c r="T251" s="33"/>
      <c r="U251" s="33"/>
      <c r="V251" s="33"/>
      <c r="W251" s="33"/>
    </row>
    <row r="252" customFormat="false" ht="15" hidden="false" customHeight="false" outlineLevel="0" collapsed="false">
      <c r="A252" s="33"/>
      <c r="B252" s="33"/>
      <c r="C252" s="33"/>
      <c r="D252" s="33"/>
      <c r="E252" s="33"/>
      <c r="F252" s="33"/>
      <c r="G252" s="33"/>
      <c r="H252" s="33"/>
      <c r="I252" s="33"/>
      <c r="J252" s="33"/>
      <c r="K252" s="33"/>
      <c r="L252" s="34"/>
      <c r="M252" s="34"/>
      <c r="N252" s="34"/>
      <c r="O252" s="34"/>
      <c r="P252" s="33"/>
      <c r="Q252" s="35"/>
      <c r="R252" s="33"/>
      <c r="S252" s="33"/>
      <c r="T252" s="33"/>
      <c r="U252" s="33"/>
      <c r="V252" s="33"/>
      <c r="W252" s="33"/>
    </row>
    <row r="253" customFormat="false" ht="15" hidden="false" customHeight="false" outlineLevel="0" collapsed="false">
      <c r="A253" s="33"/>
      <c r="B253" s="33"/>
      <c r="C253" s="33"/>
      <c r="D253" s="33"/>
      <c r="E253" s="33"/>
      <c r="F253" s="33"/>
      <c r="G253" s="33"/>
      <c r="H253" s="33"/>
      <c r="I253" s="33"/>
      <c r="J253" s="33"/>
      <c r="K253" s="33"/>
      <c r="L253" s="34"/>
      <c r="M253" s="34"/>
      <c r="N253" s="34"/>
      <c r="O253" s="34"/>
      <c r="P253" s="33"/>
      <c r="Q253" s="35"/>
      <c r="R253" s="33"/>
      <c r="S253" s="33"/>
      <c r="T253" s="33"/>
      <c r="U253" s="33"/>
      <c r="V253" s="33"/>
      <c r="W253" s="33"/>
    </row>
    <row r="254" customFormat="false" ht="15" hidden="false" customHeight="false" outlineLevel="0" collapsed="false">
      <c r="A254" s="33"/>
      <c r="B254" s="33"/>
      <c r="C254" s="33"/>
      <c r="D254" s="33"/>
      <c r="E254" s="33"/>
      <c r="F254" s="33"/>
      <c r="G254" s="33"/>
      <c r="H254" s="33"/>
      <c r="I254" s="33"/>
      <c r="J254" s="33"/>
      <c r="K254" s="33"/>
      <c r="L254" s="34"/>
      <c r="M254" s="34"/>
      <c r="N254" s="34"/>
      <c r="O254" s="34"/>
      <c r="P254" s="33"/>
      <c r="Q254" s="35"/>
      <c r="R254" s="33"/>
      <c r="S254" s="33"/>
      <c r="T254" s="33"/>
      <c r="U254" s="33"/>
      <c r="V254" s="33"/>
      <c r="W254" s="33"/>
    </row>
    <row r="255" customFormat="false" ht="15" hidden="false" customHeight="false" outlineLevel="0" collapsed="false">
      <c r="A255" s="33"/>
      <c r="B255" s="33"/>
      <c r="C255" s="33"/>
      <c r="D255" s="33"/>
      <c r="E255" s="33"/>
      <c r="F255" s="33"/>
      <c r="G255" s="33"/>
      <c r="H255" s="33"/>
      <c r="I255" s="33"/>
      <c r="J255" s="33"/>
      <c r="K255" s="33"/>
      <c r="L255" s="34"/>
      <c r="M255" s="34"/>
      <c r="N255" s="34"/>
      <c r="O255" s="34"/>
      <c r="P255" s="33"/>
      <c r="Q255" s="35"/>
      <c r="R255" s="33"/>
      <c r="S255" s="33"/>
      <c r="T255" s="33"/>
      <c r="U255" s="33"/>
      <c r="V255" s="33"/>
      <c r="W255" s="33"/>
    </row>
    <row r="256" customFormat="false" ht="15" hidden="false" customHeight="false" outlineLevel="0" collapsed="false">
      <c r="A256" s="33"/>
      <c r="B256" s="33"/>
      <c r="C256" s="33"/>
      <c r="D256" s="33"/>
      <c r="E256" s="33"/>
      <c r="F256" s="33"/>
      <c r="G256" s="33"/>
      <c r="H256" s="33"/>
      <c r="I256" s="33"/>
      <c r="J256" s="33"/>
      <c r="K256" s="33"/>
      <c r="L256" s="34"/>
      <c r="M256" s="34"/>
      <c r="N256" s="34"/>
      <c r="O256" s="34"/>
      <c r="P256" s="33"/>
      <c r="Q256" s="35"/>
      <c r="R256" s="33"/>
      <c r="S256" s="33"/>
      <c r="T256" s="33"/>
      <c r="U256" s="33"/>
      <c r="V256" s="33"/>
      <c r="W256" s="33"/>
    </row>
    <row r="257" customFormat="false" ht="15" hidden="false" customHeight="false" outlineLevel="0" collapsed="false">
      <c r="A257" s="33"/>
      <c r="B257" s="33"/>
      <c r="C257" s="33"/>
      <c r="D257" s="33"/>
      <c r="E257" s="33"/>
      <c r="F257" s="33"/>
      <c r="G257" s="33"/>
      <c r="H257" s="33"/>
      <c r="I257" s="33"/>
      <c r="J257" s="33"/>
      <c r="K257" s="33"/>
      <c r="L257" s="34"/>
      <c r="M257" s="34"/>
      <c r="N257" s="34"/>
      <c r="O257" s="34"/>
      <c r="P257" s="33"/>
      <c r="Q257" s="35"/>
      <c r="R257" s="33"/>
      <c r="S257" s="33"/>
      <c r="T257" s="33"/>
      <c r="U257" s="33"/>
      <c r="V257" s="33"/>
      <c r="W257" s="33"/>
    </row>
    <row r="258" customFormat="false" ht="15" hidden="false" customHeight="false" outlineLevel="0" collapsed="false">
      <c r="A258" s="33"/>
      <c r="B258" s="33"/>
      <c r="C258" s="33"/>
      <c r="D258" s="33"/>
      <c r="E258" s="33"/>
      <c r="F258" s="33"/>
      <c r="G258" s="33"/>
      <c r="H258" s="33"/>
      <c r="I258" s="33"/>
      <c r="J258" s="33"/>
      <c r="K258" s="33"/>
      <c r="L258" s="34"/>
      <c r="M258" s="34"/>
      <c r="N258" s="34"/>
      <c r="O258" s="34"/>
      <c r="P258" s="33"/>
      <c r="Q258" s="35"/>
      <c r="R258" s="33"/>
      <c r="S258" s="33"/>
      <c r="T258" s="33"/>
      <c r="U258" s="33"/>
      <c r="V258" s="33"/>
      <c r="W258" s="33"/>
    </row>
    <row r="259" customFormat="false" ht="15" hidden="false" customHeight="false" outlineLevel="0" collapsed="false">
      <c r="A259" s="33"/>
      <c r="B259" s="33"/>
      <c r="C259" s="33"/>
      <c r="D259" s="33"/>
      <c r="E259" s="33"/>
      <c r="F259" s="33"/>
      <c r="G259" s="33"/>
      <c r="H259" s="33"/>
      <c r="I259" s="33"/>
      <c r="J259" s="33"/>
      <c r="K259" s="33"/>
      <c r="L259" s="34"/>
      <c r="M259" s="34"/>
      <c r="N259" s="34"/>
      <c r="O259" s="34"/>
      <c r="P259" s="33"/>
      <c r="Q259" s="35"/>
      <c r="R259" s="33"/>
      <c r="S259" s="33"/>
      <c r="T259" s="33"/>
      <c r="U259" s="33"/>
      <c r="V259" s="33"/>
      <c r="W259" s="33"/>
    </row>
    <row r="260" customFormat="false" ht="15" hidden="false" customHeight="false" outlineLevel="0" collapsed="false">
      <c r="A260" s="33"/>
      <c r="B260" s="33"/>
      <c r="C260" s="33"/>
      <c r="D260" s="33"/>
      <c r="E260" s="33"/>
      <c r="F260" s="33"/>
      <c r="G260" s="33"/>
      <c r="H260" s="33"/>
      <c r="I260" s="33"/>
      <c r="J260" s="33"/>
      <c r="K260" s="33"/>
      <c r="L260" s="34"/>
      <c r="M260" s="34"/>
      <c r="N260" s="34"/>
      <c r="O260" s="34"/>
      <c r="P260" s="33"/>
      <c r="Q260" s="35"/>
      <c r="R260" s="33"/>
      <c r="S260" s="33"/>
      <c r="T260" s="33"/>
      <c r="U260" s="33"/>
      <c r="V260" s="33"/>
      <c r="W260" s="33"/>
    </row>
    <row r="261" customFormat="false" ht="15" hidden="false" customHeight="false" outlineLevel="0" collapsed="false">
      <c r="A261" s="33"/>
      <c r="B261" s="33"/>
      <c r="C261" s="33"/>
      <c r="D261" s="33"/>
      <c r="E261" s="33"/>
      <c r="F261" s="33"/>
      <c r="G261" s="33"/>
      <c r="H261" s="33"/>
      <c r="I261" s="33"/>
      <c r="J261" s="33"/>
      <c r="K261" s="33"/>
      <c r="L261" s="34"/>
      <c r="M261" s="34"/>
      <c r="N261" s="34"/>
      <c r="O261" s="34"/>
      <c r="P261" s="33"/>
      <c r="Q261" s="35"/>
      <c r="R261" s="33"/>
      <c r="S261" s="33"/>
      <c r="T261" s="33"/>
      <c r="U261" s="33"/>
      <c r="V261" s="33"/>
      <c r="W261" s="33"/>
    </row>
    <row r="262" customFormat="false" ht="15" hidden="false" customHeight="false" outlineLevel="0" collapsed="false">
      <c r="A262" s="33"/>
      <c r="B262" s="33"/>
      <c r="C262" s="33"/>
      <c r="D262" s="33"/>
      <c r="E262" s="33"/>
      <c r="F262" s="33"/>
      <c r="G262" s="33"/>
      <c r="H262" s="33"/>
      <c r="I262" s="33"/>
      <c r="J262" s="33"/>
      <c r="K262" s="33"/>
      <c r="L262" s="34"/>
      <c r="M262" s="34"/>
      <c r="N262" s="34"/>
      <c r="O262" s="34"/>
      <c r="P262" s="33"/>
      <c r="Q262" s="35"/>
      <c r="R262" s="33"/>
      <c r="S262" s="33"/>
      <c r="T262" s="33"/>
      <c r="U262" s="33"/>
      <c r="V262" s="33"/>
      <c r="W262" s="33"/>
    </row>
    <row r="263" customFormat="false" ht="15" hidden="false" customHeight="false" outlineLevel="0" collapsed="false">
      <c r="A263" s="33"/>
      <c r="B263" s="33"/>
      <c r="C263" s="33"/>
      <c r="D263" s="33"/>
      <c r="E263" s="33"/>
      <c r="F263" s="33"/>
      <c r="G263" s="33"/>
      <c r="H263" s="33"/>
      <c r="I263" s="33"/>
      <c r="J263" s="33"/>
      <c r="K263" s="33"/>
      <c r="L263" s="34"/>
      <c r="M263" s="34"/>
      <c r="N263" s="34"/>
      <c r="O263" s="34"/>
      <c r="P263" s="33"/>
      <c r="Q263" s="35"/>
      <c r="R263" s="33"/>
      <c r="S263" s="33"/>
      <c r="T263" s="33"/>
      <c r="U263" s="33"/>
      <c r="V263" s="33"/>
      <c r="W263" s="33"/>
    </row>
    <row r="264" customFormat="false" ht="15" hidden="false" customHeight="false" outlineLevel="0" collapsed="false">
      <c r="A264" s="33"/>
      <c r="B264" s="33"/>
      <c r="C264" s="33"/>
      <c r="D264" s="33"/>
      <c r="E264" s="33"/>
      <c r="F264" s="33"/>
      <c r="G264" s="33"/>
      <c r="H264" s="33"/>
      <c r="I264" s="33"/>
      <c r="J264" s="33"/>
      <c r="K264" s="33"/>
      <c r="L264" s="34"/>
      <c r="M264" s="34"/>
      <c r="N264" s="34"/>
      <c r="O264" s="34"/>
      <c r="P264" s="33"/>
      <c r="Q264" s="35"/>
      <c r="R264" s="33"/>
      <c r="S264" s="33"/>
      <c r="T264" s="33"/>
      <c r="U264" s="33"/>
      <c r="V264" s="33"/>
      <c r="W264" s="33"/>
    </row>
    <row r="265" customFormat="false" ht="15" hidden="false" customHeight="false" outlineLevel="0" collapsed="false">
      <c r="A265" s="33"/>
      <c r="B265" s="33"/>
      <c r="C265" s="33"/>
      <c r="D265" s="33"/>
      <c r="E265" s="33"/>
      <c r="F265" s="33"/>
      <c r="G265" s="33"/>
      <c r="H265" s="33"/>
      <c r="I265" s="33"/>
      <c r="J265" s="33"/>
      <c r="K265" s="33"/>
      <c r="L265" s="34"/>
      <c r="M265" s="34"/>
      <c r="N265" s="34"/>
      <c r="O265" s="34"/>
      <c r="P265" s="33"/>
      <c r="Q265" s="35"/>
      <c r="R265" s="33"/>
      <c r="S265" s="33"/>
      <c r="T265" s="33"/>
      <c r="U265" s="33"/>
      <c r="V265" s="33"/>
      <c r="W265" s="33"/>
    </row>
    <row r="266" customFormat="false" ht="15" hidden="false" customHeight="false" outlineLevel="0" collapsed="false">
      <c r="A266" s="33"/>
      <c r="B266" s="33"/>
      <c r="C266" s="33"/>
      <c r="D266" s="33"/>
      <c r="E266" s="33"/>
      <c r="F266" s="33"/>
      <c r="G266" s="33"/>
      <c r="H266" s="33"/>
      <c r="I266" s="33"/>
      <c r="J266" s="33"/>
      <c r="K266" s="33"/>
      <c r="L266" s="34"/>
      <c r="M266" s="34"/>
      <c r="N266" s="34"/>
      <c r="O266" s="34"/>
      <c r="P266" s="33"/>
      <c r="Q266" s="35"/>
      <c r="R266" s="33"/>
      <c r="S266" s="33"/>
      <c r="T266" s="33"/>
      <c r="U266" s="33"/>
      <c r="V266" s="33"/>
      <c r="W266" s="33"/>
    </row>
    <row r="267" customFormat="false" ht="15" hidden="false" customHeight="false" outlineLevel="0" collapsed="false">
      <c r="A267" s="33"/>
      <c r="B267" s="33"/>
      <c r="C267" s="33"/>
      <c r="D267" s="33"/>
      <c r="E267" s="33"/>
      <c r="F267" s="33"/>
      <c r="G267" s="33"/>
      <c r="H267" s="33"/>
      <c r="I267" s="33"/>
      <c r="J267" s="33"/>
      <c r="K267" s="33"/>
      <c r="L267" s="34"/>
      <c r="M267" s="34"/>
      <c r="N267" s="34"/>
      <c r="O267" s="34"/>
      <c r="P267" s="33"/>
      <c r="Q267" s="35"/>
      <c r="R267" s="33"/>
      <c r="S267" s="33"/>
      <c r="T267" s="33"/>
      <c r="U267" s="33"/>
      <c r="V267" s="33"/>
      <c r="W267" s="33"/>
    </row>
    <row r="268" customFormat="false" ht="15" hidden="false" customHeight="false" outlineLevel="0" collapsed="false">
      <c r="A268" s="33"/>
      <c r="B268" s="33"/>
      <c r="C268" s="33"/>
      <c r="D268" s="33"/>
      <c r="E268" s="33"/>
      <c r="F268" s="33"/>
      <c r="G268" s="33"/>
      <c r="H268" s="33"/>
      <c r="I268" s="33"/>
      <c r="J268" s="33"/>
      <c r="K268" s="33"/>
      <c r="L268" s="34"/>
      <c r="M268" s="34"/>
      <c r="N268" s="34"/>
      <c r="O268" s="34"/>
      <c r="P268" s="33"/>
      <c r="Q268" s="35"/>
      <c r="R268" s="33"/>
      <c r="S268" s="33"/>
      <c r="T268" s="33"/>
      <c r="U268" s="33"/>
      <c r="V268" s="33"/>
      <c r="W268" s="33"/>
    </row>
    <row r="269" customFormat="false" ht="15" hidden="false" customHeight="false" outlineLevel="0" collapsed="false">
      <c r="A269" s="33"/>
      <c r="B269" s="33"/>
      <c r="C269" s="33"/>
      <c r="D269" s="33"/>
      <c r="E269" s="33"/>
      <c r="F269" s="33"/>
      <c r="G269" s="33"/>
      <c r="H269" s="33"/>
      <c r="I269" s="33"/>
      <c r="J269" s="33"/>
      <c r="K269" s="33"/>
      <c r="L269" s="34"/>
      <c r="M269" s="34"/>
      <c r="N269" s="34"/>
      <c r="O269" s="34"/>
      <c r="P269" s="33"/>
      <c r="Q269" s="35"/>
      <c r="R269" s="33"/>
      <c r="S269" s="33"/>
      <c r="T269" s="33"/>
      <c r="U269" s="33"/>
      <c r="V269" s="33"/>
      <c r="W269" s="33"/>
    </row>
    <row r="270" customFormat="false" ht="15" hidden="false" customHeight="false" outlineLevel="0" collapsed="false">
      <c r="A270" s="33"/>
      <c r="B270" s="33"/>
      <c r="C270" s="33"/>
      <c r="D270" s="33"/>
      <c r="E270" s="33"/>
      <c r="F270" s="33"/>
      <c r="G270" s="33"/>
      <c r="H270" s="33"/>
      <c r="I270" s="33"/>
      <c r="J270" s="33"/>
      <c r="K270" s="33"/>
      <c r="L270" s="34"/>
      <c r="M270" s="34"/>
      <c r="N270" s="34"/>
      <c r="O270" s="34"/>
      <c r="P270" s="33"/>
      <c r="Q270" s="35"/>
      <c r="R270" s="33"/>
      <c r="S270" s="33"/>
      <c r="T270" s="33"/>
      <c r="U270" s="33"/>
      <c r="V270" s="33"/>
      <c r="W270" s="33"/>
    </row>
    <row r="271" customFormat="false" ht="15" hidden="false" customHeight="false" outlineLevel="0" collapsed="false">
      <c r="A271" s="33"/>
      <c r="B271" s="33"/>
      <c r="C271" s="33"/>
      <c r="D271" s="33"/>
      <c r="E271" s="33"/>
      <c r="F271" s="33"/>
      <c r="G271" s="33"/>
      <c r="H271" s="33"/>
      <c r="I271" s="33"/>
      <c r="J271" s="33"/>
      <c r="K271" s="33"/>
      <c r="L271" s="34"/>
      <c r="M271" s="34"/>
      <c r="N271" s="34"/>
      <c r="O271" s="34"/>
      <c r="P271" s="33"/>
      <c r="Q271" s="35"/>
      <c r="R271" s="33"/>
      <c r="S271" s="33"/>
      <c r="T271" s="33"/>
      <c r="U271" s="33"/>
      <c r="V271" s="33"/>
      <c r="W271" s="33"/>
    </row>
    <row r="272" customFormat="false" ht="15" hidden="false" customHeight="false" outlineLevel="0" collapsed="false">
      <c r="A272" s="33"/>
      <c r="B272" s="33"/>
      <c r="C272" s="33"/>
      <c r="D272" s="33"/>
      <c r="E272" s="33"/>
      <c r="F272" s="33"/>
      <c r="G272" s="33"/>
      <c r="H272" s="33"/>
      <c r="I272" s="33"/>
      <c r="J272" s="33"/>
      <c r="K272" s="33"/>
      <c r="L272" s="34"/>
      <c r="M272" s="34"/>
      <c r="N272" s="34"/>
      <c r="O272" s="34"/>
      <c r="P272" s="33"/>
      <c r="Q272" s="35"/>
      <c r="R272" s="33"/>
      <c r="S272" s="33"/>
      <c r="T272" s="33"/>
      <c r="U272" s="33"/>
      <c r="V272" s="33"/>
      <c r="W272" s="33"/>
    </row>
    <row r="273" customFormat="false" ht="15" hidden="false" customHeight="false" outlineLevel="0" collapsed="false">
      <c r="A273" s="33"/>
      <c r="B273" s="33"/>
      <c r="C273" s="33"/>
      <c r="D273" s="33"/>
      <c r="E273" s="33"/>
      <c r="F273" s="33"/>
      <c r="G273" s="33"/>
      <c r="H273" s="33"/>
      <c r="I273" s="33"/>
      <c r="J273" s="33"/>
      <c r="K273" s="33"/>
      <c r="L273" s="34"/>
      <c r="M273" s="34"/>
      <c r="N273" s="34"/>
      <c r="O273" s="34"/>
      <c r="P273" s="33"/>
      <c r="Q273" s="35"/>
      <c r="R273" s="33"/>
      <c r="S273" s="33"/>
      <c r="T273" s="33"/>
      <c r="U273" s="33"/>
      <c r="V273" s="33"/>
      <c r="W273" s="33"/>
    </row>
    <row r="274" customFormat="false" ht="15" hidden="false" customHeight="false" outlineLevel="0" collapsed="false">
      <c r="A274" s="33"/>
      <c r="B274" s="33"/>
      <c r="C274" s="33"/>
      <c r="D274" s="33"/>
      <c r="E274" s="33"/>
      <c r="F274" s="33"/>
      <c r="G274" s="33"/>
      <c r="H274" s="33"/>
      <c r="I274" s="33"/>
      <c r="J274" s="33"/>
      <c r="K274" s="33"/>
      <c r="L274" s="34"/>
      <c r="M274" s="34"/>
      <c r="N274" s="34"/>
      <c r="O274" s="34"/>
      <c r="P274" s="33"/>
      <c r="Q274" s="35"/>
      <c r="R274" s="33"/>
      <c r="S274" s="33"/>
      <c r="T274" s="33"/>
      <c r="U274" s="33"/>
      <c r="V274" s="33"/>
      <c r="W274" s="33"/>
    </row>
    <row r="275" customFormat="false" ht="15" hidden="false" customHeight="false" outlineLevel="0" collapsed="false">
      <c r="A275" s="33"/>
      <c r="B275" s="33"/>
      <c r="C275" s="33"/>
      <c r="D275" s="33"/>
      <c r="E275" s="33"/>
      <c r="F275" s="33"/>
      <c r="G275" s="33"/>
      <c r="H275" s="33"/>
      <c r="I275" s="33"/>
      <c r="J275" s="33"/>
      <c r="K275" s="33"/>
      <c r="L275" s="34"/>
      <c r="M275" s="34"/>
      <c r="N275" s="34"/>
      <c r="O275" s="34"/>
      <c r="P275" s="33"/>
      <c r="Q275" s="35"/>
      <c r="R275" s="33"/>
      <c r="S275" s="33"/>
      <c r="T275" s="33"/>
      <c r="U275" s="33"/>
      <c r="V275" s="33"/>
      <c r="W275" s="33"/>
    </row>
    <row r="276" customFormat="false" ht="15" hidden="false" customHeight="false" outlineLevel="0" collapsed="false">
      <c r="A276" s="33"/>
      <c r="B276" s="33"/>
      <c r="C276" s="33"/>
      <c r="D276" s="33"/>
      <c r="E276" s="33"/>
      <c r="F276" s="33"/>
      <c r="G276" s="33"/>
      <c r="H276" s="33"/>
      <c r="I276" s="33"/>
      <c r="J276" s="33"/>
      <c r="K276" s="33"/>
      <c r="L276" s="34"/>
      <c r="M276" s="34"/>
      <c r="N276" s="34"/>
      <c r="O276" s="34"/>
      <c r="P276" s="33"/>
      <c r="Q276" s="35"/>
      <c r="R276" s="33"/>
      <c r="S276" s="33"/>
      <c r="T276" s="33"/>
      <c r="U276" s="33"/>
      <c r="V276" s="33"/>
      <c r="W276" s="33"/>
    </row>
    <row r="277" customFormat="false" ht="15" hidden="false" customHeight="false" outlineLevel="0" collapsed="false">
      <c r="A277" s="33"/>
      <c r="B277" s="33"/>
      <c r="C277" s="33"/>
      <c r="D277" s="33"/>
      <c r="E277" s="33"/>
      <c r="F277" s="33"/>
      <c r="G277" s="33"/>
      <c r="H277" s="33"/>
      <c r="I277" s="33"/>
      <c r="J277" s="33"/>
      <c r="K277" s="33"/>
      <c r="L277" s="34"/>
      <c r="M277" s="34"/>
      <c r="N277" s="34"/>
      <c r="O277" s="34"/>
      <c r="P277" s="33"/>
      <c r="Q277" s="35"/>
      <c r="R277" s="33"/>
      <c r="S277" s="33"/>
      <c r="T277" s="33"/>
      <c r="U277" s="33"/>
      <c r="V277" s="33"/>
      <c r="W277" s="33"/>
    </row>
    <row r="278" customFormat="false" ht="15" hidden="false" customHeight="false" outlineLevel="0" collapsed="false">
      <c r="A278" s="33"/>
      <c r="B278" s="33"/>
      <c r="C278" s="33"/>
      <c r="D278" s="33"/>
      <c r="E278" s="33"/>
      <c r="F278" s="33"/>
      <c r="G278" s="33"/>
      <c r="H278" s="33"/>
      <c r="I278" s="33"/>
      <c r="J278" s="33"/>
      <c r="K278" s="33"/>
      <c r="L278" s="34"/>
      <c r="M278" s="34"/>
      <c r="N278" s="34"/>
      <c r="O278" s="34"/>
      <c r="P278" s="33"/>
      <c r="Q278" s="35"/>
      <c r="R278" s="33"/>
      <c r="S278" s="33"/>
      <c r="T278" s="33"/>
      <c r="U278" s="33"/>
      <c r="V278" s="33"/>
      <c r="W278" s="33"/>
    </row>
    <row r="279" customFormat="false" ht="15" hidden="false" customHeight="false" outlineLevel="0" collapsed="false">
      <c r="A279" s="33"/>
      <c r="B279" s="33"/>
      <c r="C279" s="33"/>
      <c r="D279" s="33"/>
      <c r="E279" s="33"/>
      <c r="F279" s="33"/>
      <c r="G279" s="33"/>
      <c r="H279" s="33"/>
      <c r="I279" s="33"/>
      <c r="J279" s="33"/>
      <c r="K279" s="33"/>
      <c r="L279" s="34"/>
      <c r="M279" s="34"/>
      <c r="N279" s="34"/>
      <c r="O279" s="34"/>
      <c r="P279" s="33"/>
      <c r="Q279" s="35"/>
      <c r="R279" s="33"/>
      <c r="S279" s="33"/>
      <c r="T279" s="33"/>
      <c r="U279" s="33"/>
      <c r="V279" s="33"/>
      <c r="W279" s="33"/>
    </row>
    <row r="280" customFormat="false" ht="15" hidden="false" customHeight="false" outlineLevel="0" collapsed="false">
      <c r="A280" s="33"/>
      <c r="B280" s="33"/>
      <c r="C280" s="33"/>
      <c r="D280" s="33"/>
      <c r="E280" s="33"/>
      <c r="F280" s="33"/>
      <c r="G280" s="33"/>
      <c r="H280" s="33"/>
      <c r="I280" s="33"/>
      <c r="J280" s="33"/>
      <c r="K280" s="33"/>
      <c r="L280" s="34"/>
      <c r="M280" s="34"/>
      <c r="N280" s="34"/>
      <c r="O280" s="34"/>
      <c r="P280" s="33"/>
      <c r="Q280" s="35"/>
      <c r="R280" s="33"/>
      <c r="S280" s="33"/>
      <c r="T280" s="33"/>
      <c r="U280" s="33"/>
      <c r="V280" s="33"/>
      <c r="W280" s="33"/>
    </row>
    <row r="281" customFormat="false" ht="15" hidden="false" customHeight="false" outlineLevel="0" collapsed="false">
      <c r="A281" s="33"/>
      <c r="B281" s="33"/>
      <c r="C281" s="33"/>
      <c r="D281" s="33"/>
      <c r="E281" s="33"/>
      <c r="F281" s="33"/>
      <c r="G281" s="33"/>
      <c r="H281" s="33"/>
      <c r="I281" s="33"/>
      <c r="J281" s="33"/>
      <c r="K281" s="33"/>
      <c r="L281" s="34"/>
      <c r="M281" s="34"/>
      <c r="N281" s="34"/>
      <c r="O281" s="34"/>
      <c r="P281" s="33"/>
      <c r="Q281" s="35"/>
      <c r="R281" s="33"/>
      <c r="S281" s="33"/>
      <c r="T281" s="33"/>
      <c r="U281" s="33"/>
      <c r="V281" s="33"/>
      <c r="W281" s="33"/>
    </row>
    <row r="282" customFormat="false" ht="15" hidden="false" customHeight="false" outlineLevel="0" collapsed="false">
      <c r="A282" s="33"/>
      <c r="B282" s="33"/>
      <c r="C282" s="33"/>
      <c r="D282" s="33"/>
      <c r="E282" s="33"/>
      <c r="F282" s="33"/>
      <c r="G282" s="33"/>
      <c r="H282" s="33"/>
      <c r="I282" s="33"/>
      <c r="J282" s="33"/>
      <c r="K282" s="33"/>
      <c r="L282" s="34"/>
      <c r="M282" s="34"/>
      <c r="N282" s="34"/>
      <c r="O282" s="34"/>
      <c r="P282" s="33"/>
      <c r="Q282" s="35"/>
      <c r="R282" s="33"/>
      <c r="S282" s="33"/>
      <c r="T282" s="33"/>
      <c r="U282" s="33"/>
      <c r="V282" s="33"/>
      <c r="W282" s="33"/>
    </row>
    <row r="283" customFormat="false" ht="15" hidden="false" customHeight="false" outlineLevel="0" collapsed="false">
      <c r="A283" s="33"/>
      <c r="B283" s="33"/>
      <c r="C283" s="33"/>
      <c r="D283" s="33"/>
      <c r="E283" s="33"/>
      <c r="F283" s="33"/>
      <c r="G283" s="33"/>
      <c r="H283" s="33"/>
      <c r="I283" s="33"/>
      <c r="J283" s="33"/>
      <c r="K283" s="33"/>
      <c r="L283" s="34"/>
      <c r="M283" s="34"/>
      <c r="N283" s="34"/>
      <c r="O283" s="34"/>
      <c r="P283" s="33"/>
      <c r="Q283" s="35"/>
      <c r="R283" s="33"/>
      <c r="S283" s="33"/>
      <c r="T283" s="33"/>
      <c r="U283" s="33"/>
      <c r="V283" s="33"/>
      <c r="W283" s="33"/>
    </row>
    <row r="284" customFormat="false" ht="15" hidden="false" customHeight="false" outlineLevel="0" collapsed="false">
      <c r="A284" s="33"/>
      <c r="B284" s="33"/>
      <c r="C284" s="33"/>
      <c r="D284" s="33"/>
      <c r="E284" s="33"/>
      <c r="F284" s="33"/>
      <c r="G284" s="33"/>
      <c r="H284" s="33"/>
      <c r="I284" s="33"/>
      <c r="J284" s="33"/>
      <c r="K284" s="33"/>
      <c r="L284" s="34"/>
      <c r="M284" s="34"/>
      <c r="N284" s="34"/>
      <c r="O284" s="34"/>
      <c r="P284" s="33"/>
      <c r="Q284" s="35"/>
      <c r="R284" s="33"/>
      <c r="S284" s="33"/>
      <c r="T284" s="33"/>
      <c r="U284" s="33"/>
      <c r="V284" s="33"/>
      <c r="W284" s="33"/>
    </row>
    <row r="285" customFormat="false" ht="15" hidden="false" customHeight="false" outlineLevel="0" collapsed="false">
      <c r="A285" s="33"/>
      <c r="B285" s="33"/>
      <c r="C285" s="33"/>
      <c r="D285" s="33"/>
      <c r="E285" s="33"/>
      <c r="F285" s="33"/>
      <c r="G285" s="33"/>
      <c r="H285" s="33"/>
      <c r="I285" s="33"/>
      <c r="J285" s="33"/>
      <c r="K285" s="33"/>
      <c r="L285" s="34"/>
      <c r="M285" s="34"/>
      <c r="N285" s="34"/>
      <c r="O285" s="34"/>
      <c r="P285" s="33"/>
      <c r="Q285" s="35"/>
      <c r="R285" s="33"/>
      <c r="S285" s="33"/>
      <c r="T285" s="33"/>
      <c r="U285" s="33"/>
      <c r="V285" s="33"/>
      <c r="W285" s="33"/>
    </row>
    <row r="286" customFormat="false" ht="15" hidden="false" customHeight="false" outlineLevel="0" collapsed="false">
      <c r="A286" s="33"/>
      <c r="B286" s="33"/>
      <c r="C286" s="33"/>
      <c r="D286" s="33"/>
      <c r="E286" s="33"/>
      <c r="F286" s="33"/>
      <c r="G286" s="33"/>
      <c r="H286" s="33"/>
      <c r="I286" s="33"/>
      <c r="J286" s="33"/>
      <c r="K286" s="33"/>
      <c r="L286" s="34"/>
      <c r="M286" s="34"/>
      <c r="N286" s="34"/>
      <c r="O286" s="34"/>
      <c r="P286" s="33"/>
      <c r="Q286" s="35"/>
      <c r="R286" s="33"/>
      <c r="S286" s="33"/>
      <c r="T286" s="33"/>
      <c r="U286" s="33"/>
      <c r="V286" s="33"/>
      <c r="W286" s="33"/>
    </row>
    <row r="287" customFormat="false" ht="15" hidden="false" customHeight="false" outlineLevel="0" collapsed="false">
      <c r="A287" s="33"/>
      <c r="B287" s="33"/>
      <c r="C287" s="33"/>
      <c r="D287" s="33"/>
      <c r="E287" s="33"/>
      <c r="F287" s="33"/>
      <c r="G287" s="33"/>
      <c r="H287" s="33"/>
      <c r="I287" s="33"/>
      <c r="J287" s="33"/>
      <c r="K287" s="33"/>
      <c r="L287" s="34"/>
      <c r="M287" s="34"/>
      <c r="N287" s="34"/>
      <c r="O287" s="34"/>
      <c r="P287" s="33"/>
      <c r="Q287" s="35"/>
      <c r="R287" s="33"/>
      <c r="S287" s="33"/>
      <c r="T287" s="33"/>
      <c r="U287" s="33"/>
      <c r="V287" s="33"/>
      <c r="W287" s="33"/>
    </row>
    <row r="288" customFormat="false" ht="15" hidden="false" customHeight="false" outlineLevel="0" collapsed="false">
      <c r="A288" s="33"/>
      <c r="B288" s="33"/>
      <c r="C288" s="33"/>
      <c r="D288" s="33"/>
      <c r="E288" s="33"/>
      <c r="F288" s="33"/>
      <c r="G288" s="33"/>
      <c r="H288" s="33"/>
      <c r="I288" s="33"/>
      <c r="J288" s="33"/>
      <c r="K288" s="33"/>
      <c r="L288" s="34"/>
      <c r="M288" s="34"/>
      <c r="N288" s="34"/>
      <c r="O288" s="34"/>
      <c r="P288" s="33"/>
      <c r="Q288" s="35"/>
      <c r="R288" s="33"/>
      <c r="S288" s="33"/>
      <c r="T288" s="33"/>
      <c r="U288" s="33"/>
      <c r="V288" s="33"/>
      <c r="W288" s="33"/>
    </row>
    <row r="289" customFormat="false" ht="15" hidden="false" customHeight="false" outlineLevel="0" collapsed="false">
      <c r="A289" s="33"/>
      <c r="B289" s="33"/>
      <c r="C289" s="33"/>
      <c r="D289" s="33"/>
      <c r="E289" s="33"/>
      <c r="F289" s="33"/>
      <c r="G289" s="33"/>
      <c r="H289" s="33"/>
      <c r="I289" s="33"/>
      <c r="J289" s="33"/>
      <c r="K289" s="33"/>
      <c r="L289" s="34"/>
      <c r="M289" s="34"/>
      <c r="N289" s="34"/>
      <c r="O289" s="34"/>
      <c r="P289" s="33"/>
      <c r="Q289" s="35"/>
      <c r="R289" s="33"/>
      <c r="S289" s="33"/>
      <c r="T289" s="33"/>
      <c r="U289" s="33"/>
      <c r="V289" s="33"/>
      <c r="W289" s="33"/>
    </row>
    <row r="290" customFormat="false" ht="15" hidden="false" customHeight="false" outlineLevel="0" collapsed="false">
      <c r="A290" s="33"/>
      <c r="B290" s="33"/>
      <c r="C290" s="33"/>
      <c r="D290" s="33"/>
      <c r="E290" s="33"/>
      <c r="F290" s="33"/>
      <c r="G290" s="33"/>
      <c r="H290" s="33"/>
      <c r="I290" s="33"/>
      <c r="J290" s="33"/>
      <c r="K290" s="33"/>
      <c r="L290" s="34"/>
      <c r="M290" s="34"/>
      <c r="N290" s="34"/>
      <c r="O290" s="34"/>
      <c r="P290" s="33"/>
      <c r="Q290" s="35"/>
      <c r="R290" s="33"/>
      <c r="S290" s="33"/>
      <c r="T290" s="33"/>
      <c r="U290" s="33"/>
      <c r="V290" s="33"/>
      <c r="W290" s="33"/>
    </row>
    <row r="291" customFormat="false" ht="15" hidden="false" customHeight="false" outlineLevel="0" collapsed="false">
      <c r="A291" s="33"/>
      <c r="B291" s="33"/>
      <c r="C291" s="33"/>
      <c r="D291" s="33"/>
      <c r="E291" s="33"/>
      <c r="F291" s="33"/>
      <c r="G291" s="33"/>
      <c r="H291" s="33"/>
      <c r="I291" s="33"/>
      <c r="J291" s="33"/>
      <c r="K291" s="33"/>
      <c r="L291" s="34"/>
      <c r="M291" s="34"/>
      <c r="N291" s="34"/>
      <c r="O291" s="34"/>
      <c r="P291" s="33"/>
      <c r="Q291" s="35"/>
      <c r="R291" s="33"/>
      <c r="S291" s="33"/>
      <c r="T291" s="33"/>
      <c r="U291" s="33"/>
      <c r="V291" s="33"/>
      <c r="W291" s="33"/>
    </row>
    <row r="292" customFormat="false" ht="15" hidden="false" customHeight="false" outlineLevel="0" collapsed="false">
      <c r="A292" s="33"/>
      <c r="B292" s="33"/>
      <c r="C292" s="33"/>
      <c r="D292" s="33"/>
      <c r="E292" s="33"/>
      <c r="F292" s="33"/>
      <c r="G292" s="33"/>
      <c r="H292" s="33"/>
      <c r="I292" s="33"/>
      <c r="J292" s="33"/>
      <c r="K292" s="33"/>
      <c r="L292" s="34"/>
      <c r="M292" s="34"/>
      <c r="N292" s="34"/>
      <c r="O292" s="34"/>
      <c r="P292" s="33"/>
      <c r="Q292" s="35"/>
      <c r="R292" s="33"/>
      <c r="S292" s="33"/>
      <c r="T292" s="33"/>
      <c r="U292" s="33"/>
      <c r="V292" s="33"/>
      <c r="W292" s="33"/>
    </row>
    <row r="293" customFormat="false" ht="15" hidden="false" customHeight="false" outlineLevel="0" collapsed="false">
      <c r="A293" s="33"/>
      <c r="B293" s="33"/>
      <c r="C293" s="33"/>
      <c r="D293" s="33"/>
      <c r="E293" s="33"/>
      <c r="F293" s="33"/>
      <c r="G293" s="33"/>
      <c r="H293" s="33"/>
      <c r="I293" s="33"/>
      <c r="J293" s="33"/>
      <c r="K293" s="33"/>
      <c r="L293" s="34"/>
      <c r="M293" s="34"/>
      <c r="N293" s="34"/>
      <c r="O293" s="34"/>
      <c r="P293" s="33"/>
      <c r="Q293" s="35"/>
      <c r="R293" s="33"/>
      <c r="S293" s="33"/>
      <c r="T293" s="33"/>
      <c r="U293" s="33"/>
      <c r="V293" s="33"/>
      <c r="W293" s="33"/>
    </row>
    <row r="294" customFormat="false" ht="15" hidden="false" customHeight="false" outlineLevel="0" collapsed="false">
      <c r="A294" s="33"/>
      <c r="B294" s="33"/>
      <c r="C294" s="33"/>
      <c r="D294" s="33"/>
      <c r="E294" s="33"/>
      <c r="F294" s="33"/>
      <c r="G294" s="33"/>
      <c r="H294" s="33"/>
      <c r="I294" s="33"/>
      <c r="J294" s="33"/>
      <c r="K294" s="33"/>
      <c r="L294" s="34"/>
      <c r="M294" s="34"/>
      <c r="N294" s="34"/>
      <c r="O294" s="34"/>
      <c r="P294" s="33"/>
      <c r="Q294" s="35"/>
      <c r="R294" s="33"/>
      <c r="S294" s="33"/>
      <c r="T294" s="33"/>
      <c r="U294" s="33"/>
      <c r="V294" s="33"/>
      <c r="W294" s="33"/>
    </row>
    <row r="295" customFormat="false" ht="15" hidden="false" customHeight="false" outlineLevel="0" collapsed="false">
      <c r="A295" s="33"/>
      <c r="B295" s="33"/>
      <c r="C295" s="33"/>
      <c r="D295" s="33"/>
      <c r="E295" s="33"/>
      <c r="F295" s="33"/>
      <c r="G295" s="33"/>
      <c r="H295" s="33"/>
      <c r="I295" s="33"/>
      <c r="J295" s="33"/>
      <c r="K295" s="33"/>
      <c r="L295" s="34"/>
      <c r="M295" s="34"/>
      <c r="N295" s="34"/>
      <c r="O295" s="34"/>
      <c r="P295" s="33"/>
      <c r="Q295" s="35"/>
      <c r="R295" s="33"/>
      <c r="S295" s="33"/>
      <c r="T295" s="33"/>
      <c r="U295" s="33"/>
      <c r="V295" s="33"/>
      <c r="W295" s="33"/>
    </row>
    <row r="296" customFormat="false" ht="15" hidden="false" customHeight="false" outlineLevel="0" collapsed="false">
      <c r="A296" s="33"/>
      <c r="B296" s="33"/>
      <c r="C296" s="33"/>
      <c r="D296" s="33"/>
      <c r="E296" s="33"/>
      <c r="F296" s="33"/>
      <c r="G296" s="33"/>
      <c r="H296" s="33"/>
      <c r="I296" s="33"/>
      <c r="J296" s="33"/>
      <c r="K296" s="33"/>
      <c r="L296" s="34"/>
      <c r="M296" s="34"/>
      <c r="N296" s="34"/>
      <c r="O296" s="34"/>
      <c r="P296" s="33"/>
      <c r="Q296" s="35"/>
      <c r="R296" s="33"/>
      <c r="S296" s="33"/>
      <c r="T296" s="33"/>
      <c r="U296" s="33"/>
      <c r="V296" s="33"/>
      <c r="W296" s="33"/>
    </row>
    <row r="297" customFormat="false" ht="15" hidden="false" customHeight="false" outlineLevel="0" collapsed="false">
      <c r="A297" s="33"/>
      <c r="B297" s="33"/>
      <c r="C297" s="33"/>
      <c r="D297" s="33"/>
      <c r="E297" s="33"/>
      <c r="F297" s="33"/>
      <c r="G297" s="33"/>
      <c r="H297" s="33"/>
      <c r="I297" s="33"/>
      <c r="J297" s="33"/>
      <c r="K297" s="33"/>
      <c r="L297" s="34"/>
      <c r="M297" s="34"/>
      <c r="N297" s="34"/>
      <c r="O297" s="34"/>
      <c r="P297" s="33"/>
      <c r="Q297" s="35"/>
      <c r="R297" s="33"/>
      <c r="S297" s="33"/>
      <c r="T297" s="33"/>
      <c r="U297" s="33"/>
      <c r="V297" s="33"/>
      <c r="W297" s="33"/>
    </row>
    <row r="298" customFormat="false" ht="15" hidden="false" customHeight="false" outlineLevel="0" collapsed="false">
      <c r="A298" s="33"/>
      <c r="B298" s="33"/>
      <c r="C298" s="33"/>
      <c r="D298" s="33"/>
      <c r="E298" s="33"/>
      <c r="F298" s="33"/>
      <c r="G298" s="33"/>
      <c r="H298" s="33"/>
      <c r="I298" s="33"/>
      <c r="J298" s="33"/>
      <c r="K298" s="33"/>
      <c r="L298" s="34"/>
      <c r="M298" s="34"/>
      <c r="N298" s="34"/>
      <c r="O298" s="34"/>
      <c r="P298" s="33"/>
      <c r="Q298" s="35"/>
      <c r="R298" s="33"/>
      <c r="S298" s="33"/>
      <c r="T298" s="33"/>
      <c r="U298" s="33"/>
      <c r="V298" s="33"/>
      <c r="W298" s="33"/>
    </row>
    <row r="299" customFormat="false" ht="15" hidden="false" customHeight="false" outlineLevel="0" collapsed="false">
      <c r="A299" s="33"/>
      <c r="B299" s="33"/>
      <c r="C299" s="33"/>
      <c r="D299" s="33"/>
      <c r="E299" s="33"/>
      <c r="F299" s="33"/>
      <c r="G299" s="33"/>
      <c r="H299" s="33"/>
      <c r="I299" s="33"/>
      <c r="J299" s="33"/>
      <c r="K299" s="33"/>
      <c r="L299" s="34"/>
      <c r="M299" s="34"/>
      <c r="N299" s="34"/>
      <c r="O299" s="34"/>
      <c r="P299" s="33"/>
      <c r="Q299" s="35"/>
      <c r="R299" s="33"/>
      <c r="S299" s="33"/>
      <c r="T299" s="33"/>
      <c r="U299" s="33"/>
      <c r="V299" s="33"/>
      <c r="W299" s="33"/>
    </row>
    <row r="300" customFormat="false" ht="15" hidden="false" customHeight="false" outlineLevel="0" collapsed="false">
      <c r="A300" s="33"/>
      <c r="B300" s="33"/>
      <c r="C300" s="33"/>
      <c r="D300" s="33"/>
      <c r="E300" s="33"/>
      <c r="F300" s="33"/>
      <c r="G300" s="33"/>
      <c r="H300" s="33"/>
      <c r="I300" s="33"/>
      <c r="J300" s="33"/>
      <c r="K300" s="33"/>
      <c r="L300" s="34"/>
      <c r="M300" s="34"/>
      <c r="N300" s="34"/>
      <c r="O300" s="34"/>
      <c r="P300" s="33"/>
      <c r="Q300" s="35"/>
      <c r="R300" s="33"/>
      <c r="S300" s="33"/>
      <c r="T300" s="33"/>
      <c r="U300" s="33"/>
      <c r="V300" s="33"/>
      <c r="W300" s="33"/>
    </row>
  </sheetData>
  <autoFilter ref="A4:W16"/>
  <mergeCells count="6">
    <mergeCell ref="A3:C3"/>
    <mergeCell ref="D3:H3"/>
    <mergeCell ref="I3:O3"/>
    <mergeCell ref="P3:R3"/>
    <mergeCell ref="S3:U3"/>
    <mergeCell ref="V3:W3"/>
  </mergeCells>
  <conditionalFormatting sqref="P5:P300">
    <cfRule type="expression" priority="2" aboveAverage="0" equalAverage="0" bottom="0" percent="0" rank="0" text="" dxfId="5">
      <formula>$P5="AVL"</formula>
    </cfRule>
    <cfRule type="expression" priority="3" aboveAverage="0" equalAverage="0" bottom="0" percent="0" rank="0" text="" dxfId="6">
      <formula>$P5="Qualified"</formula>
    </cfRule>
    <cfRule type="expression" priority="4" aboveAverage="0" equalAverage="0" bottom="0" percent="0" rank="0" text="" dxfId="7">
      <formula>$P5="Prequalified"</formula>
    </cfRule>
    <cfRule type="expression" priority="5" aboveAverage="0" equalAverage="0" bottom="0" percent="0" rank="0" text="" dxfId="8">
      <formula>$P5="On Hold"</formula>
    </cfRule>
    <cfRule type="expression" priority="6" aboveAverage="0" equalAverage="0" bottom="0" percent="0" rank="0" text="" dxfId="9">
      <formula>$P5="Disqualified"</formula>
    </cfRule>
  </conditionalFormatting>
  <conditionalFormatting sqref="W5:W300">
    <cfRule type="expression" priority="7" aboveAverage="0" equalAverage="0" bottom="0" percent="0" rank="0" text="" dxfId="9">
      <formula>$W5="High"</formula>
    </cfRule>
    <cfRule type="expression" priority="8" aboveAverage="0" equalAverage="0" bottom="0" percent="0" rank="0" text="" dxfId="10">
      <formula>$W5="FEOC Review"</formula>
    </cfRule>
    <cfRule type="expression" priority="9" aboveAverage="0" equalAverage="0" bottom="0" percent="0" rank="0" text="" dxfId="8">
      <formula>$W5="Medium"</formula>
    </cfRule>
    <cfRule type="expression" priority="10" aboveAverage="0" equalAverage="0" bottom="0" percent="0" rank="0" text="" dxfId="5">
      <formula>$W5="Low"</formula>
    </cfRule>
  </conditionalFormatting>
  <dataValidations count="5">
    <dataValidation allowBlank="true" error="Pick a value from the list (edit the Lists tab to change options)." errorStyle="stop" errorTitle="Invalid entry" operator="between" showDropDown="false" showErrorMessage="true" showInputMessage="false" sqref="P5:P300" type="list">
      <formula1>lst_status</formula1>
      <formula2>0</formula2>
    </dataValidation>
    <dataValidation allowBlank="true" error="Pick a value from the list (edit the Lists tab to change options)." errorStyle="stop" errorTitle="Invalid entry" operator="between" showDropDown="false" showErrorMessage="true" showInputMessage="false" sqref="R5:R300" type="list">
      <formula1>lst_rfx</formula1>
      <formula2>0</formula2>
    </dataValidation>
    <dataValidation allowBlank="true" error="Pick a value from the list (edit the Lists tab to change options)." errorStyle="stop" errorTitle="Invalid entry" operator="between" showDropDown="false" showErrorMessage="true" showInputMessage="false" sqref="T5:T300" type="list">
      <formula1>lst_fin</formula1>
      <formula2>0</formula2>
    </dataValidation>
    <dataValidation allowBlank="true" error="Pick a value from the list (edit the Lists tab to change options)." errorStyle="stop" errorTitle="Invalid entry" operator="between" showDropDown="false" showErrorMessage="true" showInputMessage="false" sqref="W5:W300" type="list">
      <formula1>lst_scr</formula1>
      <formula2>0</formula2>
    </dataValidation>
    <dataValidation allowBlank="true" error="Enter a date (yyyy-mm-dd)." errorStyle="stop" operator="greaterThan" showDropDown="false" showErrorMessage="true" showInputMessage="false" sqref="Q5:Q300" type="date">
      <formula1>DATE(2020,1,1)</formula1>
      <formula2>0</formula2>
    </dataValidation>
  </dataValidations>
  <hyperlinks>
    <hyperlink ref="I5" r:id="rId2" display="https://www.tesla.com/support/energy/tesla-software/autobidder"/>
    <hyperlink ref="K5" r:id="rId3" display="https://www.tesla.com/contact"/>
    <hyperlink ref="I6" r:id="rId4" display="https://fluenceenergy.com"/>
    <hyperlink ref="K6" r:id="rId5" display="https://fluenceenergy.com/contact/"/>
    <hyperlink ref="I7" r:id="rId6" display="https://www.ascendanalytics.com"/>
    <hyperlink ref="K7" r:id="rId7" display="https://www.ascendanalytics.com/about-us/lets-connect"/>
    <hyperlink ref="I8" r:id="rId8" display="https://www.pcienergysolutions.com"/>
    <hyperlink ref="K8" r:id="rId9" display="https://www.pcienergysolutions.com/contact-us/"/>
    <hyperlink ref="I9" r:id="rId10" display="https://www.yesenergy.com"/>
    <hyperlink ref="K9" r:id="rId11" display="https://www.yesenergy.com/locations"/>
    <hyperlink ref="I10" r:id="rId12" display="https://www.enverus.com"/>
    <hyperlink ref="K10" r:id="rId13" display="https://www.enverus.com/contact-us/"/>
    <hyperlink ref="I11" r:id="rId14" display="https://www.powerfactors.com"/>
    <hyperlink ref="K11" r:id="rId15" display="https://www.powerfactors.com/contact"/>
    <hyperlink ref="I12" r:id="rId16" display="https://www.habitat.energy"/>
    <hyperlink ref="K12" r:id="rId17" display="https://www.habitat.energy/contact"/>
    <hyperlink ref="I13" r:id="rId18" display="https://www.tyba.ai"/>
    <hyperlink ref="K13" r:id="rId19" display="https://www.tyba.ai/contact/"/>
    <hyperlink ref="I14" r:id="rId20" display="https://modoenergy.com"/>
    <hyperlink ref="I15" r:id="rId21" display="https://www.stem.com"/>
    <hyperlink ref="K15" r:id="rId22" display="https://www.stem.com/contact/"/>
    <hyperlink ref="I16" r:id="rId23" display="https://www.tenaska.com/our-business/power-marketing/"/>
    <hyperlink ref="K16" r:id="rId24" display="https://www.tenaska.com/contact-u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5"/>
  <legacyDrawing r:id="rId26"/>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4" min="1" style="0" width="22"/>
  </cols>
  <sheetData>
    <row r="1" customFormat="false" ht="15" hidden="false" customHeight="false" outlineLevel="0" collapsed="false">
      <c r="A1" s="7" t="s">
        <v>103</v>
      </c>
      <c r="B1" s="7" t="s">
        <v>105</v>
      </c>
      <c r="C1" s="7" t="s">
        <v>41</v>
      </c>
      <c r="D1" s="7" t="s">
        <v>109</v>
      </c>
    </row>
    <row r="2" customFormat="false" ht="15" hidden="false" customHeight="false" outlineLevel="0" collapsed="false">
      <c r="A2" s="36" t="s">
        <v>19</v>
      </c>
      <c r="B2" s="36" t="s">
        <v>117</v>
      </c>
      <c r="C2" s="36" t="s">
        <v>1058</v>
      </c>
      <c r="D2" s="36" t="s">
        <v>1059</v>
      </c>
    </row>
    <row r="3" customFormat="false" ht="15" hidden="false" customHeight="false" outlineLevel="0" collapsed="false">
      <c r="A3" s="36" t="s">
        <v>21</v>
      </c>
      <c r="B3" s="36" t="s">
        <v>1060</v>
      </c>
      <c r="C3" s="36" t="s">
        <v>1061</v>
      </c>
      <c r="D3" s="36" t="s">
        <v>1062</v>
      </c>
    </row>
    <row r="4" customFormat="false" ht="15" hidden="false" customHeight="false" outlineLevel="0" collapsed="false">
      <c r="A4" s="36" t="s">
        <v>23</v>
      </c>
      <c r="B4" s="36" t="s">
        <v>1063</v>
      </c>
      <c r="C4" s="36" t="s">
        <v>1064</v>
      </c>
      <c r="D4" s="36" t="s">
        <v>1065</v>
      </c>
    </row>
    <row r="5" customFormat="false" ht="15" hidden="false" customHeight="false" outlineLevel="0" collapsed="false">
      <c r="A5" s="36" t="s">
        <v>25</v>
      </c>
      <c r="B5" s="36" t="s">
        <v>1066</v>
      </c>
      <c r="C5" s="36" t="s">
        <v>119</v>
      </c>
      <c r="D5" s="36" t="s">
        <v>67</v>
      </c>
    </row>
    <row r="6" customFormat="false" ht="15" hidden="false" customHeight="false" outlineLevel="0" collapsed="false">
      <c r="A6" s="36" t="s">
        <v>27</v>
      </c>
      <c r="B6" s="36" t="s">
        <v>1067</v>
      </c>
      <c r="D6" s="36" t="s">
        <v>119</v>
      </c>
    </row>
    <row r="7" customFormat="false" ht="15" hidden="false" customHeight="false" outlineLevel="0" collapsed="false">
      <c r="A7" s="36" t="s">
        <v>29</v>
      </c>
      <c r="B7" s="36" t="s">
        <v>1068</v>
      </c>
    </row>
    <row r="8" customFormat="false" ht="15" hidden="false" customHeight="false" outlineLevel="0" collapsed="false">
      <c r="B8" s="36" t="s">
        <v>1069</v>
      </c>
    </row>
    <row r="9" customFormat="false" ht="15" hidden="false" customHeight="false" outlineLevel="0" collapsed="false">
      <c r="B9" s="36" t="s">
        <v>1070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40"/>
    <col collapsed="false" customWidth="true" hidden="false" outlineLevel="0" max="3" min="3" style="0" width="18"/>
    <col collapsed="false" customWidth="true" hidden="false" outlineLevel="0" max="4" min="4" style="0" width="100"/>
  </cols>
  <sheetData>
    <row r="1" customFormat="false" ht="15" hidden="false" customHeight="false" outlineLevel="0" collapsed="false">
      <c r="A1" s="3" t="s">
        <v>88</v>
      </c>
      <c r="B1" s="3" t="s">
        <v>58</v>
      </c>
      <c r="C1" s="3" t="s">
        <v>1071</v>
      </c>
      <c r="D1" s="3" t="s">
        <v>1072</v>
      </c>
    </row>
    <row r="2" customFormat="false" ht="15" hidden="false" customHeight="false" outlineLevel="0" collapsed="false">
      <c r="A2" s="37" t="s">
        <v>110</v>
      </c>
      <c r="B2" s="37" t="s">
        <v>111</v>
      </c>
      <c r="C2" s="37" t="s">
        <v>70</v>
      </c>
      <c r="D2" s="38" t="s">
        <v>1073</v>
      </c>
    </row>
    <row r="3" customFormat="false" ht="15" hidden="false" customHeight="false" outlineLevel="0" collapsed="false">
      <c r="A3" s="37" t="s">
        <v>110</v>
      </c>
      <c r="B3" s="37" t="s">
        <v>111</v>
      </c>
      <c r="C3" s="37" t="s">
        <v>70</v>
      </c>
      <c r="D3" s="38" t="s">
        <v>1074</v>
      </c>
    </row>
    <row r="4" customFormat="false" ht="15" hidden="false" customHeight="false" outlineLevel="0" collapsed="false">
      <c r="A4" s="37" t="s">
        <v>110</v>
      </c>
      <c r="B4" s="37" t="s">
        <v>111</v>
      </c>
      <c r="C4" s="37" t="s">
        <v>70</v>
      </c>
      <c r="D4" s="38" t="s">
        <v>116</v>
      </c>
    </row>
    <row r="5" customFormat="false" ht="15" hidden="false" customHeight="false" outlineLevel="0" collapsed="false">
      <c r="A5" s="37" t="s">
        <v>122</v>
      </c>
      <c r="B5" s="37" t="s">
        <v>123</v>
      </c>
      <c r="C5" s="37" t="s">
        <v>70</v>
      </c>
      <c r="D5" s="38" t="s">
        <v>130</v>
      </c>
    </row>
    <row r="6" customFormat="false" ht="15" hidden="false" customHeight="false" outlineLevel="0" collapsed="false">
      <c r="A6" s="37" t="s">
        <v>122</v>
      </c>
      <c r="B6" s="37" t="s">
        <v>123</v>
      </c>
      <c r="C6" s="37" t="s">
        <v>70</v>
      </c>
      <c r="D6" s="38" t="s">
        <v>1075</v>
      </c>
    </row>
    <row r="7" customFormat="false" ht="15" hidden="false" customHeight="false" outlineLevel="0" collapsed="false">
      <c r="A7" s="37" t="s">
        <v>122</v>
      </c>
      <c r="B7" s="37" t="s">
        <v>123</v>
      </c>
      <c r="C7" s="37" t="s">
        <v>70</v>
      </c>
      <c r="D7" s="38" t="s">
        <v>1076</v>
      </c>
    </row>
    <row r="8" customFormat="false" ht="15" hidden="false" customHeight="false" outlineLevel="0" collapsed="false">
      <c r="A8" s="37" t="s">
        <v>134</v>
      </c>
      <c r="B8" s="37" t="s">
        <v>135</v>
      </c>
      <c r="C8" s="37" t="s">
        <v>70</v>
      </c>
      <c r="D8" s="38" t="s">
        <v>1077</v>
      </c>
    </row>
    <row r="9" customFormat="false" ht="15" hidden="false" customHeight="false" outlineLevel="0" collapsed="false">
      <c r="A9" s="37" t="s">
        <v>134</v>
      </c>
      <c r="B9" s="37" t="s">
        <v>135</v>
      </c>
      <c r="C9" s="37" t="s">
        <v>70</v>
      </c>
      <c r="D9" s="38" t="s">
        <v>1078</v>
      </c>
    </row>
    <row r="10" customFormat="false" ht="15" hidden="false" customHeight="false" outlineLevel="0" collapsed="false">
      <c r="A10" s="37" t="s">
        <v>134</v>
      </c>
      <c r="B10" s="37" t="s">
        <v>135</v>
      </c>
      <c r="C10" s="37" t="s">
        <v>70</v>
      </c>
      <c r="D10" s="38" t="s">
        <v>1079</v>
      </c>
    </row>
    <row r="11" customFormat="false" ht="15" hidden="false" customHeight="false" outlineLevel="0" collapsed="false">
      <c r="A11" s="37" t="s">
        <v>134</v>
      </c>
      <c r="B11" s="37" t="s">
        <v>135</v>
      </c>
      <c r="C11" s="37" t="s">
        <v>70</v>
      </c>
      <c r="D11" s="38" t="s">
        <v>1080</v>
      </c>
    </row>
    <row r="12" customFormat="false" ht="15" hidden="false" customHeight="false" outlineLevel="0" collapsed="false">
      <c r="A12" s="37" t="s">
        <v>145</v>
      </c>
      <c r="B12" s="37" t="s">
        <v>146</v>
      </c>
      <c r="C12" s="37" t="s">
        <v>70</v>
      </c>
      <c r="D12" s="38" t="s">
        <v>1081</v>
      </c>
    </row>
    <row r="13" customFormat="false" ht="15" hidden="false" customHeight="false" outlineLevel="0" collapsed="false">
      <c r="A13" s="37" t="s">
        <v>145</v>
      </c>
      <c r="B13" s="37" t="s">
        <v>146</v>
      </c>
      <c r="C13" s="37" t="s">
        <v>70</v>
      </c>
      <c r="D13" s="38" t="s">
        <v>1082</v>
      </c>
    </row>
    <row r="14" customFormat="false" ht="15" hidden="false" customHeight="false" outlineLevel="0" collapsed="false">
      <c r="A14" s="37" t="s">
        <v>145</v>
      </c>
      <c r="B14" s="37" t="s">
        <v>146</v>
      </c>
      <c r="C14" s="37" t="s">
        <v>70</v>
      </c>
      <c r="D14" s="38" t="s">
        <v>1083</v>
      </c>
    </row>
    <row r="15" customFormat="false" ht="15" hidden="false" customHeight="false" outlineLevel="0" collapsed="false">
      <c r="A15" s="37" t="s">
        <v>145</v>
      </c>
      <c r="B15" s="37" t="s">
        <v>146</v>
      </c>
      <c r="C15" s="37" t="s">
        <v>70</v>
      </c>
      <c r="D15" s="38" t="s">
        <v>1084</v>
      </c>
    </row>
    <row r="16" customFormat="false" ht="15" hidden="false" customHeight="false" outlineLevel="0" collapsed="false">
      <c r="A16" s="37" t="s">
        <v>156</v>
      </c>
      <c r="B16" s="37" t="s">
        <v>157</v>
      </c>
      <c r="C16" s="37" t="s">
        <v>70</v>
      </c>
      <c r="D16" s="38" t="s">
        <v>164</v>
      </c>
    </row>
    <row r="17" customFormat="false" ht="15" hidden="false" customHeight="false" outlineLevel="0" collapsed="false">
      <c r="A17" s="37" t="s">
        <v>156</v>
      </c>
      <c r="B17" s="37" t="s">
        <v>157</v>
      </c>
      <c r="C17" s="37" t="s">
        <v>70</v>
      </c>
      <c r="D17" s="38" t="s">
        <v>1085</v>
      </c>
    </row>
    <row r="18" customFormat="false" ht="15" hidden="false" customHeight="false" outlineLevel="0" collapsed="false">
      <c r="A18" s="37" t="s">
        <v>156</v>
      </c>
      <c r="B18" s="37" t="s">
        <v>157</v>
      </c>
      <c r="C18" s="37" t="s">
        <v>70</v>
      </c>
      <c r="D18" s="38" t="s">
        <v>1086</v>
      </c>
    </row>
    <row r="19" customFormat="false" ht="15" hidden="false" customHeight="false" outlineLevel="0" collapsed="false">
      <c r="A19" s="37" t="s">
        <v>156</v>
      </c>
      <c r="B19" s="37" t="s">
        <v>157</v>
      </c>
      <c r="C19" s="37" t="s">
        <v>70</v>
      </c>
      <c r="D19" s="38" t="s">
        <v>1087</v>
      </c>
    </row>
    <row r="20" customFormat="false" ht="15" hidden="false" customHeight="false" outlineLevel="0" collapsed="false">
      <c r="A20" s="37" t="s">
        <v>156</v>
      </c>
      <c r="B20" s="37" t="s">
        <v>157</v>
      </c>
      <c r="C20" s="37" t="s">
        <v>70</v>
      </c>
      <c r="D20" s="38" t="s">
        <v>1088</v>
      </c>
    </row>
    <row r="21" customFormat="false" ht="15" hidden="false" customHeight="false" outlineLevel="0" collapsed="false">
      <c r="A21" s="37" t="s">
        <v>156</v>
      </c>
      <c r="B21" s="37" t="s">
        <v>157</v>
      </c>
      <c r="C21" s="37" t="s">
        <v>70</v>
      </c>
      <c r="D21" s="38" t="s">
        <v>1089</v>
      </c>
    </row>
    <row r="22" customFormat="false" ht="15" hidden="false" customHeight="false" outlineLevel="0" collapsed="false">
      <c r="A22" s="37" t="s">
        <v>168</v>
      </c>
      <c r="B22" s="37" t="s">
        <v>169</v>
      </c>
      <c r="C22" s="37" t="s">
        <v>70</v>
      </c>
      <c r="D22" s="38" t="s">
        <v>1090</v>
      </c>
    </row>
    <row r="23" customFormat="false" ht="15" hidden="false" customHeight="false" outlineLevel="0" collapsed="false">
      <c r="A23" s="37" t="s">
        <v>168</v>
      </c>
      <c r="B23" s="37" t="s">
        <v>169</v>
      </c>
      <c r="C23" s="37" t="s">
        <v>70</v>
      </c>
      <c r="D23" s="38" t="s">
        <v>1091</v>
      </c>
    </row>
    <row r="24" customFormat="false" ht="15" hidden="false" customHeight="false" outlineLevel="0" collapsed="false">
      <c r="A24" s="37" t="s">
        <v>168</v>
      </c>
      <c r="B24" s="37" t="s">
        <v>169</v>
      </c>
      <c r="C24" s="37" t="s">
        <v>70</v>
      </c>
      <c r="D24" s="38" t="s">
        <v>1092</v>
      </c>
    </row>
    <row r="25" customFormat="false" ht="15" hidden="false" customHeight="false" outlineLevel="0" collapsed="false">
      <c r="A25" s="37" t="s">
        <v>180</v>
      </c>
      <c r="B25" s="37" t="s">
        <v>181</v>
      </c>
      <c r="C25" s="37" t="s">
        <v>70</v>
      </c>
      <c r="D25" s="38" t="s">
        <v>1093</v>
      </c>
    </row>
    <row r="26" customFormat="false" ht="15" hidden="false" customHeight="false" outlineLevel="0" collapsed="false">
      <c r="A26" s="37" t="s">
        <v>180</v>
      </c>
      <c r="B26" s="37" t="s">
        <v>181</v>
      </c>
      <c r="C26" s="37" t="s">
        <v>70</v>
      </c>
      <c r="D26" s="38" t="s">
        <v>188</v>
      </c>
    </row>
    <row r="27" customFormat="false" ht="15" hidden="false" customHeight="false" outlineLevel="0" collapsed="false">
      <c r="A27" s="37" t="s">
        <v>180</v>
      </c>
      <c r="B27" s="37" t="s">
        <v>181</v>
      </c>
      <c r="C27" s="37" t="s">
        <v>70</v>
      </c>
      <c r="D27" s="38" t="s">
        <v>1094</v>
      </c>
    </row>
    <row r="28" customFormat="false" ht="15" hidden="false" customHeight="false" outlineLevel="0" collapsed="false">
      <c r="A28" s="37" t="s">
        <v>180</v>
      </c>
      <c r="B28" s="37" t="s">
        <v>181</v>
      </c>
      <c r="C28" s="37" t="s">
        <v>70</v>
      </c>
      <c r="D28" s="38" t="s">
        <v>1095</v>
      </c>
    </row>
    <row r="29" customFormat="false" ht="15" hidden="false" customHeight="false" outlineLevel="0" collapsed="false">
      <c r="A29" s="37" t="s">
        <v>192</v>
      </c>
      <c r="B29" s="37" t="s">
        <v>193</v>
      </c>
      <c r="C29" s="37" t="s">
        <v>70</v>
      </c>
      <c r="D29" s="38" t="s">
        <v>200</v>
      </c>
    </row>
    <row r="30" customFormat="false" ht="15" hidden="false" customHeight="false" outlineLevel="0" collapsed="false">
      <c r="A30" s="37" t="s">
        <v>192</v>
      </c>
      <c r="B30" s="37" t="s">
        <v>193</v>
      </c>
      <c r="C30" s="37" t="s">
        <v>70</v>
      </c>
      <c r="D30" s="38" t="s">
        <v>1096</v>
      </c>
    </row>
    <row r="31" customFormat="false" ht="15" hidden="false" customHeight="false" outlineLevel="0" collapsed="false">
      <c r="A31" s="37" t="s">
        <v>192</v>
      </c>
      <c r="B31" s="37" t="s">
        <v>193</v>
      </c>
      <c r="C31" s="37" t="s">
        <v>70</v>
      </c>
      <c r="D31" s="38" t="s">
        <v>1097</v>
      </c>
    </row>
    <row r="32" customFormat="false" ht="15" hidden="false" customHeight="false" outlineLevel="0" collapsed="false">
      <c r="A32" s="37" t="s">
        <v>192</v>
      </c>
      <c r="B32" s="37" t="s">
        <v>193</v>
      </c>
      <c r="C32" s="37" t="s">
        <v>70</v>
      </c>
      <c r="D32" s="38" t="s">
        <v>1098</v>
      </c>
    </row>
    <row r="33" customFormat="false" ht="15" hidden="false" customHeight="false" outlineLevel="0" collapsed="false">
      <c r="A33" s="37" t="s">
        <v>206</v>
      </c>
      <c r="B33" s="37" t="s">
        <v>207</v>
      </c>
      <c r="C33" s="37" t="s">
        <v>71</v>
      </c>
      <c r="D33" s="38" t="s">
        <v>1099</v>
      </c>
    </row>
    <row r="34" customFormat="false" ht="15" hidden="false" customHeight="false" outlineLevel="0" collapsed="false">
      <c r="A34" s="37" t="s">
        <v>206</v>
      </c>
      <c r="B34" s="37" t="s">
        <v>207</v>
      </c>
      <c r="C34" s="37" t="s">
        <v>71</v>
      </c>
      <c r="D34" s="38" t="s">
        <v>1100</v>
      </c>
    </row>
    <row r="35" customFormat="false" ht="15" hidden="false" customHeight="false" outlineLevel="0" collapsed="false">
      <c r="A35" s="37" t="s">
        <v>206</v>
      </c>
      <c r="B35" s="37" t="s">
        <v>207</v>
      </c>
      <c r="C35" s="37" t="s">
        <v>71</v>
      </c>
      <c r="D35" s="38" t="s">
        <v>213</v>
      </c>
    </row>
    <row r="36" customFormat="false" ht="15" hidden="false" customHeight="false" outlineLevel="0" collapsed="false">
      <c r="A36" s="37" t="s">
        <v>217</v>
      </c>
      <c r="B36" s="37" t="s">
        <v>181</v>
      </c>
      <c r="C36" s="37" t="s">
        <v>71</v>
      </c>
      <c r="D36" s="38" t="s">
        <v>1093</v>
      </c>
    </row>
    <row r="37" customFormat="false" ht="15" hidden="false" customHeight="false" outlineLevel="0" collapsed="false">
      <c r="A37" s="37" t="s">
        <v>217</v>
      </c>
      <c r="B37" s="37" t="s">
        <v>181</v>
      </c>
      <c r="C37" s="37" t="s">
        <v>71</v>
      </c>
      <c r="D37" s="38" t="s">
        <v>1094</v>
      </c>
    </row>
    <row r="38" customFormat="false" ht="15" hidden="false" customHeight="false" outlineLevel="0" collapsed="false">
      <c r="A38" s="37" t="s">
        <v>217</v>
      </c>
      <c r="B38" s="37" t="s">
        <v>181</v>
      </c>
      <c r="C38" s="37" t="s">
        <v>71</v>
      </c>
      <c r="D38" s="38" t="s">
        <v>1095</v>
      </c>
    </row>
    <row r="39" customFormat="false" ht="15" hidden="false" customHeight="false" outlineLevel="0" collapsed="false">
      <c r="A39" s="37" t="s">
        <v>221</v>
      </c>
      <c r="B39" s="37" t="s">
        <v>222</v>
      </c>
      <c r="C39" s="37" t="s">
        <v>71</v>
      </c>
      <c r="D39" s="38" t="s">
        <v>227</v>
      </c>
    </row>
    <row r="40" customFormat="false" ht="15" hidden="false" customHeight="false" outlineLevel="0" collapsed="false">
      <c r="A40" s="37" t="s">
        <v>221</v>
      </c>
      <c r="B40" s="37" t="s">
        <v>222</v>
      </c>
      <c r="C40" s="37" t="s">
        <v>71</v>
      </c>
      <c r="D40" s="38" t="s">
        <v>1101</v>
      </c>
    </row>
    <row r="41" customFormat="false" ht="15" hidden="false" customHeight="false" outlineLevel="0" collapsed="false">
      <c r="A41" s="37" t="s">
        <v>230</v>
      </c>
      <c r="B41" s="37" t="s">
        <v>231</v>
      </c>
      <c r="C41" s="37" t="s">
        <v>71</v>
      </c>
      <c r="D41" s="38" t="s">
        <v>237</v>
      </c>
    </row>
    <row r="42" customFormat="false" ht="15" hidden="false" customHeight="false" outlineLevel="0" collapsed="false">
      <c r="A42" s="37" t="s">
        <v>230</v>
      </c>
      <c r="B42" s="37" t="s">
        <v>231</v>
      </c>
      <c r="C42" s="37" t="s">
        <v>71</v>
      </c>
      <c r="D42" s="38" t="s">
        <v>1102</v>
      </c>
    </row>
    <row r="43" customFormat="false" ht="15" hidden="false" customHeight="false" outlineLevel="0" collapsed="false">
      <c r="A43" s="37" t="s">
        <v>230</v>
      </c>
      <c r="B43" s="37" t="s">
        <v>231</v>
      </c>
      <c r="C43" s="37" t="s">
        <v>71</v>
      </c>
      <c r="D43" s="38" t="s">
        <v>1103</v>
      </c>
    </row>
    <row r="44" customFormat="false" ht="15" hidden="false" customHeight="false" outlineLevel="0" collapsed="false">
      <c r="A44" s="37" t="s">
        <v>230</v>
      </c>
      <c r="B44" s="37" t="s">
        <v>231</v>
      </c>
      <c r="C44" s="37" t="s">
        <v>71</v>
      </c>
      <c r="D44" s="38" t="s">
        <v>1104</v>
      </c>
    </row>
    <row r="45" customFormat="false" ht="15" hidden="false" customHeight="false" outlineLevel="0" collapsed="false">
      <c r="A45" s="37" t="s">
        <v>240</v>
      </c>
      <c r="B45" s="37" t="s">
        <v>241</v>
      </c>
      <c r="C45" s="37" t="s">
        <v>71</v>
      </c>
      <c r="D45" s="38" t="s">
        <v>1105</v>
      </c>
    </row>
    <row r="46" customFormat="false" ht="15" hidden="false" customHeight="false" outlineLevel="0" collapsed="false">
      <c r="A46" s="37" t="s">
        <v>240</v>
      </c>
      <c r="B46" s="37" t="s">
        <v>241</v>
      </c>
      <c r="C46" s="37" t="s">
        <v>71</v>
      </c>
      <c r="D46" s="38" t="s">
        <v>1106</v>
      </c>
    </row>
    <row r="47" customFormat="false" ht="15" hidden="false" customHeight="false" outlineLevel="0" collapsed="false">
      <c r="A47" s="37" t="s">
        <v>240</v>
      </c>
      <c r="B47" s="37" t="s">
        <v>241</v>
      </c>
      <c r="C47" s="37" t="s">
        <v>71</v>
      </c>
      <c r="D47" s="38" t="s">
        <v>1107</v>
      </c>
    </row>
    <row r="48" customFormat="false" ht="15" hidden="false" customHeight="false" outlineLevel="0" collapsed="false">
      <c r="A48" s="37" t="s">
        <v>240</v>
      </c>
      <c r="B48" s="37" t="s">
        <v>241</v>
      </c>
      <c r="C48" s="37" t="s">
        <v>71</v>
      </c>
      <c r="D48" s="38" t="s">
        <v>246</v>
      </c>
    </row>
    <row r="49" customFormat="false" ht="15" hidden="false" customHeight="false" outlineLevel="0" collapsed="false">
      <c r="A49" s="37" t="s">
        <v>252</v>
      </c>
      <c r="B49" s="37" t="s">
        <v>157</v>
      </c>
      <c r="C49" s="37" t="s">
        <v>71</v>
      </c>
      <c r="D49" s="38" t="s">
        <v>164</v>
      </c>
    </row>
    <row r="50" customFormat="false" ht="15" hidden="false" customHeight="false" outlineLevel="0" collapsed="false">
      <c r="A50" s="37" t="s">
        <v>252</v>
      </c>
      <c r="B50" s="37" t="s">
        <v>157</v>
      </c>
      <c r="C50" s="37" t="s">
        <v>71</v>
      </c>
      <c r="D50" s="38" t="s">
        <v>1085</v>
      </c>
    </row>
    <row r="51" customFormat="false" ht="15" hidden="false" customHeight="false" outlineLevel="0" collapsed="false">
      <c r="A51" s="37" t="s">
        <v>252</v>
      </c>
      <c r="B51" s="37" t="s">
        <v>157</v>
      </c>
      <c r="C51" s="37" t="s">
        <v>71</v>
      </c>
      <c r="D51" s="38" t="s">
        <v>1108</v>
      </c>
    </row>
    <row r="52" customFormat="false" ht="15" hidden="false" customHeight="false" outlineLevel="0" collapsed="false">
      <c r="A52" s="37" t="s">
        <v>255</v>
      </c>
      <c r="B52" s="37" t="s">
        <v>256</v>
      </c>
      <c r="C52" s="37" t="s">
        <v>71</v>
      </c>
      <c r="D52" s="38" t="s">
        <v>1109</v>
      </c>
    </row>
    <row r="53" customFormat="false" ht="15" hidden="false" customHeight="false" outlineLevel="0" collapsed="false">
      <c r="A53" s="37" t="s">
        <v>255</v>
      </c>
      <c r="B53" s="37" t="s">
        <v>256</v>
      </c>
      <c r="C53" s="37" t="s">
        <v>71</v>
      </c>
      <c r="D53" s="38" t="s">
        <v>1110</v>
      </c>
    </row>
    <row r="54" customFormat="false" ht="15" hidden="false" customHeight="false" outlineLevel="0" collapsed="false">
      <c r="A54" s="37" t="s">
        <v>255</v>
      </c>
      <c r="B54" s="37" t="s">
        <v>256</v>
      </c>
      <c r="C54" s="37" t="s">
        <v>71</v>
      </c>
      <c r="D54" s="38" t="s">
        <v>1111</v>
      </c>
    </row>
    <row r="55" customFormat="false" ht="15" hidden="false" customHeight="false" outlineLevel="0" collapsed="false">
      <c r="A55" s="37" t="s">
        <v>255</v>
      </c>
      <c r="B55" s="37" t="s">
        <v>256</v>
      </c>
      <c r="C55" s="37" t="s">
        <v>71</v>
      </c>
      <c r="D55" s="38" t="s">
        <v>261</v>
      </c>
    </row>
    <row r="56" customFormat="false" ht="15" hidden="false" customHeight="false" outlineLevel="0" collapsed="false">
      <c r="A56" s="37" t="s">
        <v>268</v>
      </c>
      <c r="B56" s="37" t="s">
        <v>269</v>
      </c>
      <c r="C56" s="37" t="s">
        <v>72</v>
      </c>
      <c r="D56" s="38" t="s">
        <v>1112</v>
      </c>
    </row>
    <row r="57" customFormat="false" ht="15" hidden="false" customHeight="false" outlineLevel="0" collapsed="false">
      <c r="A57" s="37" t="s">
        <v>268</v>
      </c>
      <c r="B57" s="37" t="s">
        <v>269</v>
      </c>
      <c r="C57" s="37" t="s">
        <v>72</v>
      </c>
      <c r="D57" s="38" t="s">
        <v>275</v>
      </c>
    </row>
    <row r="58" customFormat="false" ht="15" hidden="false" customHeight="false" outlineLevel="0" collapsed="false">
      <c r="A58" s="37" t="s">
        <v>268</v>
      </c>
      <c r="B58" s="37" t="s">
        <v>269</v>
      </c>
      <c r="C58" s="37" t="s">
        <v>72</v>
      </c>
      <c r="D58" s="38" t="s">
        <v>1113</v>
      </c>
    </row>
    <row r="59" customFormat="false" ht="15" hidden="false" customHeight="false" outlineLevel="0" collapsed="false">
      <c r="A59" s="37" t="s">
        <v>268</v>
      </c>
      <c r="B59" s="37" t="s">
        <v>269</v>
      </c>
      <c r="C59" s="37" t="s">
        <v>72</v>
      </c>
      <c r="D59" s="38" t="s">
        <v>1114</v>
      </c>
    </row>
    <row r="60" customFormat="false" ht="15" hidden="false" customHeight="false" outlineLevel="0" collapsed="false">
      <c r="A60" s="37" t="s">
        <v>278</v>
      </c>
      <c r="B60" s="37" t="s">
        <v>279</v>
      </c>
      <c r="C60" s="37" t="s">
        <v>72</v>
      </c>
      <c r="D60" s="38" t="s">
        <v>285</v>
      </c>
    </row>
    <row r="61" customFormat="false" ht="15" hidden="false" customHeight="false" outlineLevel="0" collapsed="false">
      <c r="A61" s="37" t="s">
        <v>278</v>
      </c>
      <c r="B61" s="37" t="s">
        <v>279</v>
      </c>
      <c r="C61" s="37" t="s">
        <v>72</v>
      </c>
      <c r="D61" s="38" t="s">
        <v>1115</v>
      </c>
    </row>
    <row r="62" customFormat="false" ht="15" hidden="false" customHeight="false" outlineLevel="0" collapsed="false">
      <c r="A62" s="37" t="s">
        <v>278</v>
      </c>
      <c r="B62" s="37" t="s">
        <v>279</v>
      </c>
      <c r="C62" s="37" t="s">
        <v>72</v>
      </c>
      <c r="D62" s="38" t="s">
        <v>1116</v>
      </c>
    </row>
    <row r="63" customFormat="false" ht="15" hidden="false" customHeight="false" outlineLevel="0" collapsed="false">
      <c r="A63" s="37" t="s">
        <v>289</v>
      </c>
      <c r="B63" s="37" t="s">
        <v>256</v>
      </c>
      <c r="C63" s="37" t="s">
        <v>72</v>
      </c>
      <c r="D63" s="38" t="s">
        <v>1109</v>
      </c>
    </row>
    <row r="64" customFormat="false" ht="15" hidden="false" customHeight="false" outlineLevel="0" collapsed="false">
      <c r="A64" s="37" t="s">
        <v>289</v>
      </c>
      <c r="B64" s="37" t="s">
        <v>256</v>
      </c>
      <c r="C64" s="37" t="s">
        <v>72</v>
      </c>
      <c r="D64" s="38" t="s">
        <v>1110</v>
      </c>
    </row>
    <row r="65" customFormat="false" ht="15" hidden="false" customHeight="false" outlineLevel="0" collapsed="false">
      <c r="A65" s="37" t="s">
        <v>292</v>
      </c>
      <c r="B65" s="37" t="s">
        <v>293</v>
      </c>
      <c r="C65" s="37" t="s">
        <v>72</v>
      </c>
      <c r="D65" s="38" t="s">
        <v>298</v>
      </c>
    </row>
    <row r="66" customFormat="false" ht="15" hidden="false" customHeight="false" outlineLevel="0" collapsed="false">
      <c r="A66" s="37" t="s">
        <v>292</v>
      </c>
      <c r="B66" s="37" t="s">
        <v>293</v>
      </c>
      <c r="C66" s="37" t="s">
        <v>72</v>
      </c>
      <c r="D66" s="38" t="s">
        <v>1117</v>
      </c>
    </row>
    <row r="67" customFormat="false" ht="15" hidden="false" customHeight="false" outlineLevel="0" collapsed="false">
      <c r="A67" s="37" t="s">
        <v>292</v>
      </c>
      <c r="B67" s="37" t="s">
        <v>293</v>
      </c>
      <c r="C67" s="37" t="s">
        <v>72</v>
      </c>
      <c r="D67" s="38" t="s">
        <v>1118</v>
      </c>
    </row>
    <row r="68" customFormat="false" ht="15" hidden="false" customHeight="false" outlineLevel="0" collapsed="false">
      <c r="A68" s="37" t="s">
        <v>301</v>
      </c>
      <c r="B68" s="37" t="s">
        <v>302</v>
      </c>
      <c r="C68" s="37" t="s">
        <v>72</v>
      </c>
      <c r="D68" s="38" t="s">
        <v>1119</v>
      </c>
    </row>
    <row r="69" customFormat="false" ht="15" hidden="false" customHeight="false" outlineLevel="0" collapsed="false">
      <c r="A69" s="37" t="s">
        <v>301</v>
      </c>
      <c r="B69" s="37" t="s">
        <v>302</v>
      </c>
      <c r="C69" s="37" t="s">
        <v>72</v>
      </c>
      <c r="D69" s="38" t="s">
        <v>1120</v>
      </c>
    </row>
    <row r="70" customFormat="false" ht="15" hidden="false" customHeight="false" outlineLevel="0" collapsed="false">
      <c r="A70" s="37" t="s">
        <v>301</v>
      </c>
      <c r="B70" s="37" t="s">
        <v>302</v>
      </c>
      <c r="C70" s="37" t="s">
        <v>72</v>
      </c>
      <c r="D70" s="38" t="s">
        <v>1081</v>
      </c>
    </row>
    <row r="71" customFormat="false" ht="15" hidden="false" customHeight="false" outlineLevel="0" collapsed="false">
      <c r="A71" s="37" t="s">
        <v>301</v>
      </c>
      <c r="B71" s="37" t="s">
        <v>302</v>
      </c>
      <c r="C71" s="37" t="s">
        <v>72</v>
      </c>
      <c r="D71" s="38" t="s">
        <v>1121</v>
      </c>
    </row>
    <row r="72" customFormat="false" ht="15" hidden="false" customHeight="false" outlineLevel="0" collapsed="false">
      <c r="A72" s="37" t="s">
        <v>301</v>
      </c>
      <c r="B72" s="37" t="s">
        <v>302</v>
      </c>
      <c r="C72" s="37" t="s">
        <v>72</v>
      </c>
      <c r="D72" s="38" t="s">
        <v>1122</v>
      </c>
    </row>
    <row r="73" customFormat="false" ht="15" hidden="false" customHeight="false" outlineLevel="0" collapsed="false">
      <c r="A73" s="37" t="s">
        <v>311</v>
      </c>
      <c r="B73" s="37" t="s">
        <v>312</v>
      </c>
      <c r="C73" s="37" t="s">
        <v>72</v>
      </c>
      <c r="D73" s="38" t="s">
        <v>1123</v>
      </c>
    </row>
    <row r="74" customFormat="false" ht="15" hidden="false" customHeight="false" outlineLevel="0" collapsed="false">
      <c r="A74" s="37" t="s">
        <v>311</v>
      </c>
      <c r="B74" s="37" t="s">
        <v>312</v>
      </c>
      <c r="C74" s="37" t="s">
        <v>72</v>
      </c>
      <c r="D74" s="38" t="s">
        <v>1124</v>
      </c>
    </row>
    <row r="75" customFormat="false" ht="15" hidden="false" customHeight="false" outlineLevel="0" collapsed="false">
      <c r="A75" s="37" t="s">
        <v>321</v>
      </c>
      <c r="B75" s="37" t="s">
        <v>302</v>
      </c>
      <c r="C75" s="37" t="s">
        <v>73</v>
      </c>
      <c r="D75" s="38" t="s">
        <v>1119</v>
      </c>
    </row>
    <row r="76" customFormat="false" ht="15" hidden="false" customHeight="false" outlineLevel="0" collapsed="false">
      <c r="A76" s="37" t="s">
        <v>321</v>
      </c>
      <c r="B76" s="37" t="s">
        <v>302</v>
      </c>
      <c r="C76" s="37" t="s">
        <v>73</v>
      </c>
      <c r="D76" s="38" t="s">
        <v>1120</v>
      </c>
    </row>
    <row r="77" customFormat="false" ht="15" hidden="false" customHeight="false" outlineLevel="0" collapsed="false">
      <c r="A77" s="37" t="s">
        <v>321</v>
      </c>
      <c r="B77" s="37" t="s">
        <v>302</v>
      </c>
      <c r="C77" s="37" t="s">
        <v>73</v>
      </c>
      <c r="D77" s="38" t="s">
        <v>1122</v>
      </c>
    </row>
    <row r="78" customFormat="false" ht="15" hidden="false" customHeight="false" outlineLevel="0" collapsed="false">
      <c r="A78" s="37" t="s">
        <v>325</v>
      </c>
      <c r="B78" s="37" t="s">
        <v>256</v>
      </c>
      <c r="C78" s="37" t="s">
        <v>73</v>
      </c>
      <c r="D78" s="38" t="s">
        <v>1109</v>
      </c>
    </row>
    <row r="79" customFormat="false" ht="15" hidden="false" customHeight="false" outlineLevel="0" collapsed="false">
      <c r="A79" s="37" t="s">
        <v>325</v>
      </c>
      <c r="B79" s="37" t="s">
        <v>256</v>
      </c>
      <c r="C79" s="37" t="s">
        <v>73</v>
      </c>
      <c r="D79" s="38" t="s">
        <v>1110</v>
      </c>
    </row>
    <row r="80" customFormat="false" ht="15" hidden="false" customHeight="false" outlineLevel="0" collapsed="false">
      <c r="A80" s="37" t="s">
        <v>325</v>
      </c>
      <c r="B80" s="37" t="s">
        <v>256</v>
      </c>
      <c r="C80" s="37" t="s">
        <v>73</v>
      </c>
      <c r="D80" s="38" t="s">
        <v>1125</v>
      </c>
    </row>
    <row r="81" customFormat="false" ht="15" hidden="false" customHeight="false" outlineLevel="0" collapsed="false">
      <c r="A81" s="37" t="s">
        <v>328</v>
      </c>
      <c r="B81" s="37" t="s">
        <v>279</v>
      </c>
      <c r="C81" s="37" t="s">
        <v>73</v>
      </c>
      <c r="D81" s="38" t="s">
        <v>285</v>
      </c>
    </row>
    <row r="82" customFormat="false" ht="15" hidden="false" customHeight="false" outlineLevel="0" collapsed="false">
      <c r="A82" s="37" t="s">
        <v>328</v>
      </c>
      <c r="B82" s="37" t="s">
        <v>279</v>
      </c>
      <c r="C82" s="37" t="s">
        <v>73</v>
      </c>
      <c r="D82" s="38" t="s">
        <v>1115</v>
      </c>
    </row>
    <row r="83" customFormat="false" ht="15" hidden="false" customHeight="false" outlineLevel="0" collapsed="false">
      <c r="A83" s="37" t="s">
        <v>328</v>
      </c>
      <c r="B83" s="37" t="s">
        <v>279</v>
      </c>
      <c r="C83" s="37" t="s">
        <v>73</v>
      </c>
      <c r="D83" s="38" t="s">
        <v>1126</v>
      </c>
    </row>
    <row r="84" customFormat="false" ht="15" hidden="false" customHeight="false" outlineLevel="0" collapsed="false">
      <c r="A84" s="37" t="s">
        <v>332</v>
      </c>
      <c r="B84" s="37" t="s">
        <v>293</v>
      </c>
      <c r="C84" s="37" t="s">
        <v>73</v>
      </c>
      <c r="D84" s="38" t="s">
        <v>298</v>
      </c>
    </row>
    <row r="85" customFormat="false" ht="15" hidden="false" customHeight="false" outlineLevel="0" collapsed="false">
      <c r="A85" s="37" t="s">
        <v>332</v>
      </c>
      <c r="B85" s="37" t="s">
        <v>293</v>
      </c>
      <c r="C85" s="37" t="s">
        <v>73</v>
      </c>
      <c r="D85" s="38" t="s">
        <v>1117</v>
      </c>
    </row>
    <row r="86" customFormat="false" ht="15" hidden="false" customHeight="false" outlineLevel="0" collapsed="false">
      <c r="A86" s="37" t="s">
        <v>335</v>
      </c>
      <c r="B86" s="37" t="s">
        <v>336</v>
      </c>
      <c r="C86" s="37" t="s">
        <v>73</v>
      </c>
      <c r="D86" s="38" t="s">
        <v>342</v>
      </c>
    </row>
    <row r="87" customFormat="false" ht="15" hidden="false" customHeight="false" outlineLevel="0" collapsed="false">
      <c r="A87" s="37" t="s">
        <v>335</v>
      </c>
      <c r="B87" s="37" t="s">
        <v>336</v>
      </c>
      <c r="C87" s="37" t="s">
        <v>73</v>
      </c>
      <c r="D87" s="38" t="s">
        <v>1127</v>
      </c>
    </row>
    <row r="88" customFormat="false" ht="15" hidden="false" customHeight="false" outlineLevel="0" collapsed="false">
      <c r="A88" s="37" t="s">
        <v>335</v>
      </c>
      <c r="B88" s="37" t="s">
        <v>336</v>
      </c>
      <c r="C88" s="37" t="s">
        <v>73</v>
      </c>
      <c r="D88" s="38" t="s">
        <v>1128</v>
      </c>
    </row>
    <row r="89" customFormat="false" ht="15" hidden="false" customHeight="false" outlineLevel="0" collapsed="false">
      <c r="A89" s="37" t="s">
        <v>346</v>
      </c>
      <c r="B89" s="37" t="s">
        <v>347</v>
      </c>
      <c r="C89" s="37" t="s">
        <v>73</v>
      </c>
      <c r="D89" s="38" t="s">
        <v>353</v>
      </c>
    </row>
    <row r="90" customFormat="false" ht="15" hidden="false" customHeight="false" outlineLevel="0" collapsed="false">
      <c r="A90" s="37" t="s">
        <v>346</v>
      </c>
      <c r="B90" s="37" t="s">
        <v>347</v>
      </c>
      <c r="C90" s="37" t="s">
        <v>73</v>
      </c>
      <c r="D90" s="38" t="s">
        <v>1084</v>
      </c>
    </row>
    <row r="91" customFormat="false" ht="15" hidden="false" customHeight="false" outlineLevel="0" collapsed="false">
      <c r="A91" s="37" t="s">
        <v>346</v>
      </c>
      <c r="B91" s="37" t="s">
        <v>347</v>
      </c>
      <c r="C91" s="37" t="s">
        <v>73</v>
      </c>
      <c r="D91" s="38" t="s">
        <v>1081</v>
      </c>
    </row>
    <row r="92" customFormat="false" ht="15" hidden="false" customHeight="false" outlineLevel="0" collapsed="false">
      <c r="A92" s="37" t="s">
        <v>356</v>
      </c>
      <c r="B92" s="37" t="s">
        <v>357</v>
      </c>
      <c r="C92" s="37" t="s">
        <v>73</v>
      </c>
      <c r="D92" s="38" t="s">
        <v>1129</v>
      </c>
    </row>
    <row r="93" customFormat="false" ht="15" hidden="false" customHeight="false" outlineLevel="0" collapsed="false">
      <c r="A93" s="37" t="s">
        <v>356</v>
      </c>
      <c r="B93" s="37" t="s">
        <v>357</v>
      </c>
      <c r="C93" s="37" t="s">
        <v>73</v>
      </c>
      <c r="D93" s="38" t="s">
        <v>1130</v>
      </c>
    </row>
    <row r="94" customFormat="false" ht="15" hidden="false" customHeight="false" outlineLevel="0" collapsed="false">
      <c r="A94" s="37" t="s">
        <v>356</v>
      </c>
      <c r="B94" s="37" t="s">
        <v>357</v>
      </c>
      <c r="C94" s="37" t="s">
        <v>73</v>
      </c>
      <c r="D94" s="38" t="s">
        <v>1131</v>
      </c>
    </row>
    <row r="95" customFormat="false" ht="15" hidden="false" customHeight="false" outlineLevel="0" collapsed="false">
      <c r="A95" s="37" t="s">
        <v>364</v>
      </c>
      <c r="B95" s="37" t="s">
        <v>312</v>
      </c>
      <c r="C95" s="37" t="s">
        <v>73</v>
      </c>
      <c r="D95" s="38" t="s">
        <v>1123</v>
      </c>
    </row>
    <row r="96" customFormat="false" ht="15" hidden="false" customHeight="false" outlineLevel="0" collapsed="false">
      <c r="A96" s="37" t="s">
        <v>364</v>
      </c>
      <c r="B96" s="37" t="s">
        <v>312</v>
      </c>
      <c r="C96" s="37" t="s">
        <v>73</v>
      </c>
      <c r="D96" s="38" t="s">
        <v>1124</v>
      </c>
    </row>
    <row r="97" customFormat="false" ht="15" hidden="false" customHeight="false" outlineLevel="0" collapsed="false">
      <c r="A97" s="37" t="s">
        <v>370</v>
      </c>
      <c r="B97" s="37" t="s">
        <v>371</v>
      </c>
      <c r="C97" s="37" t="s">
        <v>74</v>
      </c>
      <c r="D97" s="38" t="s">
        <v>376</v>
      </c>
    </row>
    <row r="98" customFormat="false" ht="15" hidden="false" customHeight="false" outlineLevel="0" collapsed="false">
      <c r="A98" s="37" t="s">
        <v>370</v>
      </c>
      <c r="B98" s="37" t="s">
        <v>371</v>
      </c>
      <c r="C98" s="37" t="s">
        <v>74</v>
      </c>
      <c r="D98" s="38" t="s">
        <v>1132</v>
      </c>
    </row>
    <row r="99" customFormat="false" ht="15" hidden="false" customHeight="false" outlineLevel="0" collapsed="false">
      <c r="A99" s="37" t="s">
        <v>370</v>
      </c>
      <c r="B99" s="37" t="s">
        <v>371</v>
      </c>
      <c r="C99" s="37" t="s">
        <v>74</v>
      </c>
      <c r="D99" s="38" t="s">
        <v>1133</v>
      </c>
    </row>
    <row r="100" customFormat="false" ht="15" hidden="false" customHeight="false" outlineLevel="0" collapsed="false">
      <c r="A100" s="37" t="s">
        <v>380</v>
      </c>
      <c r="B100" s="37" t="s">
        <v>381</v>
      </c>
      <c r="C100" s="37" t="s">
        <v>74</v>
      </c>
      <c r="D100" s="38" t="s">
        <v>1134</v>
      </c>
    </row>
    <row r="101" customFormat="false" ht="15" hidden="false" customHeight="false" outlineLevel="0" collapsed="false">
      <c r="A101" s="37" t="s">
        <v>380</v>
      </c>
      <c r="B101" s="37" t="s">
        <v>381</v>
      </c>
      <c r="C101" s="37" t="s">
        <v>74</v>
      </c>
      <c r="D101" s="38" t="s">
        <v>385</v>
      </c>
    </row>
    <row r="102" customFormat="false" ht="15" hidden="false" customHeight="false" outlineLevel="0" collapsed="false">
      <c r="A102" s="37" t="s">
        <v>380</v>
      </c>
      <c r="B102" s="37" t="s">
        <v>381</v>
      </c>
      <c r="C102" s="37" t="s">
        <v>74</v>
      </c>
      <c r="D102" s="38" t="s">
        <v>1135</v>
      </c>
    </row>
    <row r="103" customFormat="false" ht="15" hidden="false" customHeight="false" outlineLevel="0" collapsed="false">
      <c r="A103" s="37" t="s">
        <v>380</v>
      </c>
      <c r="B103" s="37" t="s">
        <v>381</v>
      </c>
      <c r="C103" s="37" t="s">
        <v>74</v>
      </c>
      <c r="D103" s="38" t="s">
        <v>1136</v>
      </c>
    </row>
    <row r="104" customFormat="false" ht="15" hidden="false" customHeight="false" outlineLevel="0" collapsed="false">
      <c r="A104" s="37" t="s">
        <v>387</v>
      </c>
      <c r="B104" s="37" t="s">
        <v>388</v>
      </c>
      <c r="C104" s="37" t="s">
        <v>74</v>
      </c>
      <c r="D104" s="38" t="s">
        <v>391</v>
      </c>
    </row>
    <row r="105" customFormat="false" ht="15" hidden="false" customHeight="false" outlineLevel="0" collapsed="false">
      <c r="A105" s="37" t="s">
        <v>387</v>
      </c>
      <c r="B105" s="37" t="s">
        <v>388</v>
      </c>
      <c r="C105" s="37" t="s">
        <v>74</v>
      </c>
      <c r="D105" s="38" t="s">
        <v>1137</v>
      </c>
    </row>
    <row r="106" customFormat="false" ht="15" hidden="false" customHeight="false" outlineLevel="0" collapsed="false">
      <c r="A106" s="37" t="s">
        <v>387</v>
      </c>
      <c r="B106" s="37" t="s">
        <v>388</v>
      </c>
      <c r="C106" s="37" t="s">
        <v>74</v>
      </c>
      <c r="D106" s="38" t="s">
        <v>393</v>
      </c>
    </row>
    <row r="107" customFormat="false" ht="15" hidden="false" customHeight="false" outlineLevel="0" collapsed="false">
      <c r="A107" s="37" t="s">
        <v>395</v>
      </c>
      <c r="B107" s="37" t="s">
        <v>396</v>
      </c>
      <c r="C107" s="37" t="s">
        <v>74</v>
      </c>
      <c r="D107" s="38" t="s">
        <v>401</v>
      </c>
    </row>
    <row r="108" customFormat="false" ht="15" hidden="false" customHeight="false" outlineLevel="0" collapsed="false">
      <c r="A108" s="37" t="s">
        <v>395</v>
      </c>
      <c r="B108" s="37" t="s">
        <v>396</v>
      </c>
      <c r="C108" s="37" t="s">
        <v>74</v>
      </c>
      <c r="D108" s="38" t="s">
        <v>1138</v>
      </c>
    </row>
    <row r="109" customFormat="false" ht="15" hidden="false" customHeight="false" outlineLevel="0" collapsed="false">
      <c r="A109" s="37" t="s">
        <v>395</v>
      </c>
      <c r="B109" s="37" t="s">
        <v>396</v>
      </c>
      <c r="C109" s="37" t="s">
        <v>74</v>
      </c>
      <c r="D109" s="38" t="s">
        <v>1139</v>
      </c>
    </row>
    <row r="110" customFormat="false" ht="15" hidden="false" customHeight="false" outlineLevel="0" collapsed="false">
      <c r="A110" s="37" t="s">
        <v>404</v>
      </c>
      <c r="B110" s="37" t="s">
        <v>405</v>
      </c>
      <c r="C110" s="37" t="s">
        <v>74</v>
      </c>
      <c r="D110" s="38" t="s">
        <v>1140</v>
      </c>
    </row>
    <row r="111" customFormat="false" ht="15" hidden="false" customHeight="false" outlineLevel="0" collapsed="false">
      <c r="A111" s="37" t="s">
        <v>404</v>
      </c>
      <c r="B111" s="37" t="s">
        <v>405</v>
      </c>
      <c r="C111" s="37" t="s">
        <v>74</v>
      </c>
      <c r="D111" s="38" t="s">
        <v>1141</v>
      </c>
    </row>
    <row r="112" customFormat="false" ht="15" hidden="false" customHeight="false" outlineLevel="0" collapsed="false">
      <c r="A112" s="37" t="s">
        <v>404</v>
      </c>
      <c r="B112" s="37" t="s">
        <v>405</v>
      </c>
      <c r="C112" s="37" t="s">
        <v>74</v>
      </c>
      <c r="D112" s="38" t="s">
        <v>1142</v>
      </c>
    </row>
    <row r="113" customFormat="false" ht="15" hidden="false" customHeight="false" outlineLevel="0" collapsed="false">
      <c r="A113" s="37" t="s">
        <v>404</v>
      </c>
      <c r="B113" s="37" t="s">
        <v>405</v>
      </c>
      <c r="C113" s="37" t="s">
        <v>74</v>
      </c>
      <c r="D113" s="38" t="s">
        <v>1143</v>
      </c>
    </row>
    <row r="114" customFormat="false" ht="15" hidden="false" customHeight="false" outlineLevel="0" collapsed="false">
      <c r="A114" s="37" t="s">
        <v>415</v>
      </c>
      <c r="B114" s="37" t="s">
        <v>416</v>
      </c>
      <c r="C114" s="37" t="s">
        <v>74</v>
      </c>
      <c r="D114" s="38" t="s">
        <v>1144</v>
      </c>
    </row>
    <row r="115" customFormat="false" ht="15" hidden="false" customHeight="false" outlineLevel="0" collapsed="false">
      <c r="A115" s="37" t="s">
        <v>415</v>
      </c>
      <c r="B115" s="37" t="s">
        <v>416</v>
      </c>
      <c r="C115" s="37" t="s">
        <v>74</v>
      </c>
      <c r="D115" s="38" t="s">
        <v>1145</v>
      </c>
    </row>
    <row r="116" customFormat="false" ht="15" hidden="false" customHeight="false" outlineLevel="0" collapsed="false">
      <c r="A116" s="37" t="s">
        <v>415</v>
      </c>
      <c r="B116" s="37" t="s">
        <v>416</v>
      </c>
      <c r="C116" s="37" t="s">
        <v>74</v>
      </c>
      <c r="D116" s="38" t="s">
        <v>1146</v>
      </c>
    </row>
    <row r="117" customFormat="false" ht="15" hidden="false" customHeight="false" outlineLevel="0" collapsed="false">
      <c r="A117" s="37" t="s">
        <v>426</v>
      </c>
      <c r="B117" s="37" t="s">
        <v>427</v>
      </c>
      <c r="C117" s="37" t="s">
        <v>74</v>
      </c>
      <c r="D117" s="38" t="s">
        <v>1147</v>
      </c>
    </row>
    <row r="118" customFormat="false" ht="15" hidden="false" customHeight="false" outlineLevel="0" collapsed="false">
      <c r="A118" s="37" t="s">
        <v>426</v>
      </c>
      <c r="B118" s="37" t="s">
        <v>427</v>
      </c>
      <c r="C118" s="37" t="s">
        <v>74</v>
      </c>
      <c r="D118" s="38" t="s">
        <v>1148</v>
      </c>
    </row>
    <row r="119" customFormat="false" ht="15" hidden="false" customHeight="false" outlineLevel="0" collapsed="false">
      <c r="A119" s="37" t="s">
        <v>426</v>
      </c>
      <c r="B119" s="37" t="s">
        <v>427</v>
      </c>
      <c r="C119" s="37" t="s">
        <v>74</v>
      </c>
      <c r="D119" s="38" t="s">
        <v>1149</v>
      </c>
    </row>
    <row r="120" customFormat="false" ht="15" hidden="false" customHeight="false" outlineLevel="0" collapsed="false">
      <c r="A120" s="37" t="s">
        <v>426</v>
      </c>
      <c r="B120" s="37" t="s">
        <v>427</v>
      </c>
      <c r="C120" s="37" t="s">
        <v>74</v>
      </c>
      <c r="D120" s="38" t="s">
        <v>1150</v>
      </c>
    </row>
    <row r="121" customFormat="false" ht="15" hidden="false" customHeight="false" outlineLevel="0" collapsed="false">
      <c r="A121" s="37" t="s">
        <v>437</v>
      </c>
      <c r="B121" s="37" t="s">
        <v>405</v>
      </c>
      <c r="C121" s="37" t="s">
        <v>75</v>
      </c>
      <c r="D121" s="38" t="s">
        <v>1151</v>
      </c>
    </row>
    <row r="122" customFormat="false" ht="15" hidden="false" customHeight="false" outlineLevel="0" collapsed="false">
      <c r="A122" s="37" t="s">
        <v>437</v>
      </c>
      <c r="B122" s="37" t="s">
        <v>405</v>
      </c>
      <c r="C122" s="37" t="s">
        <v>75</v>
      </c>
      <c r="D122" s="38" t="s">
        <v>411</v>
      </c>
    </row>
    <row r="123" customFormat="false" ht="15" hidden="false" customHeight="false" outlineLevel="0" collapsed="false">
      <c r="A123" s="37" t="s">
        <v>437</v>
      </c>
      <c r="B123" s="37" t="s">
        <v>405</v>
      </c>
      <c r="C123" s="37" t="s">
        <v>75</v>
      </c>
      <c r="D123" s="38" t="s">
        <v>1152</v>
      </c>
    </row>
    <row r="124" customFormat="false" ht="15" hidden="false" customHeight="false" outlineLevel="0" collapsed="false">
      <c r="A124" s="37" t="s">
        <v>437</v>
      </c>
      <c r="B124" s="37" t="s">
        <v>405</v>
      </c>
      <c r="C124" s="37" t="s">
        <v>75</v>
      </c>
      <c r="D124" s="38" t="s">
        <v>1140</v>
      </c>
    </row>
    <row r="125" customFormat="false" ht="15" hidden="false" customHeight="false" outlineLevel="0" collapsed="false">
      <c r="A125" s="37" t="s">
        <v>437</v>
      </c>
      <c r="B125" s="37" t="s">
        <v>405</v>
      </c>
      <c r="C125" s="37" t="s">
        <v>75</v>
      </c>
      <c r="D125" s="38" t="s">
        <v>1153</v>
      </c>
    </row>
    <row r="126" customFormat="false" ht="15" hidden="false" customHeight="false" outlineLevel="0" collapsed="false">
      <c r="A126" s="37" t="s">
        <v>446</v>
      </c>
      <c r="B126" s="37" t="s">
        <v>447</v>
      </c>
      <c r="C126" s="37" t="s">
        <v>75</v>
      </c>
      <c r="D126" s="38" t="s">
        <v>1154</v>
      </c>
    </row>
    <row r="127" customFormat="false" ht="15" hidden="false" customHeight="false" outlineLevel="0" collapsed="false">
      <c r="A127" s="37" t="s">
        <v>446</v>
      </c>
      <c r="B127" s="37" t="s">
        <v>447</v>
      </c>
      <c r="C127" s="37" t="s">
        <v>75</v>
      </c>
      <c r="D127" s="38" t="s">
        <v>453</v>
      </c>
    </row>
    <row r="128" customFormat="false" ht="15" hidden="false" customHeight="false" outlineLevel="0" collapsed="false">
      <c r="A128" s="37" t="s">
        <v>446</v>
      </c>
      <c r="B128" s="37" t="s">
        <v>447</v>
      </c>
      <c r="C128" s="37" t="s">
        <v>75</v>
      </c>
      <c r="D128" s="38" t="s">
        <v>1155</v>
      </c>
    </row>
    <row r="129" customFormat="false" ht="15" hidden="false" customHeight="false" outlineLevel="0" collapsed="false">
      <c r="A129" s="37" t="s">
        <v>457</v>
      </c>
      <c r="B129" s="37" t="s">
        <v>293</v>
      </c>
      <c r="C129" s="37" t="s">
        <v>75</v>
      </c>
      <c r="D129" s="38" t="s">
        <v>1156</v>
      </c>
    </row>
    <row r="130" customFormat="false" ht="15" hidden="false" customHeight="false" outlineLevel="0" collapsed="false">
      <c r="A130" s="37" t="s">
        <v>457</v>
      </c>
      <c r="B130" s="37" t="s">
        <v>293</v>
      </c>
      <c r="C130" s="37" t="s">
        <v>75</v>
      </c>
      <c r="D130" s="38" t="s">
        <v>298</v>
      </c>
    </row>
    <row r="131" customFormat="false" ht="15" hidden="false" customHeight="false" outlineLevel="0" collapsed="false">
      <c r="A131" s="37" t="s">
        <v>457</v>
      </c>
      <c r="B131" s="37" t="s">
        <v>293</v>
      </c>
      <c r="C131" s="37" t="s">
        <v>75</v>
      </c>
      <c r="D131" s="38" t="s">
        <v>1157</v>
      </c>
    </row>
    <row r="132" customFormat="false" ht="15" hidden="false" customHeight="false" outlineLevel="0" collapsed="false">
      <c r="A132" s="37" t="s">
        <v>457</v>
      </c>
      <c r="B132" s="37" t="s">
        <v>293</v>
      </c>
      <c r="C132" s="37" t="s">
        <v>75</v>
      </c>
      <c r="D132" s="38" t="s">
        <v>1158</v>
      </c>
    </row>
    <row r="133" customFormat="false" ht="15" hidden="false" customHeight="false" outlineLevel="0" collapsed="false">
      <c r="A133" s="37" t="s">
        <v>457</v>
      </c>
      <c r="B133" s="37" t="s">
        <v>293</v>
      </c>
      <c r="C133" s="37" t="s">
        <v>75</v>
      </c>
      <c r="D133" s="38" t="s">
        <v>1159</v>
      </c>
    </row>
    <row r="134" customFormat="false" ht="15" hidden="false" customHeight="false" outlineLevel="0" collapsed="false">
      <c r="A134" s="37" t="s">
        <v>457</v>
      </c>
      <c r="B134" s="37" t="s">
        <v>293</v>
      </c>
      <c r="C134" s="37" t="s">
        <v>75</v>
      </c>
      <c r="D134" s="38" t="s">
        <v>1117</v>
      </c>
    </row>
    <row r="135" customFormat="false" ht="15" hidden="false" customHeight="false" outlineLevel="0" collapsed="false">
      <c r="A135" s="37" t="s">
        <v>464</v>
      </c>
      <c r="B135" s="37" t="s">
        <v>279</v>
      </c>
      <c r="C135" s="37" t="s">
        <v>75</v>
      </c>
      <c r="D135" s="38" t="s">
        <v>285</v>
      </c>
    </row>
    <row r="136" customFormat="false" ht="15" hidden="false" customHeight="false" outlineLevel="0" collapsed="false">
      <c r="A136" s="37" t="s">
        <v>464</v>
      </c>
      <c r="B136" s="37" t="s">
        <v>279</v>
      </c>
      <c r="C136" s="37" t="s">
        <v>75</v>
      </c>
      <c r="D136" s="38" t="s">
        <v>1160</v>
      </c>
    </row>
    <row r="137" customFormat="false" ht="15" hidden="false" customHeight="false" outlineLevel="0" collapsed="false">
      <c r="A137" s="37" t="s">
        <v>464</v>
      </c>
      <c r="B137" s="37" t="s">
        <v>279</v>
      </c>
      <c r="C137" s="37" t="s">
        <v>75</v>
      </c>
      <c r="D137" s="38" t="s">
        <v>1161</v>
      </c>
    </row>
    <row r="138" customFormat="false" ht="15" hidden="false" customHeight="false" outlineLevel="0" collapsed="false">
      <c r="A138" s="37" t="s">
        <v>471</v>
      </c>
      <c r="B138" s="37" t="s">
        <v>472</v>
      </c>
      <c r="C138" s="37" t="s">
        <v>75</v>
      </c>
      <c r="D138" s="38" t="s">
        <v>1162</v>
      </c>
    </row>
    <row r="139" customFormat="false" ht="15" hidden="false" customHeight="false" outlineLevel="0" collapsed="false">
      <c r="A139" s="37" t="s">
        <v>471</v>
      </c>
      <c r="B139" s="37" t="s">
        <v>472</v>
      </c>
      <c r="C139" s="37" t="s">
        <v>75</v>
      </c>
      <c r="D139" s="38" t="s">
        <v>1163</v>
      </c>
    </row>
    <row r="140" customFormat="false" ht="15" hidden="false" customHeight="false" outlineLevel="0" collapsed="false">
      <c r="A140" s="37" t="s">
        <v>471</v>
      </c>
      <c r="B140" s="37" t="s">
        <v>472</v>
      </c>
      <c r="C140" s="37" t="s">
        <v>75</v>
      </c>
      <c r="D140" s="38" t="s">
        <v>1164</v>
      </c>
    </row>
    <row r="141" customFormat="false" ht="15" hidden="false" customHeight="false" outlineLevel="0" collapsed="false">
      <c r="A141" s="37" t="s">
        <v>479</v>
      </c>
      <c r="B141" s="37" t="s">
        <v>480</v>
      </c>
      <c r="C141" s="37" t="s">
        <v>75</v>
      </c>
      <c r="D141" s="38" t="s">
        <v>1165</v>
      </c>
    </row>
    <row r="142" customFormat="false" ht="15" hidden="false" customHeight="false" outlineLevel="0" collapsed="false">
      <c r="A142" s="37" t="s">
        <v>479</v>
      </c>
      <c r="B142" s="37" t="s">
        <v>480</v>
      </c>
      <c r="C142" s="37" t="s">
        <v>75</v>
      </c>
      <c r="D142" s="38" t="s">
        <v>1099</v>
      </c>
    </row>
    <row r="143" customFormat="false" ht="15" hidden="false" customHeight="false" outlineLevel="0" collapsed="false">
      <c r="A143" s="37" t="s">
        <v>479</v>
      </c>
      <c r="B143" s="37" t="s">
        <v>480</v>
      </c>
      <c r="C143" s="37" t="s">
        <v>75</v>
      </c>
      <c r="D143" s="38" t="s">
        <v>1166</v>
      </c>
    </row>
    <row r="144" customFormat="false" ht="15" hidden="false" customHeight="false" outlineLevel="0" collapsed="false">
      <c r="A144" s="37" t="s">
        <v>486</v>
      </c>
      <c r="B144" s="37" t="s">
        <v>487</v>
      </c>
      <c r="C144" s="37" t="s">
        <v>75</v>
      </c>
      <c r="D144" s="38" t="s">
        <v>1167</v>
      </c>
    </row>
    <row r="145" customFormat="false" ht="15" hidden="false" customHeight="false" outlineLevel="0" collapsed="false">
      <c r="A145" s="37" t="s">
        <v>486</v>
      </c>
      <c r="B145" s="37" t="s">
        <v>487</v>
      </c>
      <c r="C145" s="37" t="s">
        <v>75</v>
      </c>
      <c r="D145" s="38" t="s">
        <v>494</v>
      </c>
    </row>
    <row r="146" customFormat="false" ht="15" hidden="false" customHeight="false" outlineLevel="0" collapsed="false">
      <c r="A146" s="37" t="s">
        <v>486</v>
      </c>
      <c r="B146" s="37" t="s">
        <v>487</v>
      </c>
      <c r="C146" s="37" t="s">
        <v>75</v>
      </c>
      <c r="D146" s="38" t="s">
        <v>1168</v>
      </c>
    </row>
    <row r="147" customFormat="false" ht="15" hidden="false" customHeight="false" outlineLevel="0" collapsed="false">
      <c r="A147" s="37" t="s">
        <v>500</v>
      </c>
      <c r="B147" s="37" t="s">
        <v>256</v>
      </c>
      <c r="C147" s="37" t="s">
        <v>76</v>
      </c>
      <c r="D147" s="38" t="s">
        <v>261</v>
      </c>
    </row>
    <row r="148" customFormat="false" ht="15" hidden="false" customHeight="false" outlineLevel="0" collapsed="false">
      <c r="A148" s="37" t="s">
        <v>500</v>
      </c>
      <c r="B148" s="37" t="s">
        <v>256</v>
      </c>
      <c r="C148" s="37" t="s">
        <v>76</v>
      </c>
      <c r="D148" s="38" t="s">
        <v>1169</v>
      </c>
    </row>
    <row r="149" customFormat="false" ht="15" hidden="false" customHeight="false" outlineLevel="0" collapsed="false">
      <c r="A149" s="37" t="s">
        <v>500</v>
      </c>
      <c r="B149" s="37" t="s">
        <v>256</v>
      </c>
      <c r="C149" s="37" t="s">
        <v>76</v>
      </c>
      <c r="D149" s="38" t="s">
        <v>1110</v>
      </c>
    </row>
    <row r="150" customFormat="false" ht="15" hidden="false" customHeight="false" outlineLevel="0" collapsed="false">
      <c r="A150" s="37" t="s">
        <v>500</v>
      </c>
      <c r="B150" s="37" t="s">
        <v>256</v>
      </c>
      <c r="C150" s="37" t="s">
        <v>76</v>
      </c>
      <c r="D150" s="38" t="s">
        <v>1170</v>
      </c>
    </row>
    <row r="151" customFormat="false" ht="15" hidden="false" customHeight="false" outlineLevel="0" collapsed="false">
      <c r="A151" s="37" t="s">
        <v>500</v>
      </c>
      <c r="B151" s="37" t="s">
        <v>256</v>
      </c>
      <c r="C151" s="37" t="s">
        <v>76</v>
      </c>
      <c r="D151" s="38" t="s">
        <v>1171</v>
      </c>
    </row>
    <row r="152" customFormat="false" ht="15" hidden="false" customHeight="false" outlineLevel="0" collapsed="false">
      <c r="A152" s="37" t="s">
        <v>505</v>
      </c>
      <c r="B152" s="37" t="s">
        <v>279</v>
      </c>
      <c r="C152" s="37" t="s">
        <v>76</v>
      </c>
      <c r="D152" s="38" t="s">
        <v>285</v>
      </c>
    </row>
    <row r="153" customFormat="false" ht="15" hidden="false" customHeight="false" outlineLevel="0" collapsed="false">
      <c r="A153" s="37" t="s">
        <v>505</v>
      </c>
      <c r="B153" s="37" t="s">
        <v>279</v>
      </c>
      <c r="C153" s="37" t="s">
        <v>76</v>
      </c>
      <c r="D153" s="38" t="s">
        <v>1160</v>
      </c>
    </row>
    <row r="154" customFormat="false" ht="15" hidden="false" customHeight="false" outlineLevel="0" collapsed="false">
      <c r="A154" s="37" t="s">
        <v>508</v>
      </c>
      <c r="B154" s="37" t="s">
        <v>509</v>
      </c>
      <c r="C154" s="37" t="s">
        <v>76</v>
      </c>
      <c r="D154" s="38" t="s">
        <v>1172</v>
      </c>
    </row>
    <row r="155" customFormat="false" ht="15" hidden="false" customHeight="false" outlineLevel="0" collapsed="false">
      <c r="A155" s="37" t="s">
        <v>508</v>
      </c>
      <c r="B155" s="37" t="s">
        <v>509</v>
      </c>
      <c r="C155" s="37" t="s">
        <v>76</v>
      </c>
      <c r="D155" s="38" t="s">
        <v>1173</v>
      </c>
    </row>
    <row r="156" customFormat="false" ht="15" hidden="false" customHeight="false" outlineLevel="0" collapsed="false">
      <c r="A156" s="37" t="s">
        <v>508</v>
      </c>
      <c r="B156" s="37" t="s">
        <v>509</v>
      </c>
      <c r="C156" s="37" t="s">
        <v>76</v>
      </c>
      <c r="D156" s="38" t="s">
        <v>1174</v>
      </c>
    </row>
    <row r="157" customFormat="false" ht="15" hidden="false" customHeight="false" outlineLevel="0" collapsed="false">
      <c r="A157" s="37" t="s">
        <v>515</v>
      </c>
      <c r="B157" s="37" t="s">
        <v>181</v>
      </c>
      <c r="C157" s="37" t="s">
        <v>76</v>
      </c>
      <c r="D157" s="38" t="s">
        <v>1094</v>
      </c>
    </row>
    <row r="158" customFormat="false" ht="15" hidden="false" customHeight="false" outlineLevel="0" collapsed="false">
      <c r="A158" s="37" t="s">
        <v>515</v>
      </c>
      <c r="B158" s="37" t="s">
        <v>181</v>
      </c>
      <c r="C158" s="37" t="s">
        <v>76</v>
      </c>
      <c r="D158" s="38" t="s">
        <v>1093</v>
      </c>
    </row>
    <row r="159" customFormat="false" ht="15" hidden="false" customHeight="false" outlineLevel="0" collapsed="false">
      <c r="A159" s="37" t="s">
        <v>515</v>
      </c>
      <c r="B159" s="37" t="s">
        <v>181</v>
      </c>
      <c r="C159" s="37" t="s">
        <v>76</v>
      </c>
      <c r="D159" s="38" t="s">
        <v>1175</v>
      </c>
    </row>
    <row r="160" customFormat="false" ht="15" hidden="false" customHeight="false" outlineLevel="0" collapsed="false">
      <c r="A160" s="37" t="s">
        <v>515</v>
      </c>
      <c r="B160" s="37" t="s">
        <v>181</v>
      </c>
      <c r="C160" s="37" t="s">
        <v>76</v>
      </c>
      <c r="D160" s="38" t="s">
        <v>1176</v>
      </c>
    </row>
    <row r="161" customFormat="false" ht="15" hidden="false" customHeight="false" outlineLevel="0" collapsed="false">
      <c r="A161" s="37" t="s">
        <v>522</v>
      </c>
      <c r="B161" s="37" t="s">
        <v>293</v>
      </c>
      <c r="C161" s="37" t="s">
        <v>76</v>
      </c>
      <c r="D161" s="38" t="s">
        <v>1156</v>
      </c>
    </row>
    <row r="162" customFormat="false" ht="15" hidden="false" customHeight="false" outlineLevel="0" collapsed="false">
      <c r="A162" s="37" t="s">
        <v>522</v>
      </c>
      <c r="B162" s="37" t="s">
        <v>293</v>
      </c>
      <c r="C162" s="37" t="s">
        <v>76</v>
      </c>
      <c r="D162" s="38" t="s">
        <v>1177</v>
      </c>
    </row>
    <row r="163" customFormat="false" ht="15" hidden="false" customHeight="false" outlineLevel="0" collapsed="false">
      <c r="A163" s="37" t="s">
        <v>522</v>
      </c>
      <c r="B163" s="37" t="s">
        <v>293</v>
      </c>
      <c r="C163" s="37" t="s">
        <v>76</v>
      </c>
      <c r="D163" s="38" t="s">
        <v>1117</v>
      </c>
    </row>
    <row r="164" customFormat="false" ht="15" hidden="false" customHeight="false" outlineLevel="0" collapsed="false">
      <c r="A164" s="37" t="s">
        <v>526</v>
      </c>
      <c r="B164" s="37" t="s">
        <v>480</v>
      </c>
      <c r="C164" s="37" t="s">
        <v>76</v>
      </c>
      <c r="D164" s="38" t="s">
        <v>1165</v>
      </c>
    </row>
    <row r="165" customFormat="false" ht="15" hidden="false" customHeight="false" outlineLevel="0" collapsed="false">
      <c r="A165" s="37" t="s">
        <v>526</v>
      </c>
      <c r="B165" s="37" t="s">
        <v>480</v>
      </c>
      <c r="C165" s="37" t="s">
        <v>76</v>
      </c>
      <c r="D165" s="38" t="s">
        <v>1099</v>
      </c>
    </row>
    <row r="166" customFormat="false" ht="15" hidden="false" customHeight="false" outlineLevel="0" collapsed="false">
      <c r="A166" s="37" t="s">
        <v>528</v>
      </c>
      <c r="B166" s="37" t="s">
        <v>529</v>
      </c>
      <c r="C166" s="37" t="s">
        <v>76</v>
      </c>
      <c r="D166" s="38" t="s">
        <v>1178</v>
      </c>
    </row>
    <row r="167" customFormat="false" ht="15" hidden="false" customHeight="false" outlineLevel="0" collapsed="false">
      <c r="A167" s="37" t="s">
        <v>528</v>
      </c>
      <c r="B167" s="37" t="s">
        <v>529</v>
      </c>
      <c r="C167" s="37" t="s">
        <v>76</v>
      </c>
      <c r="D167" s="38" t="s">
        <v>1107</v>
      </c>
    </row>
    <row r="168" customFormat="false" ht="15" hidden="false" customHeight="false" outlineLevel="0" collapsed="false">
      <c r="A168" s="37" t="s">
        <v>528</v>
      </c>
      <c r="B168" s="37" t="s">
        <v>529</v>
      </c>
      <c r="C168" s="37" t="s">
        <v>76</v>
      </c>
      <c r="D168" s="38" t="s">
        <v>1179</v>
      </c>
    </row>
    <row r="169" customFormat="false" ht="15" hidden="false" customHeight="false" outlineLevel="0" collapsed="false">
      <c r="A169" s="37" t="s">
        <v>528</v>
      </c>
      <c r="B169" s="37" t="s">
        <v>529</v>
      </c>
      <c r="C169" s="37" t="s">
        <v>76</v>
      </c>
      <c r="D169" s="38" t="s">
        <v>1180</v>
      </c>
    </row>
    <row r="170" customFormat="false" ht="15" hidden="false" customHeight="false" outlineLevel="0" collapsed="false">
      <c r="A170" s="37" t="s">
        <v>538</v>
      </c>
      <c r="B170" s="37" t="s">
        <v>405</v>
      </c>
      <c r="C170" s="37" t="s">
        <v>77</v>
      </c>
      <c r="D170" s="38" t="s">
        <v>1181</v>
      </c>
    </row>
    <row r="171" customFormat="false" ht="15" hidden="false" customHeight="false" outlineLevel="0" collapsed="false">
      <c r="A171" s="37" t="s">
        <v>538</v>
      </c>
      <c r="B171" s="37" t="s">
        <v>405</v>
      </c>
      <c r="C171" s="37" t="s">
        <v>77</v>
      </c>
      <c r="D171" s="38" t="s">
        <v>1182</v>
      </c>
    </row>
    <row r="172" customFormat="false" ht="15" hidden="false" customHeight="false" outlineLevel="0" collapsed="false">
      <c r="A172" s="37" t="s">
        <v>542</v>
      </c>
      <c r="B172" s="37" t="s">
        <v>447</v>
      </c>
      <c r="C172" s="37" t="s">
        <v>77</v>
      </c>
      <c r="D172" s="38" t="s">
        <v>1183</v>
      </c>
    </row>
    <row r="173" customFormat="false" ht="15" hidden="false" customHeight="false" outlineLevel="0" collapsed="false">
      <c r="A173" s="37" t="s">
        <v>542</v>
      </c>
      <c r="B173" s="37" t="s">
        <v>447</v>
      </c>
      <c r="C173" s="37" t="s">
        <v>77</v>
      </c>
      <c r="D173" s="38" t="s">
        <v>453</v>
      </c>
    </row>
    <row r="174" customFormat="false" ht="15" hidden="false" customHeight="false" outlineLevel="0" collapsed="false">
      <c r="A174" s="37" t="s">
        <v>542</v>
      </c>
      <c r="B174" s="37" t="s">
        <v>447</v>
      </c>
      <c r="C174" s="37" t="s">
        <v>77</v>
      </c>
      <c r="D174" s="38" t="s">
        <v>1155</v>
      </c>
    </row>
    <row r="175" customFormat="false" ht="15" hidden="false" customHeight="false" outlineLevel="0" collapsed="false">
      <c r="A175" s="37" t="s">
        <v>548</v>
      </c>
      <c r="B175" s="37" t="s">
        <v>549</v>
      </c>
      <c r="C175" s="37" t="s">
        <v>77</v>
      </c>
      <c r="D175" s="38" t="s">
        <v>1184</v>
      </c>
    </row>
    <row r="176" customFormat="false" ht="15" hidden="false" customHeight="false" outlineLevel="0" collapsed="false">
      <c r="A176" s="37" t="s">
        <v>548</v>
      </c>
      <c r="B176" s="37" t="s">
        <v>549</v>
      </c>
      <c r="C176" s="37" t="s">
        <v>77</v>
      </c>
      <c r="D176" s="38" t="s">
        <v>1185</v>
      </c>
    </row>
    <row r="177" customFormat="false" ht="15" hidden="false" customHeight="false" outlineLevel="0" collapsed="false">
      <c r="A177" s="37" t="s">
        <v>548</v>
      </c>
      <c r="B177" s="37" t="s">
        <v>549</v>
      </c>
      <c r="C177" s="37" t="s">
        <v>77</v>
      </c>
      <c r="D177" s="38" t="s">
        <v>553</v>
      </c>
    </row>
    <row r="178" customFormat="false" ht="15" hidden="false" customHeight="false" outlineLevel="0" collapsed="false">
      <c r="A178" s="37" t="s">
        <v>555</v>
      </c>
      <c r="B178" s="37" t="s">
        <v>279</v>
      </c>
      <c r="C178" s="37" t="s">
        <v>77</v>
      </c>
      <c r="D178" s="38" t="s">
        <v>1186</v>
      </c>
    </row>
    <row r="179" customFormat="false" ht="15" hidden="false" customHeight="false" outlineLevel="0" collapsed="false">
      <c r="A179" s="37" t="s">
        <v>555</v>
      </c>
      <c r="B179" s="37" t="s">
        <v>279</v>
      </c>
      <c r="C179" s="37" t="s">
        <v>77</v>
      </c>
      <c r="D179" s="38" t="s">
        <v>285</v>
      </c>
    </row>
    <row r="180" customFormat="false" ht="15" hidden="false" customHeight="false" outlineLevel="0" collapsed="false">
      <c r="A180" s="37" t="s">
        <v>558</v>
      </c>
      <c r="B180" s="37" t="s">
        <v>487</v>
      </c>
      <c r="C180" s="37" t="s">
        <v>77</v>
      </c>
      <c r="D180" s="38" t="s">
        <v>1187</v>
      </c>
    </row>
    <row r="181" customFormat="false" ht="15" hidden="false" customHeight="false" outlineLevel="0" collapsed="false">
      <c r="A181" s="37" t="s">
        <v>558</v>
      </c>
      <c r="B181" s="37" t="s">
        <v>487</v>
      </c>
      <c r="C181" s="37" t="s">
        <v>77</v>
      </c>
      <c r="D181" s="38" t="s">
        <v>494</v>
      </c>
    </row>
    <row r="182" customFormat="false" ht="15" hidden="false" customHeight="false" outlineLevel="0" collapsed="false">
      <c r="A182" s="37" t="s">
        <v>558</v>
      </c>
      <c r="B182" s="37" t="s">
        <v>487</v>
      </c>
      <c r="C182" s="37" t="s">
        <v>77</v>
      </c>
      <c r="D182" s="38" t="s">
        <v>1167</v>
      </c>
    </row>
    <row r="183" customFormat="false" ht="15" hidden="false" customHeight="false" outlineLevel="0" collapsed="false">
      <c r="A183" s="37" t="s">
        <v>561</v>
      </c>
      <c r="B183" s="37" t="s">
        <v>562</v>
      </c>
      <c r="C183" s="37" t="s">
        <v>77</v>
      </c>
      <c r="D183" s="38" t="s">
        <v>1188</v>
      </c>
    </row>
    <row r="184" customFormat="false" ht="15" hidden="false" customHeight="false" outlineLevel="0" collapsed="false">
      <c r="A184" s="37" t="s">
        <v>561</v>
      </c>
      <c r="B184" s="37" t="s">
        <v>562</v>
      </c>
      <c r="C184" s="37" t="s">
        <v>77</v>
      </c>
      <c r="D184" s="38" t="s">
        <v>1189</v>
      </c>
    </row>
    <row r="185" customFormat="false" ht="15" hidden="false" customHeight="false" outlineLevel="0" collapsed="false">
      <c r="A185" s="37" t="s">
        <v>571</v>
      </c>
      <c r="B185" s="37" t="s">
        <v>572</v>
      </c>
      <c r="C185" s="37" t="s">
        <v>78</v>
      </c>
      <c r="D185" s="38" t="s">
        <v>575</v>
      </c>
    </row>
    <row r="186" customFormat="false" ht="15" hidden="false" customHeight="false" outlineLevel="0" collapsed="false">
      <c r="A186" s="37" t="s">
        <v>571</v>
      </c>
      <c r="B186" s="37" t="s">
        <v>572</v>
      </c>
      <c r="C186" s="37" t="s">
        <v>78</v>
      </c>
      <c r="D186" s="38" t="s">
        <v>1190</v>
      </c>
    </row>
    <row r="187" customFormat="false" ht="15" hidden="false" customHeight="false" outlineLevel="0" collapsed="false">
      <c r="A187" s="37" t="s">
        <v>571</v>
      </c>
      <c r="B187" s="37" t="s">
        <v>572</v>
      </c>
      <c r="C187" s="37" t="s">
        <v>78</v>
      </c>
      <c r="D187" s="38" t="s">
        <v>1191</v>
      </c>
    </row>
    <row r="188" customFormat="false" ht="15" hidden="false" customHeight="false" outlineLevel="0" collapsed="false">
      <c r="A188" s="37" t="s">
        <v>579</v>
      </c>
      <c r="B188" s="37" t="s">
        <v>580</v>
      </c>
      <c r="C188" s="37" t="s">
        <v>78</v>
      </c>
      <c r="D188" s="38" t="s">
        <v>1192</v>
      </c>
    </row>
    <row r="189" customFormat="false" ht="15" hidden="false" customHeight="false" outlineLevel="0" collapsed="false">
      <c r="A189" s="37" t="s">
        <v>579</v>
      </c>
      <c r="B189" s="37" t="s">
        <v>580</v>
      </c>
      <c r="C189" s="37" t="s">
        <v>78</v>
      </c>
      <c r="D189" s="38" t="s">
        <v>1193</v>
      </c>
    </row>
    <row r="190" customFormat="false" ht="15" hidden="false" customHeight="false" outlineLevel="0" collapsed="false">
      <c r="A190" s="37" t="s">
        <v>587</v>
      </c>
      <c r="B190" s="37" t="s">
        <v>588</v>
      </c>
      <c r="C190" s="37" t="s">
        <v>78</v>
      </c>
      <c r="D190" s="38" t="s">
        <v>1194</v>
      </c>
    </row>
    <row r="191" customFormat="false" ht="15" hidden="false" customHeight="false" outlineLevel="0" collapsed="false">
      <c r="A191" s="37" t="s">
        <v>587</v>
      </c>
      <c r="B191" s="37" t="s">
        <v>588</v>
      </c>
      <c r="C191" s="37" t="s">
        <v>78</v>
      </c>
      <c r="D191" s="38" t="s">
        <v>596</v>
      </c>
    </row>
    <row r="192" customFormat="false" ht="15" hidden="false" customHeight="false" outlineLevel="0" collapsed="false">
      <c r="A192" s="37" t="s">
        <v>600</v>
      </c>
      <c r="B192" s="37" t="s">
        <v>601</v>
      </c>
      <c r="C192" s="37" t="s">
        <v>78</v>
      </c>
      <c r="D192" s="38" t="s">
        <v>1195</v>
      </c>
    </row>
    <row r="193" customFormat="false" ht="15" hidden="false" customHeight="false" outlineLevel="0" collapsed="false">
      <c r="A193" s="37" t="s">
        <v>600</v>
      </c>
      <c r="B193" s="37" t="s">
        <v>601</v>
      </c>
      <c r="C193" s="37" t="s">
        <v>78</v>
      </c>
      <c r="D193" s="38" t="s">
        <v>1196</v>
      </c>
    </row>
    <row r="194" customFormat="false" ht="15" hidden="false" customHeight="false" outlineLevel="0" collapsed="false">
      <c r="A194" s="37" t="s">
        <v>600</v>
      </c>
      <c r="B194" s="37" t="s">
        <v>601</v>
      </c>
      <c r="C194" s="37" t="s">
        <v>78</v>
      </c>
      <c r="D194" s="38" t="s">
        <v>1197</v>
      </c>
    </row>
    <row r="195" customFormat="false" ht="15" hidden="false" customHeight="false" outlineLevel="0" collapsed="false">
      <c r="A195" s="37" t="s">
        <v>609</v>
      </c>
      <c r="B195" s="37" t="s">
        <v>610</v>
      </c>
      <c r="C195" s="37" t="s">
        <v>78</v>
      </c>
      <c r="D195" s="38" t="s">
        <v>1198</v>
      </c>
    </row>
    <row r="196" customFormat="false" ht="15" hidden="false" customHeight="false" outlineLevel="0" collapsed="false">
      <c r="A196" s="37" t="s">
        <v>609</v>
      </c>
      <c r="B196" s="37" t="s">
        <v>610</v>
      </c>
      <c r="C196" s="37" t="s">
        <v>78</v>
      </c>
      <c r="D196" s="38" t="s">
        <v>1199</v>
      </c>
    </row>
    <row r="197" customFormat="false" ht="15" hidden="false" customHeight="false" outlineLevel="0" collapsed="false">
      <c r="A197" s="37" t="s">
        <v>618</v>
      </c>
      <c r="B197" s="37" t="s">
        <v>619</v>
      </c>
      <c r="C197" s="37" t="s">
        <v>78</v>
      </c>
      <c r="D197" s="38" t="s">
        <v>1200</v>
      </c>
    </row>
    <row r="198" customFormat="false" ht="15" hidden="false" customHeight="false" outlineLevel="0" collapsed="false">
      <c r="A198" s="37" t="s">
        <v>618</v>
      </c>
      <c r="B198" s="37" t="s">
        <v>619</v>
      </c>
      <c r="C198" s="37" t="s">
        <v>78</v>
      </c>
      <c r="D198" s="38" t="s">
        <v>627</v>
      </c>
    </row>
    <row r="199" customFormat="false" ht="15" hidden="false" customHeight="false" outlineLevel="0" collapsed="false">
      <c r="A199" s="37" t="s">
        <v>618</v>
      </c>
      <c r="B199" s="37" t="s">
        <v>619</v>
      </c>
      <c r="C199" s="37" t="s">
        <v>78</v>
      </c>
      <c r="D199" s="38" t="s">
        <v>1201</v>
      </c>
    </row>
    <row r="200" customFormat="false" ht="15" hidden="false" customHeight="false" outlineLevel="0" collapsed="false">
      <c r="A200" s="37" t="s">
        <v>631</v>
      </c>
      <c r="B200" s="37" t="s">
        <v>632</v>
      </c>
      <c r="C200" s="37" t="s">
        <v>78</v>
      </c>
      <c r="D200" s="38" t="s">
        <v>1202</v>
      </c>
    </row>
    <row r="201" customFormat="false" ht="15" hidden="false" customHeight="false" outlineLevel="0" collapsed="false">
      <c r="A201" s="37" t="s">
        <v>631</v>
      </c>
      <c r="B201" s="37" t="s">
        <v>632</v>
      </c>
      <c r="C201" s="37" t="s">
        <v>78</v>
      </c>
      <c r="D201" s="38" t="s">
        <v>1203</v>
      </c>
    </row>
    <row r="202" customFormat="false" ht="15" hidden="false" customHeight="false" outlineLevel="0" collapsed="false">
      <c r="A202" s="37" t="s">
        <v>631</v>
      </c>
      <c r="B202" s="37" t="s">
        <v>632</v>
      </c>
      <c r="C202" s="37" t="s">
        <v>78</v>
      </c>
      <c r="D202" s="38" t="s">
        <v>637</v>
      </c>
    </row>
    <row r="203" customFormat="false" ht="15" hidden="false" customHeight="false" outlineLevel="0" collapsed="false">
      <c r="A203" s="37" t="s">
        <v>640</v>
      </c>
      <c r="B203" s="37" t="s">
        <v>641</v>
      </c>
      <c r="C203" s="37" t="s">
        <v>78</v>
      </c>
      <c r="D203" s="38" t="s">
        <v>1204</v>
      </c>
    </row>
    <row r="204" customFormat="false" ht="15" hidden="false" customHeight="false" outlineLevel="0" collapsed="false">
      <c r="A204" s="37" t="s">
        <v>640</v>
      </c>
      <c r="B204" s="37" t="s">
        <v>641</v>
      </c>
      <c r="C204" s="37" t="s">
        <v>78</v>
      </c>
      <c r="D204" s="38" t="s">
        <v>1205</v>
      </c>
    </row>
    <row r="205" customFormat="false" ht="15" hidden="false" customHeight="false" outlineLevel="0" collapsed="false">
      <c r="A205" s="37" t="s">
        <v>650</v>
      </c>
      <c r="B205" s="37" t="s">
        <v>651</v>
      </c>
      <c r="C205" s="37" t="s">
        <v>78</v>
      </c>
      <c r="D205" s="38" t="s">
        <v>1206</v>
      </c>
    </row>
    <row r="206" customFormat="false" ht="15" hidden="false" customHeight="false" outlineLevel="0" collapsed="false">
      <c r="A206" s="37" t="s">
        <v>650</v>
      </c>
      <c r="B206" s="37" t="s">
        <v>651</v>
      </c>
      <c r="C206" s="37" t="s">
        <v>78</v>
      </c>
      <c r="D206" s="38" t="s">
        <v>1207</v>
      </c>
    </row>
    <row r="207" customFormat="false" ht="15" hidden="false" customHeight="false" outlineLevel="0" collapsed="false">
      <c r="A207" s="37" t="s">
        <v>650</v>
      </c>
      <c r="B207" s="37" t="s">
        <v>651</v>
      </c>
      <c r="C207" s="37" t="s">
        <v>78</v>
      </c>
      <c r="D207" s="38" t="s">
        <v>656</v>
      </c>
    </row>
    <row r="208" customFormat="false" ht="15" hidden="false" customHeight="false" outlineLevel="0" collapsed="false">
      <c r="A208" s="37" t="s">
        <v>650</v>
      </c>
      <c r="B208" s="37" t="s">
        <v>651</v>
      </c>
      <c r="C208" s="37" t="s">
        <v>78</v>
      </c>
      <c r="D208" s="38" t="s">
        <v>1208</v>
      </c>
    </row>
    <row r="209" customFormat="false" ht="15" hidden="false" customHeight="false" outlineLevel="0" collapsed="false">
      <c r="A209" s="37" t="s">
        <v>660</v>
      </c>
      <c r="B209" s="37" t="s">
        <v>661</v>
      </c>
      <c r="C209" s="37" t="s">
        <v>78</v>
      </c>
      <c r="D209" s="38" t="s">
        <v>1209</v>
      </c>
    </row>
    <row r="210" customFormat="false" ht="15" hidden="false" customHeight="false" outlineLevel="0" collapsed="false">
      <c r="A210" s="37" t="s">
        <v>660</v>
      </c>
      <c r="B210" s="37" t="s">
        <v>661</v>
      </c>
      <c r="C210" s="37" t="s">
        <v>78</v>
      </c>
      <c r="D210" s="38" t="s">
        <v>1210</v>
      </c>
    </row>
    <row r="211" customFormat="false" ht="15" hidden="false" customHeight="false" outlineLevel="0" collapsed="false">
      <c r="A211" s="37" t="s">
        <v>660</v>
      </c>
      <c r="B211" s="37" t="s">
        <v>661</v>
      </c>
      <c r="C211" s="37" t="s">
        <v>78</v>
      </c>
      <c r="D211" s="38" t="s">
        <v>1211</v>
      </c>
    </row>
    <row r="212" customFormat="false" ht="15" hidden="false" customHeight="false" outlineLevel="0" collapsed="false">
      <c r="A212" s="37" t="s">
        <v>671</v>
      </c>
      <c r="B212" s="37" t="s">
        <v>672</v>
      </c>
      <c r="C212" s="37" t="s">
        <v>79</v>
      </c>
      <c r="D212" s="38" t="s">
        <v>1212</v>
      </c>
    </row>
    <row r="213" customFormat="false" ht="15" hidden="false" customHeight="false" outlineLevel="0" collapsed="false">
      <c r="A213" s="37" t="s">
        <v>671</v>
      </c>
      <c r="B213" s="37" t="s">
        <v>672</v>
      </c>
      <c r="C213" s="37" t="s">
        <v>79</v>
      </c>
      <c r="D213" s="38" t="s">
        <v>1213</v>
      </c>
    </row>
    <row r="214" customFormat="false" ht="15" hidden="false" customHeight="false" outlineLevel="0" collapsed="false">
      <c r="A214" s="37" t="s">
        <v>671</v>
      </c>
      <c r="B214" s="37" t="s">
        <v>672</v>
      </c>
      <c r="C214" s="37" t="s">
        <v>79</v>
      </c>
      <c r="D214" s="38" t="s">
        <v>1214</v>
      </c>
    </row>
    <row r="215" customFormat="false" ht="15" hidden="false" customHeight="false" outlineLevel="0" collapsed="false">
      <c r="A215" s="37" t="s">
        <v>681</v>
      </c>
      <c r="B215" s="37" t="s">
        <v>682</v>
      </c>
      <c r="C215" s="37" t="s">
        <v>79</v>
      </c>
      <c r="D215" s="38" t="s">
        <v>1215</v>
      </c>
    </row>
    <row r="216" customFormat="false" ht="15" hidden="false" customHeight="false" outlineLevel="0" collapsed="false">
      <c r="A216" s="37" t="s">
        <v>692</v>
      </c>
      <c r="B216" s="37" t="s">
        <v>693</v>
      </c>
      <c r="C216" s="37" t="s">
        <v>79</v>
      </c>
      <c r="D216" s="38" t="s">
        <v>1216</v>
      </c>
    </row>
    <row r="217" customFormat="false" ht="15" hidden="false" customHeight="false" outlineLevel="0" collapsed="false">
      <c r="A217" s="37" t="s">
        <v>692</v>
      </c>
      <c r="B217" s="37" t="s">
        <v>693</v>
      </c>
      <c r="C217" s="37" t="s">
        <v>79</v>
      </c>
      <c r="D217" s="38" t="s">
        <v>1217</v>
      </c>
    </row>
    <row r="218" customFormat="false" ht="15" hidden="false" customHeight="false" outlineLevel="0" collapsed="false">
      <c r="A218" s="37" t="s">
        <v>702</v>
      </c>
      <c r="B218" s="37" t="s">
        <v>703</v>
      </c>
      <c r="C218" s="37" t="s">
        <v>79</v>
      </c>
      <c r="D218" s="38" t="s">
        <v>1218</v>
      </c>
    </row>
    <row r="219" customFormat="false" ht="15" hidden="false" customHeight="false" outlineLevel="0" collapsed="false">
      <c r="A219" s="37" t="s">
        <v>702</v>
      </c>
      <c r="B219" s="37" t="s">
        <v>703</v>
      </c>
      <c r="C219" s="37" t="s">
        <v>79</v>
      </c>
      <c r="D219" s="38" t="s">
        <v>1219</v>
      </c>
    </row>
    <row r="220" customFormat="false" ht="15" hidden="false" customHeight="false" outlineLevel="0" collapsed="false">
      <c r="A220" s="37" t="s">
        <v>712</v>
      </c>
      <c r="B220" s="37" t="s">
        <v>713</v>
      </c>
      <c r="C220" s="37" t="s">
        <v>79</v>
      </c>
      <c r="D220" s="38" t="s">
        <v>1220</v>
      </c>
    </row>
    <row r="221" customFormat="false" ht="15" hidden="false" customHeight="false" outlineLevel="0" collapsed="false">
      <c r="A221" s="37" t="s">
        <v>712</v>
      </c>
      <c r="B221" s="37" t="s">
        <v>713</v>
      </c>
      <c r="C221" s="37" t="s">
        <v>79</v>
      </c>
      <c r="D221" s="38" t="s">
        <v>1221</v>
      </c>
    </row>
    <row r="222" customFormat="false" ht="15" hidden="false" customHeight="false" outlineLevel="0" collapsed="false">
      <c r="A222" s="37" t="s">
        <v>712</v>
      </c>
      <c r="B222" s="37" t="s">
        <v>713</v>
      </c>
      <c r="C222" s="37" t="s">
        <v>79</v>
      </c>
      <c r="D222" s="38" t="s">
        <v>1222</v>
      </c>
    </row>
    <row r="223" customFormat="false" ht="15" hidden="false" customHeight="false" outlineLevel="0" collapsed="false">
      <c r="A223" s="37" t="s">
        <v>721</v>
      </c>
      <c r="B223" s="37" t="s">
        <v>722</v>
      </c>
      <c r="C223" s="37" t="s">
        <v>79</v>
      </c>
      <c r="D223" s="38" t="s">
        <v>727</v>
      </c>
    </row>
    <row r="224" customFormat="false" ht="15" hidden="false" customHeight="false" outlineLevel="0" collapsed="false">
      <c r="A224" s="37" t="s">
        <v>721</v>
      </c>
      <c r="B224" s="37" t="s">
        <v>722</v>
      </c>
      <c r="C224" s="37" t="s">
        <v>79</v>
      </c>
      <c r="D224" s="38" t="s">
        <v>1223</v>
      </c>
    </row>
    <row r="225" customFormat="false" ht="15" hidden="false" customHeight="false" outlineLevel="0" collapsed="false">
      <c r="A225" s="37" t="s">
        <v>731</v>
      </c>
      <c r="B225" s="37" t="s">
        <v>732</v>
      </c>
      <c r="C225" s="37" t="s">
        <v>79</v>
      </c>
      <c r="D225" s="38" t="s">
        <v>1224</v>
      </c>
    </row>
    <row r="226" customFormat="false" ht="15" hidden="false" customHeight="false" outlineLevel="0" collapsed="false">
      <c r="A226" s="37" t="s">
        <v>731</v>
      </c>
      <c r="B226" s="37" t="s">
        <v>732</v>
      </c>
      <c r="C226" s="37" t="s">
        <v>79</v>
      </c>
      <c r="D226" s="38" t="s">
        <v>1225</v>
      </c>
    </row>
    <row r="227" customFormat="false" ht="15" hidden="false" customHeight="false" outlineLevel="0" collapsed="false">
      <c r="A227" s="37" t="s">
        <v>740</v>
      </c>
      <c r="B227" s="37" t="s">
        <v>741</v>
      </c>
      <c r="C227" s="37" t="s">
        <v>79</v>
      </c>
      <c r="D227" s="38" t="s">
        <v>1226</v>
      </c>
    </row>
    <row r="228" customFormat="false" ht="15" hidden="false" customHeight="false" outlineLevel="0" collapsed="false">
      <c r="A228" s="37" t="s">
        <v>740</v>
      </c>
      <c r="B228" s="37" t="s">
        <v>741</v>
      </c>
      <c r="C228" s="37" t="s">
        <v>79</v>
      </c>
      <c r="D228" s="38" t="s">
        <v>1227</v>
      </c>
    </row>
    <row r="229" customFormat="false" ht="15" hidden="false" customHeight="false" outlineLevel="0" collapsed="false">
      <c r="A229" s="37" t="s">
        <v>751</v>
      </c>
      <c r="B229" s="37" t="s">
        <v>752</v>
      </c>
      <c r="C229" s="37" t="s">
        <v>79</v>
      </c>
      <c r="D229" s="38" t="s">
        <v>1228</v>
      </c>
    </row>
    <row r="230" customFormat="false" ht="15" hidden="false" customHeight="false" outlineLevel="0" collapsed="false">
      <c r="A230" s="37" t="s">
        <v>751</v>
      </c>
      <c r="B230" s="37" t="s">
        <v>752</v>
      </c>
      <c r="C230" s="37" t="s">
        <v>79</v>
      </c>
      <c r="D230" s="38" t="s">
        <v>1229</v>
      </c>
    </row>
    <row r="231" customFormat="false" ht="15" hidden="false" customHeight="false" outlineLevel="0" collapsed="false">
      <c r="A231" s="37" t="s">
        <v>751</v>
      </c>
      <c r="B231" s="37" t="s">
        <v>752</v>
      </c>
      <c r="C231" s="37" t="s">
        <v>79</v>
      </c>
      <c r="D231" s="38" t="s">
        <v>1230</v>
      </c>
    </row>
    <row r="232" customFormat="false" ht="15" hidden="false" customHeight="false" outlineLevel="0" collapsed="false">
      <c r="A232" s="37" t="s">
        <v>761</v>
      </c>
      <c r="B232" s="37" t="s">
        <v>762</v>
      </c>
      <c r="C232" s="37" t="s">
        <v>79</v>
      </c>
      <c r="D232" s="38" t="s">
        <v>768</v>
      </c>
    </row>
    <row r="233" customFormat="false" ht="15" hidden="false" customHeight="false" outlineLevel="0" collapsed="false">
      <c r="A233" s="37" t="s">
        <v>761</v>
      </c>
      <c r="B233" s="37" t="s">
        <v>762</v>
      </c>
      <c r="C233" s="37" t="s">
        <v>79</v>
      </c>
      <c r="D233" s="38" t="s">
        <v>1231</v>
      </c>
    </row>
    <row r="234" customFormat="false" ht="15" hidden="false" customHeight="false" outlineLevel="0" collapsed="false">
      <c r="A234" s="37" t="s">
        <v>761</v>
      </c>
      <c r="B234" s="37" t="s">
        <v>762</v>
      </c>
      <c r="C234" s="37" t="s">
        <v>79</v>
      </c>
      <c r="D234" s="38" t="s">
        <v>1232</v>
      </c>
    </row>
    <row r="235" customFormat="false" ht="15" hidden="false" customHeight="false" outlineLevel="0" collapsed="false">
      <c r="A235" s="37" t="s">
        <v>773</v>
      </c>
      <c r="B235" s="37" t="s">
        <v>672</v>
      </c>
      <c r="C235" s="37" t="s">
        <v>80</v>
      </c>
      <c r="D235" s="38" t="s">
        <v>1233</v>
      </c>
    </row>
    <row r="236" customFormat="false" ht="15" hidden="false" customHeight="false" outlineLevel="0" collapsed="false">
      <c r="A236" s="37" t="s">
        <v>773</v>
      </c>
      <c r="B236" s="37" t="s">
        <v>672</v>
      </c>
      <c r="C236" s="37" t="s">
        <v>80</v>
      </c>
      <c r="D236" s="38" t="s">
        <v>1234</v>
      </c>
    </row>
    <row r="237" customFormat="false" ht="15" hidden="false" customHeight="false" outlineLevel="0" collapsed="false">
      <c r="A237" s="37" t="s">
        <v>773</v>
      </c>
      <c r="B237" s="37" t="s">
        <v>672</v>
      </c>
      <c r="C237" s="37" t="s">
        <v>80</v>
      </c>
      <c r="D237" s="38" t="s">
        <v>1213</v>
      </c>
    </row>
    <row r="238" customFormat="false" ht="15" hidden="false" customHeight="false" outlineLevel="0" collapsed="false">
      <c r="A238" s="37" t="s">
        <v>777</v>
      </c>
      <c r="B238" s="37" t="s">
        <v>778</v>
      </c>
      <c r="C238" s="37" t="s">
        <v>80</v>
      </c>
      <c r="D238" s="38" t="s">
        <v>783</v>
      </c>
    </row>
    <row r="239" customFormat="false" ht="15" hidden="false" customHeight="false" outlineLevel="0" collapsed="false">
      <c r="A239" s="37" t="s">
        <v>777</v>
      </c>
      <c r="B239" s="37" t="s">
        <v>778</v>
      </c>
      <c r="C239" s="37" t="s">
        <v>80</v>
      </c>
      <c r="D239" s="38" t="s">
        <v>1235</v>
      </c>
    </row>
    <row r="240" customFormat="false" ht="15" hidden="false" customHeight="false" outlineLevel="0" collapsed="false">
      <c r="A240" s="37" t="s">
        <v>787</v>
      </c>
      <c r="B240" s="37" t="s">
        <v>788</v>
      </c>
      <c r="C240" s="37" t="s">
        <v>80</v>
      </c>
      <c r="D240" s="38" t="s">
        <v>792</v>
      </c>
    </row>
    <row r="241" customFormat="false" ht="15" hidden="false" customHeight="false" outlineLevel="0" collapsed="false">
      <c r="A241" s="37" t="s">
        <v>787</v>
      </c>
      <c r="B241" s="37" t="s">
        <v>788</v>
      </c>
      <c r="C241" s="37" t="s">
        <v>80</v>
      </c>
      <c r="D241" s="38" t="s">
        <v>1236</v>
      </c>
    </row>
    <row r="242" customFormat="false" ht="15" hidden="false" customHeight="false" outlineLevel="0" collapsed="false">
      <c r="A242" s="37" t="s">
        <v>787</v>
      </c>
      <c r="B242" s="37" t="s">
        <v>788</v>
      </c>
      <c r="C242" s="37" t="s">
        <v>80</v>
      </c>
      <c r="D242" s="38" t="s">
        <v>1237</v>
      </c>
    </row>
    <row r="243" customFormat="false" ht="15" hidden="false" customHeight="false" outlineLevel="0" collapsed="false">
      <c r="A243" s="37" t="s">
        <v>796</v>
      </c>
      <c r="B243" s="37" t="s">
        <v>797</v>
      </c>
      <c r="C243" s="37" t="s">
        <v>80</v>
      </c>
      <c r="D243" s="38" t="s">
        <v>1238</v>
      </c>
    </row>
    <row r="244" customFormat="false" ht="15" hidden="false" customHeight="false" outlineLevel="0" collapsed="false">
      <c r="A244" s="37" t="s">
        <v>796</v>
      </c>
      <c r="B244" s="37" t="s">
        <v>797</v>
      </c>
      <c r="C244" s="37" t="s">
        <v>80</v>
      </c>
      <c r="D244" s="38" t="s">
        <v>1239</v>
      </c>
    </row>
    <row r="245" customFormat="false" ht="15" hidden="false" customHeight="false" outlineLevel="0" collapsed="false">
      <c r="A245" s="37" t="s">
        <v>807</v>
      </c>
      <c r="B245" s="37" t="s">
        <v>808</v>
      </c>
      <c r="C245" s="37" t="s">
        <v>80</v>
      </c>
      <c r="D245" s="38" t="s">
        <v>1240</v>
      </c>
    </row>
    <row r="246" customFormat="false" ht="15" hidden="false" customHeight="false" outlineLevel="0" collapsed="false">
      <c r="A246" s="37" t="s">
        <v>807</v>
      </c>
      <c r="B246" s="37" t="s">
        <v>808</v>
      </c>
      <c r="C246" s="37" t="s">
        <v>80</v>
      </c>
      <c r="D246" s="38" t="s">
        <v>1241</v>
      </c>
    </row>
    <row r="247" customFormat="false" ht="15" hidden="false" customHeight="false" outlineLevel="0" collapsed="false">
      <c r="A247" s="37" t="s">
        <v>807</v>
      </c>
      <c r="B247" s="37" t="s">
        <v>808</v>
      </c>
      <c r="C247" s="37" t="s">
        <v>80</v>
      </c>
      <c r="D247" s="38" t="s">
        <v>1242</v>
      </c>
    </row>
    <row r="248" customFormat="false" ht="15" hidden="false" customHeight="false" outlineLevel="0" collapsed="false">
      <c r="A248" s="37" t="s">
        <v>815</v>
      </c>
      <c r="B248" s="37" t="s">
        <v>816</v>
      </c>
      <c r="C248" s="37" t="s">
        <v>80</v>
      </c>
      <c r="D248" s="38" t="s">
        <v>1243</v>
      </c>
    </row>
    <row r="249" customFormat="false" ht="15" hidden="false" customHeight="false" outlineLevel="0" collapsed="false">
      <c r="A249" s="37" t="s">
        <v>822</v>
      </c>
      <c r="B249" s="37" t="s">
        <v>682</v>
      </c>
      <c r="C249" s="37" t="s">
        <v>81</v>
      </c>
      <c r="D249" s="38" t="s">
        <v>1244</v>
      </c>
    </row>
    <row r="250" customFormat="false" ht="15" hidden="false" customHeight="false" outlineLevel="0" collapsed="false">
      <c r="A250" s="37" t="s">
        <v>822</v>
      </c>
      <c r="B250" s="37" t="s">
        <v>682</v>
      </c>
      <c r="C250" s="37" t="s">
        <v>81</v>
      </c>
      <c r="D250" s="38" t="s">
        <v>1215</v>
      </c>
    </row>
    <row r="251" customFormat="false" ht="15" hidden="false" customHeight="false" outlineLevel="0" collapsed="false">
      <c r="A251" s="37" t="s">
        <v>826</v>
      </c>
      <c r="B251" s="37" t="s">
        <v>827</v>
      </c>
      <c r="C251" s="37" t="s">
        <v>81</v>
      </c>
      <c r="D251" s="38" t="s">
        <v>1245</v>
      </c>
    </row>
    <row r="252" customFormat="false" ht="15" hidden="false" customHeight="false" outlineLevel="0" collapsed="false">
      <c r="A252" s="37" t="s">
        <v>826</v>
      </c>
      <c r="B252" s="37" t="s">
        <v>827</v>
      </c>
      <c r="C252" s="37" t="s">
        <v>81</v>
      </c>
      <c r="D252" s="38" t="s">
        <v>1246</v>
      </c>
    </row>
    <row r="253" customFormat="false" ht="15" hidden="false" customHeight="false" outlineLevel="0" collapsed="false">
      <c r="A253" s="37" t="s">
        <v>836</v>
      </c>
      <c r="B253" s="37" t="s">
        <v>837</v>
      </c>
      <c r="C253" s="37" t="s">
        <v>81</v>
      </c>
      <c r="D253" s="38" t="s">
        <v>1247</v>
      </c>
    </row>
    <row r="254" customFormat="false" ht="15" hidden="false" customHeight="false" outlineLevel="0" collapsed="false">
      <c r="A254" s="37" t="s">
        <v>844</v>
      </c>
      <c r="B254" s="37" t="s">
        <v>845</v>
      </c>
      <c r="C254" s="37" t="s">
        <v>81</v>
      </c>
      <c r="D254" s="38" t="s">
        <v>1248</v>
      </c>
    </row>
    <row r="255" customFormat="false" ht="15" hidden="false" customHeight="false" outlineLevel="0" collapsed="false">
      <c r="A255" s="37" t="s">
        <v>844</v>
      </c>
      <c r="B255" s="37" t="s">
        <v>845</v>
      </c>
      <c r="C255" s="37" t="s">
        <v>81</v>
      </c>
      <c r="D255" s="38" t="s">
        <v>1249</v>
      </c>
    </row>
    <row r="256" customFormat="false" ht="15" hidden="false" customHeight="false" outlineLevel="0" collapsed="false">
      <c r="A256" s="37" t="s">
        <v>853</v>
      </c>
      <c r="B256" s="37" t="s">
        <v>854</v>
      </c>
      <c r="C256" s="37" t="s">
        <v>81</v>
      </c>
      <c r="D256" s="38" t="s">
        <v>1250</v>
      </c>
    </row>
    <row r="257" customFormat="false" ht="15" hidden="false" customHeight="false" outlineLevel="0" collapsed="false">
      <c r="A257" s="37" t="s">
        <v>853</v>
      </c>
      <c r="B257" s="37" t="s">
        <v>854</v>
      </c>
      <c r="C257" s="37" t="s">
        <v>81</v>
      </c>
      <c r="D257" s="38" t="s">
        <v>1251</v>
      </c>
    </row>
    <row r="258" customFormat="false" ht="15" hidden="false" customHeight="false" outlineLevel="0" collapsed="false">
      <c r="A258" s="37" t="s">
        <v>862</v>
      </c>
      <c r="B258" s="37" t="s">
        <v>863</v>
      </c>
      <c r="C258" s="37" t="s">
        <v>81</v>
      </c>
      <c r="D258" s="38" t="s">
        <v>1252</v>
      </c>
    </row>
    <row r="259" customFormat="false" ht="15" hidden="false" customHeight="false" outlineLevel="0" collapsed="false">
      <c r="A259" s="37" t="s">
        <v>862</v>
      </c>
      <c r="B259" s="37" t="s">
        <v>863</v>
      </c>
      <c r="C259" s="37" t="s">
        <v>81</v>
      </c>
      <c r="D259" s="38" t="s">
        <v>1253</v>
      </c>
    </row>
    <row r="260" customFormat="false" ht="15" hidden="false" customHeight="false" outlineLevel="0" collapsed="false">
      <c r="A260" s="37" t="s">
        <v>868</v>
      </c>
      <c r="B260" s="37" t="s">
        <v>869</v>
      </c>
      <c r="C260" s="37" t="s">
        <v>81</v>
      </c>
      <c r="D260" s="38" t="s">
        <v>1254</v>
      </c>
    </row>
    <row r="261" customFormat="false" ht="15" hidden="false" customHeight="false" outlineLevel="0" collapsed="false">
      <c r="A261" s="37" t="s">
        <v>868</v>
      </c>
      <c r="B261" s="37" t="s">
        <v>869</v>
      </c>
      <c r="C261" s="37" t="s">
        <v>81</v>
      </c>
      <c r="D261" s="38" t="s">
        <v>1255</v>
      </c>
    </row>
    <row r="262" customFormat="false" ht="15" hidden="false" customHeight="false" outlineLevel="0" collapsed="false">
      <c r="A262" s="37" t="s">
        <v>868</v>
      </c>
      <c r="B262" s="37" t="s">
        <v>869</v>
      </c>
      <c r="C262" s="37" t="s">
        <v>81</v>
      </c>
      <c r="D262" s="38" t="s">
        <v>1256</v>
      </c>
    </row>
    <row r="263" customFormat="false" ht="15" hidden="false" customHeight="false" outlineLevel="0" collapsed="false">
      <c r="A263" s="37" t="s">
        <v>879</v>
      </c>
      <c r="B263" s="37" t="s">
        <v>880</v>
      </c>
      <c r="C263" s="37" t="s">
        <v>82</v>
      </c>
      <c r="D263" s="38" t="s">
        <v>1257</v>
      </c>
    </row>
    <row r="264" customFormat="false" ht="15" hidden="false" customHeight="false" outlineLevel="0" collapsed="false">
      <c r="A264" s="37" t="s">
        <v>879</v>
      </c>
      <c r="B264" s="37" t="s">
        <v>880</v>
      </c>
      <c r="C264" s="37" t="s">
        <v>82</v>
      </c>
      <c r="D264" s="38" t="s">
        <v>886</v>
      </c>
    </row>
    <row r="265" customFormat="false" ht="15" hidden="false" customHeight="false" outlineLevel="0" collapsed="false">
      <c r="A265" s="37" t="s">
        <v>879</v>
      </c>
      <c r="B265" s="37" t="s">
        <v>880</v>
      </c>
      <c r="C265" s="37" t="s">
        <v>82</v>
      </c>
      <c r="D265" s="38" t="s">
        <v>1258</v>
      </c>
    </row>
    <row r="266" customFormat="false" ht="15" hidden="false" customHeight="false" outlineLevel="0" collapsed="false">
      <c r="A266" s="37" t="s">
        <v>889</v>
      </c>
      <c r="B266" s="37" t="s">
        <v>890</v>
      </c>
      <c r="C266" s="37" t="s">
        <v>82</v>
      </c>
      <c r="D266" s="38" t="s">
        <v>1259</v>
      </c>
    </row>
    <row r="267" customFormat="false" ht="15" hidden="false" customHeight="false" outlineLevel="0" collapsed="false">
      <c r="A267" s="37" t="s">
        <v>889</v>
      </c>
      <c r="B267" s="37" t="s">
        <v>890</v>
      </c>
      <c r="C267" s="37" t="s">
        <v>82</v>
      </c>
      <c r="D267" s="38" t="s">
        <v>1260</v>
      </c>
    </row>
    <row r="268" customFormat="false" ht="15" hidden="false" customHeight="false" outlineLevel="0" collapsed="false">
      <c r="A268" s="37" t="s">
        <v>889</v>
      </c>
      <c r="B268" s="37" t="s">
        <v>890</v>
      </c>
      <c r="C268" s="37" t="s">
        <v>82</v>
      </c>
      <c r="D268" s="38" t="s">
        <v>1261</v>
      </c>
    </row>
    <row r="269" customFormat="false" ht="15" hidden="false" customHeight="false" outlineLevel="0" collapsed="false">
      <c r="A269" s="37" t="s">
        <v>889</v>
      </c>
      <c r="B269" s="37" t="s">
        <v>890</v>
      </c>
      <c r="C269" s="37" t="s">
        <v>82</v>
      </c>
      <c r="D269" s="38" t="s">
        <v>1258</v>
      </c>
    </row>
    <row r="270" customFormat="false" ht="15" hidden="false" customHeight="false" outlineLevel="0" collapsed="false">
      <c r="A270" s="37" t="s">
        <v>898</v>
      </c>
      <c r="B270" s="37" t="s">
        <v>899</v>
      </c>
      <c r="C270" s="37" t="s">
        <v>82</v>
      </c>
      <c r="D270" s="38" t="s">
        <v>1262</v>
      </c>
    </row>
    <row r="271" customFormat="false" ht="15" hidden="false" customHeight="false" outlineLevel="0" collapsed="false">
      <c r="A271" s="37" t="s">
        <v>898</v>
      </c>
      <c r="B271" s="37" t="s">
        <v>899</v>
      </c>
      <c r="C271" s="37" t="s">
        <v>82</v>
      </c>
      <c r="D271" s="38" t="s">
        <v>904</v>
      </c>
    </row>
    <row r="272" customFormat="false" ht="15" hidden="false" customHeight="false" outlineLevel="0" collapsed="false">
      <c r="A272" s="37" t="s">
        <v>898</v>
      </c>
      <c r="B272" s="37" t="s">
        <v>899</v>
      </c>
      <c r="C272" s="37" t="s">
        <v>82</v>
      </c>
      <c r="D272" s="38" t="s">
        <v>1263</v>
      </c>
    </row>
    <row r="273" customFormat="false" ht="15" hidden="false" customHeight="false" outlineLevel="0" collapsed="false">
      <c r="A273" s="37" t="s">
        <v>898</v>
      </c>
      <c r="B273" s="37" t="s">
        <v>899</v>
      </c>
      <c r="C273" s="37" t="s">
        <v>82</v>
      </c>
      <c r="D273" s="38" t="s">
        <v>1258</v>
      </c>
    </row>
    <row r="274" customFormat="false" ht="15" hidden="false" customHeight="false" outlineLevel="0" collapsed="false">
      <c r="A274" s="37" t="s">
        <v>907</v>
      </c>
      <c r="B274" s="37" t="s">
        <v>256</v>
      </c>
      <c r="C274" s="37" t="s">
        <v>82</v>
      </c>
      <c r="D274" s="38" t="s">
        <v>1170</v>
      </c>
    </row>
    <row r="275" customFormat="false" ht="15" hidden="false" customHeight="false" outlineLevel="0" collapsed="false">
      <c r="A275" s="37" t="s">
        <v>907</v>
      </c>
      <c r="B275" s="37" t="s">
        <v>256</v>
      </c>
      <c r="C275" s="37" t="s">
        <v>82</v>
      </c>
      <c r="D275" s="38" t="s">
        <v>1171</v>
      </c>
    </row>
    <row r="276" customFormat="false" ht="15" hidden="false" customHeight="false" outlineLevel="0" collapsed="false">
      <c r="A276" s="37" t="s">
        <v>907</v>
      </c>
      <c r="B276" s="37" t="s">
        <v>256</v>
      </c>
      <c r="C276" s="37" t="s">
        <v>82</v>
      </c>
      <c r="D276" s="38" t="s">
        <v>1110</v>
      </c>
    </row>
    <row r="277" customFormat="false" ht="15" hidden="false" customHeight="false" outlineLevel="0" collapsed="false">
      <c r="A277" s="37" t="s">
        <v>910</v>
      </c>
      <c r="B277" s="37" t="s">
        <v>911</v>
      </c>
      <c r="C277" s="37" t="s">
        <v>82</v>
      </c>
      <c r="D277" s="38" t="s">
        <v>917</v>
      </c>
    </row>
    <row r="278" customFormat="false" ht="15" hidden="false" customHeight="false" outlineLevel="0" collapsed="false">
      <c r="A278" s="37" t="s">
        <v>910</v>
      </c>
      <c r="B278" s="37" t="s">
        <v>911</v>
      </c>
      <c r="C278" s="37" t="s">
        <v>82</v>
      </c>
      <c r="D278" s="38" t="s">
        <v>1264</v>
      </c>
    </row>
    <row r="279" customFormat="false" ht="15" hidden="false" customHeight="false" outlineLevel="0" collapsed="false">
      <c r="A279" s="37" t="s">
        <v>910</v>
      </c>
      <c r="B279" s="37" t="s">
        <v>911</v>
      </c>
      <c r="C279" s="37" t="s">
        <v>82</v>
      </c>
      <c r="D279" s="38" t="s">
        <v>1258</v>
      </c>
    </row>
    <row r="280" customFormat="false" ht="15" hidden="false" customHeight="false" outlineLevel="0" collapsed="false">
      <c r="A280" s="37" t="s">
        <v>920</v>
      </c>
      <c r="B280" s="37" t="s">
        <v>921</v>
      </c>
      <c r="C280" s="37" t="s">
        <v>82</v>
      </c>
      <c r="D280" s="38" t="s">
        <v>927</v>
      </c>
    </row>
    <row r="281" customFormat="false" ht="15" hidden="false" customHeight="false" outlineLevel="0" collapsed="false">
      <c r="A281" s="37" t="s">
        <v>920</v>
      </c>
      <c r="B281" s="37" t="s">
        <v>921</v>
      </c>
      <c r="C281" s="37" t="s">
        <v>82</v>
      </c>
      <c r="D281" s="38" t="s">
        <v>1265</v>
      </c>
    </row>
    <row r="282" customFormat="false" ht="15" hidden="false" customHeight="false" outlineLevel="0" collapsed="false">
      <c r="A282" s="37" t="s">
        <v>920</v>
      </c>
      <c r="B282" s="37" t="s">
        <v>921</v>
      </c>
      <c r="C282" s="37" t="s">
        <v>82</v>
      </c>
      <c r="D282" s="38" t="s">
        <v>1266</v>
      </c>
    </row>
    <row r="283" customFormat="false" ht="15" hidden="false" customHeight="false" outlineLevel="0" collapsed="false">
      <c r="A283" s="37" t="s">
        <v>930</v>
      </c>
      <c r="B283" s="37" t="s">
        <v>931</v>
      </c>
      <c r="C283" s="37" t="s">
        <v>82</v>
      </c>
      <c r="D283" s="38" t="s">
        <v>936</v>
      </c>
    </row>
    <row r="284" customFormat="false" ht="15" hidden="false" customHeight="false" outlineLevel="0" collapsed="false">
      <c r="A284" s="37" t="s">
        <v>930</v>
      </c>
      <c r="B284" s="37" t="s">
        <v>931</v>
      </c>
      <c r="C284" s="37" t="s">
        <v>82</v>
      </c>
      <c r="D284" s="38" t="s">
        <v>1267</v>
      </c>
    </row>
    <row r="285" customFormat="false" ht="15" hidden="false" customHeight="false" outlineLevel="0" collapsed="false">
      <c r="A285" s="37" t="s">
        <v>930</v>
      </c>
      <c r="B285" s="37" t="s">
        <v>931</v>
      </c>
      <c r="C285" s="37" t="s">
        <v>82</v>
      </c>
      <c r="D285" s="38" t="s">
        <v>1258</v>
      </c>
    </row>
    <row r="286" customFormat="false" ht="15" hidden="false" customHeight="false" outlineLevel="0" collapsed="false">
      <c r="A286" s="37" t="s">
        <v>939</v>
      </c>
      <c r="B286" s="37" t="s">
        <v>940</v>
      </c>
      <c r="C286" s="37" t="s">
        <v>82</v>
      </c>
      <c r="D286" s="38" t="s">
        <v>1268</v>
      </c>
    </row>
    <row r="287" customFormat="false" ht="15" hidden="false" customHeight="false" outlineLevel="0" collapsed="false">
      <c r="A287" s="37" t="s">
        <v>939</v>
      </c>
      <c r="B287" s="37" t="s">
        <v>940</v>
      </c>
      <c r="C287" s="37" t="s">
        <v>82</v>
      </c>
      <c r="D287" s="38" t="s">
        <v>1269</v>
      </c>
    </row>
    <row r="288" customFormat="false" ht="15" hidden="false" customHeight="false" outlineLevel="0" collapsed="false">
      <c r="A288" s="37" t="s">
        <v>939</v>
      </c>
      <c r="B288" s="37" t="s">
        <v>940</v>
      </c>
      <c r="C288" s="37" t="s">
        <v>82</v>
      </c>
      <c r="D288" s="38" t="s">
        <v>1270</v>
      </c>
    </row>
    <row r="289" customFormat="false" ht="15" hidden="false" customHeight="false" outlineLevel="0" collapsed="false">
      <c r="A289" s="37" t="s">
        <v>939</v>
      </c>
      <c r="B289" s="37" t="s">
        <v>940</v>
      </c>
      <c r="C289" s="37" t="s">
        <v>82</v>
      </c>
      <c r="D289" s="38" t="s">
        <v>1271</v>
      </c>
    </row>
    <row r="290" customFormat="false" ht="15" hidden="false" customHeight="false" outlineLevel="0" collapsed="false">
      <c r="A290" s="37" t="s">
        <v>950</v>
      </c>
      <c r="B290" s="37" t="s">
        <v>951</v>
      </c>
      <c r="C290" s="37" t="s">
        <v>83</v>
      </c>
      <c r="D290" s="38" t="s">
        <v>954</v>
      </c>
    </row>
    <row r="291" customFormat="false" ht="15" hidden="false" customHeight="false" outlineLevel="0" collapsed="false">
      <c r="A291" s="37" t="s">
        <v>950</v>
      </c>
      <c r="B291" s="37" t="s">
        <v>951</v>
      </c>
      <c r="C291" s="37" t="s">
        <v>83</v>
      </c>
      <c r="D291" s="38" t="s">
        <v>955</v>
      </c>
    </row>
    <row r="292" customFormat="false" ht="15" hidden="false" customHeight="false" outlineLevel="0" collapsed="false">
      <c r="A292" s="37" t="s">
        <v>958</v>
      </c>
      <c r="B292" s="37" t="s">
        <v>959</v>
      </c>
      <c r="C292" s="37" t="s">
        <v>83</v>
      </c>
      <c r="D292" s="38" t="s">
        <v>962</v>
      </c>
    </row>
    <row r="293" customFormat="false" ht="15" hidden="false" customHeight="false" outlineLevel="0" collapsed="false">
      <c r="A293" s="37" t="s">
        <v>958</v>
      </c>
      <c r="B293" s="37" t="s">
        <v>959</v>
      </c>
      <c r="C293" s="37" t="s">
        <v>83</v>
      </c>
      <c r="D293" s="38" t="s">
        <v>1272</v>
      </c>
    </row>
    <row r="294" customFormat="false" ht="15" hidden="false" customHeight="false" outlineLevel="0" collapsed="false">
      <c r="A294" s="37" t="s">
        <v>958</v>
      </c>
      <c r="B294" s="37" t="s">
        <v>959</v>
      </c>
      <c r="C294" s="37" t="s">
        <v>83</v>
      </c>
      <c r="D294" s="38" t="s">
        <v>1273</v>
      </c>
    </row>
    <row r="295" customFormat="false" ht="15" hidden="false" customHeight="false" outlineLevel="0" collapsed="false">
      <c r="A295" s="37" t="s">
        <v>966</v>
      </c>
      <c r="B295" s="37" t="s">
        <v>967</v>
      </c>
      <c r="C295" s="37" t="s">
        <v>83</v>
      </c>
      <c r="D295" s="38" t="s">
        <v>1274</v>
      </c>
    </row>
    <row r="296" customFormat="false" ht="15" hidden="false" customHeight="false" outlineLevel="0" collapsed="false">
      <c r="A296" s="37" t="s">
        <v>966</v>
      </c>
      <c r="B296" s="37" t="s">
        <v>967</v>
      </c>
      <c r="C296" s="37" t="s">
        <v>83</v>
      </c>
      <c r="D296" s="38" t="s">
        <v>972</v>
      </c>
    </row>
    <row r="297" customFormat="false" ht="15" hidden="false" customHeight="false" outlineLevel="0" collapsed="false">
      <c r="A297" s="37" t="s">
        <v>966</v>
      </c>
      <c r="B297" s="37" t="s">
        <v>967</v>
      </c>
      <c r="C297" s="37" t="s">
        <v>83</v>
      </c>
      <c r="D297" s="38" t="s">
        <v>1275</v>
      </c>
    </row>
    <row r="298" customFormat="false" ht="15" hidden="false" customHeight="false" outlineLevel="0" collapsed="false">
      <c r="A298" s="37" t="s">
        <v>975</v>
      </c>
      <c r="B298" s="37" t="s">
        <v>976</v>
      </c>
      <c r="C298" s="37" t="s">
        <v>83</v>
      </c>
      <c r="D298" s="38" t="s">
        <v>982</v>
      </c>
    </row>
    <row r="299" customFormat="false" ht="15" hidden="false" customHeight="false" outlineLevel="0" collapsed="false">
      <c r="A299" s="37" t="s">
        <v>975</v>
      </c>
      <c r="B299" s="37" t="s">
        <v>976</v>
      </c>
      <c r="C299" s="37" t="s">
        <v>83</v>
      </c>
      <c r="D299" s="38" t="s">
        <v>1276</v>
      </c>
    </row>
    <row r="300" customFormat="false" ht="15" hidden="false" customHeight="false" outlineLevel="0" collapsed="false">
      <c r="A300" s="37" t="s">
        <v>975</v>
      </c>
      <c r="B300" s="37" t="s">
        <v>976</v>
      </c>
      <c r="C300" s="37" t="s">
        <v>83</v>
      </c>
      <c r="D300" s="38" t="s">
        <v>1277</v>
      </c>
    </row>
    <row r="301" customFormat="false" ht="15" hidden="false" customHeight="false" outlineLevel="0" collapsed="false">
      <c r="A301" s="37" t="s">
        <v>986</v>
      </c>
      <c r="B301" s="37" t="s">
        <v>987</v>
      </c>
      <c r="C301" s="37" t="s">
        <v>83</v>
      </c>
      <c r="D301" s="38" t="s">
        <v>1278</v>
      </c>
    </row>
    <row r="302" customFormat="false" ht="15" hidden="false" customHeight="false" outlineLevel="0" collapsed="false">
      <c r="A302" s="37" t="s">
        <v>986</v>
      </c>
      <c r="B302" s="37" t="s">
        <v>987</v>
      </c>
      <c r="C302" s="37" t="s">
        <v>83</v>
      </c>
      <c r="D302" s="38" t="s">
        <v>991</v>
      </c>
    </row>
    <row r="303" customFormat="false" ht="15" hidden="false" customHeight="false" outlineLevel="0" collapsed="false">
      <c r="A303" s="37" t="s">
        <v>986</v>
      </c>
      <c r="B303" s="37" t="s">
        <v>987</v>
      </c>
      <c r="C303" s="37" t="s">
        <v>83</v>
      </c>
      <c r="D303" s="38" t="s">
        <v>1279</v>
      </c>
    </row>
    <row r="304" customFormat="false" ht="15" hidden="false" customHeight="false" outlineLevel="0" collapsed="false">
      <c r="A304" s="37" t="s">
        <v>994</v>
      </c>
      <c r="B304" s="37" t="s">
        <v>995</v>
      </c>
      <c r="C304" s="37" t="s">
        <v>83</v>
      </c>
      <c r="D304" s="38" t="s">
        <v>1000</v>
      </c>
    </row>
    <row r="305" customFormat="false" ht="15" hidden="false" customHeight="false" outlineLevel="0" collapsed="false">
      <c r="A305" s="37" t="s">
        <v>994</v>
      </c>
      <c r="B305" s="37" t="s">
        <v>995</v>
      </c>
      <c r="C305" s="37" t="s">
        <v>83</v>
      </c>
      <c r="D305" s="38" t="s">
        <v>1280</v>
      </c>
    </row>
    <row r="306" customFormat="false" ht="15" hidden="false" customHeight="false" outlineLevel="0" collapsed="false">
      <c r="A306" s="37" t="s">
        <v>994</v>
      </c>
      <c r="B306" s="37" t="s">
        <v>995</v>
      </c>
      <c r="C306" s="37" t="s">
        <v>83</v>
      </c>
      <c r="D306" s="38" t="s">
        <v>1281</v>
      </c>
    </row>
    <row r="307" customFormat="false" ht="15" hidden="false" customHeight="false" outlineLevel="0" collapsed="false">
      <c r="A307" s="37" t="s">
        <v>994</v>
      </c>
      <c r="B307" s="37" t="s">
        <v>995</v>
      </c>
      <c r="C307" s="37" t="s">
        <v>83</v>
      </c>
      <c r="D307" s="38" t="s">
        <v>1282</v>
      </c>
    </row>
    <row r="308" customFormat="false" ht="15" hidden="false" customHeight="false" outlineLevel="0" collapsed="false">
      <c r="A308" s="37" t="s">
        <v>1003</v>
      </c>
      <c r="B308" s="37" t="s">
        <v>1004</v>
      </c>
      <c r="C308" s="37" t="s">
        <v>83</v>
      </c>
      <c r="D308" s="38" t="s">
        <v>1283</v>
      </c>
    </row>
    <row r="309" customFormat="false" ht="15" hidden="false" customHeight="false" outlineLevel="0" collapsed="false">
      <c r="A309" s="37" t="s">
        <v>1003</v>
      </c>
      <c r="B309" s="37" t="s">
        <v>1004</v>
      </c>
      <c r="C309" s="37" t="s">
        <v>83</v>
      </c>
      <c r="D309" s="38" t="s">
        <v>1284</v>
      </c>
    </row>
    <row r="310" customFormat="false" ht="15" hidden="false" customHeight="false" outlineLevel="0" collapsed="false">
      <c r="A310" s="37" t="s">
        <v>1003</v>
      </c>
      <c r="B310" s="37" t="s">
        <v>1004</v>
      </c>
      <c r="C310" s="37" t="s">
        <v>83</v>
      </c>
      <c r="D310" s="38" t="s">
        <v>1285</v>
      </c>
    </row>
    <row r="311" customFormat="false" ht="15" hidden="false" customHeight="false" outlineLevel="0" collapsed="false">
      <c r="A311" s="37" t="s">
        <v>1013</v>
      </c>
      <c r="B311" s="37" t="s">
        <v>1014</v>
      </c>
      <c r="C311" s="37" t="s">
        <v>83</v>
      </c>
      <c r="D311" s="38" t="s">
        <v>1020</v>
      </c>
    </row>
    <row r="312" customFormat="false" ht="15" hidden="false" customHeight="false" outlineLevel="0" collapsed="false">
      <c r="A312" s="37" t="s">
        <v>1013</v>
      </c>
      <c r="B312" s="37" t="s">
        <v>1014</v>
      </c>
      <c r="C312" s="37" t="s">
        <v>83</v>
      </c>
      <c r="D312" s="38" t="s">
        <v>1286</v>
      </c>
    </row>
    <row r="313" customFormat="false" ht="15" hidden="false" customHeight="false" outlineLevel="0" collapsed="false">
      <c r="A313" s="37" t="s">
        <v>1023</v>
      </c>
      <c r="B313" s="37" t="s">
        <v>1024</v>
      </c>
      <c r="C313" s="37" t="s">
        <v>83</v>
      </c>
      <c r="D313" s="38" t="s">
        <v>1287</v>
      </c>
    </row>
    <row r="314" customFormat="false" ht="15" hidden="false" customHeight="false" outlineLevel="0" collapsed="false">
      <c r="A314" s="37" t="s">
        <v>1023</v>
      </c>
      <c r="B314" s="37" t="s">
        <v>1024</v>
      </c>
      <c r="C314" s="37" t="s">
        <v>83</v>
      </c>
      <c r="D314" s="38" t="s">
        <v>1027</v>
      </c>
    </row>
    <row r="315" customFormat="false" ht="15" hidden="false" customHeight="false" outlineLevel="0" collapsed="false">
      <c r="A315" s="37" t="s">
        <v>1023</v>
      </c>
      <c r="B315" s="37" t="s">
        <v>1024</v>
      </c>
      <c r="C315" s="37" t="s">
        <v>83</v>
      </c>
      <c r="D315" s="38" t="s">
        <v>1288</v>
      </c>
    </row>
    <row r="316" customFormat="false" ht="15" hidden="false" customHeight="false" outlineLevel="0" collapsed="false">
      <c r="A316" s="37" t="s">
        <v>1030</v>
      </c>
      <c r="B316" s="37" t="s">
        <v>1031</v>
      </c>
      <c r="C316" s="37" t="s">
        <v>83</v>
      </c>
      <c r="D316" s="38" t="s">
        <v>1289</v>
      </c>
    </row>
    <row r="317" customFormat="false" ht="15" hidden="false" customHeight="false" outlineLevel="0" collapsed="false">
      <c r="A317" s="37" t="s">
        <v>1030</v>
      </c>
      <c r="B317" s="37" t="s">
        <v>1031</v>
      </c>
      <c r="C317" s="37" t="s">
        <v>83</v>
      </c>
      <c r="D317" s="38" t="s">
        <v>1290</v>
      </c>
    </row>
    <row r="318" customFormat="false" ht="15" hidden="false" customHeight="false" outlineLevel="0" collapsed="false">
      <c r="A318" s="37" t="s">
        <v>1030</v>
      </c>
      <c r="B318" s="37" t="s">
        <v>1031</v>
      </c>
      <c r="C318" s="37" t="s">
        <v>83</v>
      </c>
      <c r="D318" s="38" t="s">
        <v>1291</v>
      </c>
    </row>
    <row r="319" customFormat="false" ht="15" hidden="false" customHeight="false" outlineLevel="0" collapsed="false">
      <c r="A319" s="37" t="s">
        <v>1037</v>
      </c>
      <c r="B319" s="37" t="s">
        <v>1038</v>
      </c>
      <c r="C319" s="37" t="s">
        <v>83</v>
      </c>
      <c r="D319" s="38" t="s">
        <v>1043</v>
      </c>
    </row>
    <row r="320" customFormat="false" ht="15" hidden="false" customHeight="false" outlineLevel="0" collapsed="false">
      <c r="A320" s="37" t="s">
        <v>1037</v>
      </c>
      <c r="B320" s="37" t="s">
        <v>1038</v>
      </c>
      <c r="C320" s="37" t="s">
        <v>83</v>
      </c>
      <c r="D320" s="38" t="s">
        <v>1292</v>
      </c>
    </row>
    <row r="321" customFormat="false" ht="15" hidden="false" customHeight="false" outlineLevel="0" collapsed="false">
      <c r="A321" s="37" t="s">
        <v>1047</v>
      </c>
      <c r="B321" s="37" t="s">
        <v>1048</v>
      </c>
      <c r="C321" s="37" t="s">
        <v>83</v>
      </c>
      <c r="D321" s="38" t="s">
        <v>1052</v>
      </c>
    </row>
    <row r="322" customFormat="false" ht="15" hidden="false" customHeight="false" outlineLevel="0" collapsed="false">
      <c r="A322" s="37" t="s">
        <v>1047</v>
      </c>
      <c r="B322" s="37" t="s">
        <v>1048</v>
      </c>
      <c r="C322" s="37" t="s">
        <v>83</v>
      </c>
      <c r="D322" s="38" t="s">
        <v>1054</v>
      </c>
    </row>
    <row r="323" customFormat="false" ht="15" hidden="false" customHeight="false" outlineLevel="0" collapsed="false">
      <c r="A323" s="37" t="s">
        <v>1047</v>
      </c>
      <c r="B323" s="37" t="s">
        <v>1048</v>
      </c>
      <c r="C323" s="37" t="s">
        <v>83</v>
      </c>
      <c r="D323" s="38" t="s">
        <v>1293</v>
      </c>
    </row>
  </sheetData>
  <autoFilter ref="A1:D323"/>
  <hyperlinks>
    <hyperlink ref="D2" r:id="rId1" display="https://en.wikipedia.org/wiki/ERM_(consultancy)"/>
    <hyperlink ref="D3" r:id="rId2" display="https://www.erm.com/locations/"/>
    <hyperlink ref="D4" r:id="rId3" display="https://www.erm.com/contact-us/"/>
    <hyperlink ref="D5" r:id="rId4" display="https://www.tetratech.com/contact/"/>
    <hyperlink ref="D6" r:id="rId5" display="https://en.wikipedia.org/wiki/Tetra_Tech"/>
    <hyperlink ref="D7" r:id="rId6" display="https://tetratech.com/en/united-states"/>
    <hyperlink ref="D8" r:id="rId7" display="https://en.wikipedia.org/wiki/Stantec"/>
    <hyperlink ref="D9" r:id="rId8" display="https://www.stantec.com/en/offices/united-states-locations/texas-offices"/>
    <hyperlink ref="D10" r:id="rId9" display="https://www.stantec.com/en/offices/united-states-locations/texas-offices/houston-tx"/>
    <hyperlink ref="D11" r:id="rId10" display="https://www.stantec.com/en/offices/united-states-locations/texas-offices/san-antonio-texas-office"/>
    <hyperlink ref="D12" r:id="rId11" display="https://en.wikipedia.org/wiki/WSP_Global"/>
    <hyperlink ref="D13" r:id="rId12" display="https://www.wsp.com/en-us/contact-us/offices/united-states/texas"/>
    <hyperlink ref="D14" r:id="rId13" display="https://www.wsp.com/en-us/contact-us/offices"/>
    <hyperlink ref="D15" r:id="rId14" display="https://www.globenewswire.com/news-release/2026/02/24/3243828/0/en/WSP-completes-acquisition-of-TRC.html"/>
    <hyperlink ref="D16" r:id="rId15" display="https://www.terracon.com/contact/"/>
    <hyperlink ref="D17" r:id="rId16" display="https://www.terracon.com/about/"/>
    <hyperlink ref="D18" r:id="rId17" display="https://www.terracon.com/offices/austin/"/>
    <hyperlink ref="D19" r:id="rId18" display="https://www.terracon.com/offices/houston/"/>
    <hyperlink ref="D20" r:id="rId19" display="https://www.terracon.com/offices/san-antonio/"/>
    <hyperlink ref="D21" r:id="rId20" display="https://www.terracon.com/offices/frisco/"/>
    <hyperlink ref="D22" r:id="rId21" display="https://www.swca.com/contact"/>
    <hyperlink ref="D23" r:id="rId22" display="https://www.swca.com/about"/>
    <hyperlink ref="D24" r:id="rId23" display="https://www.swca.com/offices/phoenix-az/"/>
    <hyperlink ref="D25" r:id="rId24" display="https://westwoodps.com/about-us/offices"/>
    <hyperlink ref="D26" r:id="rId25" display="https://westwoodps.com/contact-us"/>
    <hyperlink ref="D27" r:id="rId26" display="https://www.westwoodps.com/"/>
    <hyperlink ref="D28" r:id="rId27" display="https://dallasinnovates.com/new-york-based-blackstone-makes-majority-investment-in-north-texas-westwood-professional-services"/>
    <hyperlink ref="D29" r:id="rId28" display="https://www.hdrinc.com/contact-us"/>
    <hyperlink ref="D30" r:id="rId29" display="https://en.wikipedia.org/wiki/HDR,_Inc."/>
    <hyperlink ref="D31" r:id="rId30" display="https://www.hdrinc.com/locations/US/Texas/Austin"/>
    <hyperlink ref="D32" r:id="rId31" display="https://www.hdrinc.com/locations/US/Texas/Houston"/>
    <hyperlink ref="D33" r:id="rId32" display="https://en.wikipedia.org/wiki/Kimley-Horn"/>
    <hyperlink ref="D34" r:id="rId33" display="https://www.kimley-horn.com/locations/?_state=texas"/>
    <hyperlink ref="D35" r:id="rId34" display="https://www.kimley-horn.com/contact/"/>
    <hyperlink ref="D36" r:id="rId35" display="https://westwoodps.com/about-us/offices"/>
    <hyperlink ref="D37" r:id="rId36" display="https://www.westwoodps.com/"/>
    <hyperlink ref="D38" r:id="rId37" display="https://dallasinnovates.com/new-york-based-blackstone-makes-majority-investment-in-north-texas-westwood-professional-services"/>
    <hyperlink ref="D39" r:id="rId38" display="https://www.halff.com/contact/"/>
    <hyperlink ref="D40" r:id="rId39" display="https://dallasinnovates.com/infrastructure-consulting-firm-halff-to-relocate-its-richardson-hq-to-bigger-digs-in-the-city/"/>
    <hyperlink ref="D41" r:id="rId40" display="https://www.pape-dawson.com/contact"/>
    <hyperlink ref="D42" r:id="rId41" display="https://www.pape-dawson.com/locations/"/>
    <hyperlink ref="D43" r:id="rId42" display="https://www.pape-dawson.com/services/power-energy/"/>
    <hyperlink ref="D44" r:id="rId43" display="https://www.privsource.com/acquisitions/deal/3AS2jb"/>
    <hyperlink ref="D45" r:id="rId44" display="https://investors.bowman.com/"/>
    <hyperlink ref="D46" r:id="rId45" display="https://investors.bowman.com/news-releases/news-release-details/bowman-consulting-group-enters-definitive-agreement-be-acquired"/>
    <hyperlink ref="D47" r:id="rId46" display="https://bowman.com/texas/"/>
    <hyperlink ref="D48" r:id="rId47" display="https://bowman.com/"/>
    <hyperlink ref="D49" r:id="rId48" display="https://www.terracon.com/contact/"/>
    <hyperlink ref="D50" r:id="rId49" display="https://www.terracon.com/about/"/>
    <hyperlink ref="D51" r:id="rId50" display="https://www.terracon.com/locations/"/>
    <hyperlink ref="D52" r:id="rId51" display="https://en.wikipedia.org/wiki/Burns_%26_McDonnell"/>
    <hyperlink ref="D53" r:id="rId52" display="https://www.burnsmcd.com/about/locations"/>
    <hyperlink ref="D54" r:id="rId53" display="https://www.burnsmcd.com/locations/houston"/>
    <hyperlink ref="D55" r:id="rId54" display="https://www.burnsmcd.com/"/>
    <hyperlink ref="D56" r:id="rId55" display="https://www.walterpmoore.com/about"/>
    <hyperlink ref="D57" r:id="rId56" display="https://www.walterpmoore.com/contact"/>
    <hyperlink ref="D58" r:id="rId57" display="https://www.walterpmoore.com/offices"/>
    <hyperlink ref="D59" r:id="rId58" display="https://www.walterpmoore.com/about/history"/>
    <hyperlink ref="D60" r:id="rId59" display="https://www.sargentlundy.com/contact-us"/>
    <hyperlink ref="D61" r:id="rId60" display="https://www.sargentlundy.com/about/"/>
    <hyperlink ref="D62" r:id="rId61" display="https://www.sargentlundy.com/projects/battery-energy-storage-project/"/>
    <hyperlink ref="D63" r:id="rId62" display="https://en.wikipedia.org/wiki/Burns_%26_McDonnell"/>
    <hyperlink ref="D64" r:id="rId63" display="https://www.burnsmcd.com/about/locations"/>
    <hyperlink ref="D65" r:id="rId64" display="https://www.bv.com/contact-us"/>
    <hyperlink ref="D66" r:id="rId65" display="https://en.wikipedia.org/wiki/Black_%26_Veatch"/>
    <hyperlink ref="D67" r:id="rId66" display="https://www.bv.com/en-US/news/black-and-veatch-expands-team-in-houston-to-support-growth-in-the-human-critical-infrastructure-markets"/>
    <hyperlink ref="D68" r:id="rId67" display="https://www.wsp.com/en-us/news/2024/wsp-completes-acquisition-of-power-engineers"/>
    <hyperlink ref="D69" r:id="rId68" display="https://www.bennettjones.com/News/Client-Work/2024/10/WSP-Completes-Acquisition-of-Power-Engineers-for-US1-78-Billion"/>
    <hyperlink ref="D70" r:id="rId69" display="https://en.wikipedia.org/wiki/WSP_Global"/>
    <hyperlink ref="D71" r:id="rId70" display="http://www.powereng.com/press-releases/power-engineers-moving-its-houston-office-to-larger-space/"/>
    <hyperlink ref="D72" r:id="rId71" display="https://www.powereng.com/library/power-opens-new-tyler-location/"/>
    <hyperlink ref="D73" r:id="rId72" display="https://www.flpublicpower.com/associate-membership/electrical-consultants-inc"/>
    <hyperlink ref="D74" r:id="rId73" display="https://www.utilitydive.com/press-release/20191011-electrical-consultants-inc-relay-application-innovation-inc-are-joini"/>
    <hyperlink ref="D75" r:id="rId74" display="https://www.wsp.com/en-us/news/2024/wsp-completes-acquisition-of-power-engineers"/>
    <hyperlink ref="D76" r:id="rId75" display="https://www.bennettjones.com/News/Client-Work/2024/10/WSP-Completes-Acquisition-of-Power-Engineers-for-US1-78-Billion"/>
    <hyperlink ref="D77" r:id="rId76" display="https://www.powereng.com/library/power-opens-new-tyler-location/"/>
    <hyperlink ref="D78" r:id="rId77" display="https://en.wikipedia.org/wiki/Burns_%26_McDonnell"/>
    <hyperlink ref="D79" r:id="rId78" display="https://www.burnsmcd.com/about/locations"/>
    <hyperlink ref="D80" r:id="rId79" display="https://www.burnsmcd.com/news/cps-energy-turnkey-grid-modernization"/>
    <hyperlink ref="D81" r:id="rId80" display="https://www.sargentlundy.com/contact-us"/>
    <hyperlink ref="D82" r:id="rId81" display="https://www.sargentlundy.com/about/"/>
    <hyperlink ref="D83" r:id="rId82" display="https://www.sargentlundy.com/services/grid/"/>
    <hyperlink ref="D84" r:id="rId83" display="https://www.bv.com/contact-us"/>
    <hyperlink ref="D85" r:id="rId84" display="https://en.wikipedia.org/wiki/Black_%26_Veatch"/>
    <hyperlink ref="D86" r:id="rId85" display="https://epeconsulting.com/contact"/>
    <hyperlink ref="D87" r:id="rId86" display="https://www.epeconsulting.com/"/>
    <hyperlink ref="D88" r:id="rId87" display="https://www.businesswire.com/news/home/20250107310148/en"/>
    <hyperlink ref="D89" r:id="rId88" display="https://www.trccompanies.com/contact-us/"/>
    <hyperlink ref="D90" r:id="rId89" display="https://www.globenewswire.com/news-release/2026/02/24/3243828/0/en/WSP-completes-acquisition-of-TRC.html"/>
    <hyperlink ref="D91" r:id="rId90" display="https://en.wikipedia.org/wiki/WSP_Global"/>
    <hyperlink ref="D92" r:id="rId91" display="https://www.leidos.com/markets/energy/texas"/>
    <hyperlink ref="D93" r:id="rId92" display="https://en.wikipedia.org/wiki/Leidos"/>
    <hyperlink ref="D94" r:id="rId93" display="https://careers.leidos.com/jobs/16634885-substation-engineering-supervisor"/>
    <hyperlink ref="D95" r:id="rId94" display="https://www.flpublicpower.com/associate-membership/electrical-consultants-inc"/>
    <hyperlink ref="D96" r:id="rId95" display="https://www.utilitydive.com/press-release/20191011-electrical-consultants-inc-relay-application-innovation-inc-are-joini"/>
    <hyperlink ref="D97" r:id="rId96" display="https://www.jensenhughes.com/contact-us"/>
    <hyperlink ref="D98" r:id="rId97" display="https://www.jensenhughes.com/services/lithium-ion-risk-consulting"/>
    <hyperlink ref="D99" r:id="rId98" display="https://www.newmountaincapital.com/new-mountain-capital-to-acquire-jensen-hughes-taps-dr-hisham-mahmoud-to-serve-as-chairman-of-the-board/"/>
    <hyperlink ref="D100" r:id="rId99" display="https://energyresponsegroup.com/"/>
    <hyperlink ref="D101" r:id="rId100" display="https://www.energyresponsegroup.com/contact"/>
    <hyperlink ref="D102" r:id="rId101" display="https://hillerfire.com/resources/esrg-capabilities"/>
    <hyperlink ref="D103" r:id="rId102" display="https://members.renewablesassociation.ca/activememberdirectory/Details/esrg-energy-safety-response-group-3878060"/>
    <hyperlink ref="D104" r:id="rId103" display="https://fireriskalliance.com/"/>
    <hyperlink ref="D105" r:id="rId104" display="https://fireriskalliance.com/battery-energy-storage-systems/"/>
    <hyperlink ref="D106" r:id="rId105" display="https://fireriskalliance.com/contact-us/"/>
    <hyperlink ref="D107" r:id="rId106" display="https://www.telgian.com/contact/"/>
    <hyperlink ref="D108" r:id="rId107" display="https://www.telgian.com/companies-services/telgian-engineering-consulting/locations/"/>
    <hyperlink ref="D109" r:id="rId108" display="https://www.telgian.com/energy-storage-systems-fire-hazard-considerations-webinar/"/>
    <hyperlink ref="D110" r:id="rId109" display="https://en.wikipedia.org/wiki/DNV"/>
    <hyperlink ref="D111" r:id="rId110" display="https://jobs.dnv.com/locations/usa"/>
    <hyperlink ref="D112" r:id="rId111" display="https://www.dnv.com/services/energy-storage-development-and-engineering-154224/"/>
    <hyperlink ref="D113" r:id="rId112" display="https://www.dnv.com/Publications/quantitative-risk-analysis-for-battery-energy-storage-sites-154811/"/>
    <hyperlink ref="D114" r:id="rId113" display="https://www.ul.com/services/ess-safety-assessment-and-nfpa-compliance"/>
    <hyperlink ref="D115" r:id="rId114" display="https://www.ul.com/about/locations"/>
    <hyperlink ref="D116" r:id="rId115" display="https://www.lw.com/en/news/2024/04/latham-watkins-represents-ul-solutions-inc-in-upsized-us1-08-billion-ipo"/>
    <hyperlink ref="D117" r:id="rId116" display="https://www.exponent.com/offices/menlo-park"/>
    <hyperlink ref="D118" r:id="rId117" display="https://www.exponent.com/capabilities/battery-energy-storage-systems-bess-consulting"/>
    <hyperlink ref="D119" r:id="rId118" display="https://www.exponent.com/offices/houston"/>
    <hyperlink ref="D120" r:id="rId119" display="https://en.wikipedia.org/wiki/Exponent_(consulting_firm)"/>
    <hyperlink ref="D121" r:id="rId120" display="https://www.dnv.com/services/owner-s-engineering-for-energy-storage-63162"/>
    <hyperlink ref="D122" r:id="rId121" display="https://www.dnv.us/contact/"/>
    <hyperlink ref="D123" r:id="rId122" display="https://www.dnv.com/news/2026/dnvcompletes-strategy-period-with-solid-growth/"/>
    <hyperlink ref="D124" r:id="rId123" display="https://en.wikipedia.org/wiki/DNV"/>
    <hyperlink ref="D125" r:id="rId124" display="https://jobs.dnv.com/job-search/energy-systems/engineer/houston-tx-united-states-austin-tx-united-states-dallas-tx-united-states-medford-ma-united-states-oakland-ca-united-states-san-diego-ca-united-states-new-york-ny-united-states-portland-or-united-states-seattle-wa-united-states/senior-project-manager-owners-engineering/300000914813084"/>
    <hyperlink ref="D126" r:id="rId125" display="https://enertisapplus.com/"/>
    <hyperlink ref="D127" r:id="rId126" display="https://enertisapplus.com/contact/"/>
    <hyperlink ref="D128" r:id="rId127" display="https://www.tdrcapital.com/tdr-capital-v-acquires-applus/"/>
    <hyperlink ref="D129" r:id="rId128" display="https://new.bv.com/news/black-and-veatch-appointed-as-owners-engineer-for-eccles-battery-storage-project-in-scotland"/>
    <hyperlink ref="D130" r:id="rId129" display="https://www.bv.com/contact-us"/>
    <hyperlink ref="D131" r:id="rId130" display="https://www.bv.com/news/black-and-veatch-expands-team-in-houston-to-support-growth-in-the-human-critical-infrastructure-markets"/>
    <hyperlink ref="D132" r:id="rId131" display="https://www.bv.com/news/black-and-veatch-expands-construction-presence-in-texas-with-new-office"/>
    <hyperlink ref="D133" r:id="rId132" display="https://careers.bv.com/job/Dallas-Consulting-Manager,-Asset-Management-TX-75201/1370757733"/>
    <hyperlink ref="D134" r:id="rId133" display="https://en.wikipedia.org/wiki/Black_%26_Veatch"/>
    <hyperlink ref="D135" r:id="rId134" display="https://www.sargentlundy.com/contact-us"/>
    <hyperlink ref="D136" r:id="rId135" display="https://www.sargentlundy.com/about-us"/>
    <hyperlink ref="D137" r:id="rId136" display="https://international-sargentlundy.icims.com/jobs/12396/senior-electrical-consultant----renewable-energy/job"/>
    <hyperlink ref="D138" r:id="rId137" display="https://www.cea3.com/"/>
    <hyperlink ref="D139" r:id="rId138" display="https://pv-tech.org/clean-energy-associates-acquired-by-british-quality-assurance-firm-intertek"/>
    <hyperlink ref="D140" r:id="rId139" display="https://taiyangnews.info/business/britains-intertek-acquires-clean-energy-associates"/>
    <hyperlink ref="D141" r:id="rId140" display="https://www.kimley-horn.com/services/energy-consulting/battery-energy-storage-systems-consulting/"/>
    <hyperlink ref="D142" r:id="rId141" display="https://en.wikipedia.org/wiki/Kimley-Horn"/>
    <hyperlink ref="D143" r:id="rId142" display="https://www.careerbuilder.com/job-details/practice-builder-electrical-renewable-energy-austin-tx--d6dd89db-7e48-4d3a-8285-046a97192aa7"/>
    <hyperlink ref="D144" r:id="rId143" display="https://www.naturalpower.com/us/sector/energy-storage"/>
    <hyperlink ref="D145" r:id="rId144" display="https://www.naturalpower.com/us/contact"/>
    <hyperlink ref="D146" r:id="rId145" display="https://www.naturalpower.com/us/news-post/25-years-of-natural-power"/>
    <hyperlink ref="D147" r:id="rId146" display="https://www.burnsmcd.com/"/>
    <hyperlink ref="D148" r:id="rId147" display="https://www.burnsmcd.com/locations/kansas-city-mo?hsLang=en"/>
    <hyperlink ref="D149" r:id="rId148" display="https://www.burnsmcd.com/about/locations"/>
    <hyperlink ref="D150" r:id="rId149" display="https://www.burnsmcd.com/news/epc-contract-for-west-texas-storage-projects"/>
    <hyperlink ref="D151" r:id="rId150" display="https://energy-storage.news/burns-mcdonnell-providing-epc-services-for-rwes-texas-waves-ii-bess"/>
    <hyperlink ref="D152" r:id="rId151" display="https://www.sargentlundy.com/contact-us"/>
    <hyperlink ref="D153" r:id="rId152" display="https://www.sargentlundy.com/about-us"/>
    <hyperlink ref="D154" r:id="rId153" display="https://www.wsp.com/en-gl/investors/press-releases/details/WSP-Completes-Acquisition--of-POWER-Engineers/2956467/2024"/>
    <hyperlink ref="D155" r:id="rId154" display="https://boisedev.com/news/2024/08/13/hailey-energy-consulting-firm-acquisition-planned-for-17-billion/"/>
    <hyperlink ref="D156" r:id="rId155" display="https://www.theladders.com/job/substation-senior-project-engineer-wsp-fort-worth-tx_88141000"/>
    <hyperlink ref="D157" r:id="rId156" display="https://www.westwoodps.com/"/>
    <hyperlink ref="D158" r:id="rId157" display="https://westwoodps.com/about-us/offices"/>
    <hyperlink ref="D159" r:id="rId158" display="https://www.businesswire.com/news/home/20240807897752/en/Blackstone-Energy-Transition-Partners-Announces-Majority-Investment-in-Westwood-Professional-Services-Inc.-Leading-Engineering-Consulting-Firm"/>
    <hyperlink ref="D160" r:id="rId159" display="https://dallasinnovates.com/plano-based-westwood-acquires-californias-odell-engineering/"/>
    <hyperlink ref="D161" r:id="rId160" display="https://new.bv.com/news/black-and-veatch-appointed-as-owners-engineer-for-eccles-battery-storage-project-in-scotland"/>
    <hyperlink ref="D162" r:id="rId161" display="https://www.bv.com/news/black-and-veatch-to-build-200mwh-of-battery-energy-storage-solution-bess-in-the-uk"/>
    <hyperlink ref="D163" r:id="rId162" display="https://en.wikipedia.org/wiki/Black_%26_Veatch"/>
    <hyperlink ref="D164" r:id="rId163" display="https://www.kimley-horn.com/services/energy-consulting/battery-energy-storage-systems-consulting/"/>
    <hyperlink ref="D165" r:id="rId164" display="https://en.wikipedia.org/wiki/Kimley-Horn"/>
    <hyperlink ref="D166" r:id="rId165" display="https://bowman.com/services/battery-energy-storage-systems"/>
    <hyperlink ref="D167" r:id="rId166" display="https://bowman.com/texas/"/>
    <hyperlink ref="D168" r:id="rId167" display="https://www.sec.gov/Archives/edgar/data/1847590/000162828026015252/bwmn-20251231.htm"/>
    <hyperlink ref="D169" r:id="rId168" display="https://www.nasdaq.com/press-release/bowman-acquires-rpt-alliance-broadens-energy-engineering-include-utility-scale-power"/>
    <hyperlink ref="D170" r:id="rId169" display="https://www.dnv.com/services/independent-engineering-and-technical-due-diligence-63108/"/>
    <hyperlink ref="D171" r:id="rId170" display="https://jobs.dnv.com/job-search/energy-systems/engineer/new-york-ny-united-states-austin-tx-united-states-houston-tx-united-states-chalfont-pa-united-states-medford-ma-united-states-seattle-wa-united-states-portland-me-united-states-portland-or-united-states-oakland-ca-united-states-san-diego-ca-united-states/project-manager-energy-storage-independent-engineering-multiple-locations/300001018677780"/>
    <hyperlink ref="D172" r:id="rId171" display="https://informedinfrastructure.com/index.php/post/enertis-applus-delivers-independent-engineering-expertise-to-texas-bess-projects-for-excelsior-energy-capital"/>
    <hyperlink ref="D173" r:id="rId172" display="https://enertisapplus.com/contact/"/>
    <hyperlink ref="D174" r:id="rId173" display="https://www.tdrcapital.com/tdr-capital-v-acquires-applus/"/>
    <hyperlink ref="D175" r:id="rId174" display="https://www.infocastinc.com/2026-solar-wind-finance-investment-sponsors/leidos"/>
    <hyperlink ref="D176" r:id="rId175" display="https://www.sec.gov/Archives/edgar/data/1336920/000133692025000006/ldos-20250103.htm"/>
    <hyperlink ref="D177" r:id="rId176" display="https://www.leidos.com/contact"/>
    <hyperlink ref="D178" r:id="rId177" display="https://sargentlundy.com/?p=12226"/>
    <hyperlink ref="D179" r:id="rId178" display="https://www.sargentlundy.com/contact-us"/>
    <hyperlink ref="D180" r:id="rId179" display="https://www.naturalpower.com/us/news/news-post/natural-power-appoints-head-of-independent-engineering-in-north-america"/>
    <hyperlink ref="D181" r:id="rId180" display="https://www.naturalpower.com/us/contact"/>
    <hyperlink ref="D182" r:id="rId181" display="https://www.naturalpower.com/us/sector/energy-storage"/>
    <hyperlink ref="D183" r:id="rId182" display="https://www.builtinchicago.org/job/senior-project-engineer-energy-storage-advisory/9342322"/>
    <hyperlink ref="D184" r:id="rId183" display="https://www.sec.gov/Archives/edgar/data/1901440/000190144026000005/uls-20251231.htm"/>
    <hyperlink ref="D185" r:id="rId184" display="https://www.tesla.com/megapack"/>
    <hyperlink ref="D186" r:id="rId185" display="https://news.metal.com/newscontent/104046720-tesla-starts-megapack-3-production-in-texas"/>
    <hyperlink ref="D187" r:id="rId186" display="https://www.basenor.com/blogs/news/teslas-texas-megapack-factory-megapack-3-production-starts-2026"/>
    <hyperlink ref="D188" r:id="rId187" display="https://www.nasdaq.com/press-release/fluence-energy-inc-reports-2025-financial-results-and-initiates-2026-guidance-2025-11"/>
    <hyperlink ref="D189" r:id="rId188" display="https://finviz.com/news/67918/us-senator-john-curtis-visits-utah-manufacturing-facility-producing-fluence-battery-modules-highlights-energy-jobs-and-domestic-battery-supply-chain"/>
    <hyperlink ref="D190" r:id="rId189" display="https://www.powermag.com/sungrow-introduces-new-solar-energy-storage-products-for-north-american-market/"/>
    <hyperlink ref="D191" r:id="rId190" display="https://www.sungrowpower.com/us/en/about-us/contact-us"/>
    <hyperlink ref="D192" r:id="rId191" display="https://lgcorp.com/media/release/28489"/>
    <hyperlink ref="D193" r:id="rId192" display="https://energy-storage.news/lg-energy-solution-begins-lfp-and-nmc-bess-and-ev-cell-production-at-michigan-factory"/>
    <hyperlink ref="D194" r:id="rId193" display="https://www.solarpowerworldonline.com/2025/06/lg-energy-solutions-opens-lfp-battery-cell-manufacturing-plant-in-michigan/"/>
    <hyperlink ref="D195" r:id="rId194" display="https://www.solarpowerworldonline.com/2025/12/samsung-sdi-to-begin-lfp-battery-manufacturing-in-indiana/"/>
    <hyperlink ref="D196" r:id="rId195" display="https://battery-news.de/en/2025/12/11/samsung-sdi-receives-billion-dollar-order-for-lfp-batteries-in-usa/"/>
    <hyperlink ref="D197" r:id="rId196" display="https://energy-storage.news/wartsila-closes-strategic-review-of-energy-storage-segment-remains-committed-to-sector"/>
    <hyperlink ref="D198" r:id="rId197" display="https://www.wartsila.com/usa/about/contact-us"/>
    <hyperlink ref="D199" r:id="rId198" display="https://www.wartsila.com/media/news/04-09-2024-wartsila-introduces-quantum3-a-complete-high-density-ac-block-energy-storage-system-with-industry-leading-features-and-controls-3489850"/>
    <hyperlink ref="D200" r:id="rId199" display="https://www.flexgen.com/resources/blog/flexgen-completes-acquisition-powin-assets-expanding-global-leadership-grid-scale"/>
    <hyperlink ref="D201" r:id="rId200" display="https://www.businesswire.com/news/home/20250806799131/en/FlexGen-Expands-Global-Battery-Energy-Storage-Leadership-with-Court-Approval-of-Powin-Assets-Acquisition"/>
    <hyperlink ref="D202" r:id="rId201" display="https://www.flexgen.com/contact-us"/>
    <hyperlink ref="D203" r:id="rId202" display="https://dallasinnovates.com/hithium-opens-200m-battery-energy-storage-manufacturing-facility-in-north-texas/"/>
    <hyperlink ref="D204" r:id="rId203" display="https://hithium.com/newsroom/latest/details/68.html"/>
    <hyperlink ref="D205" r:id="rId204" display="https://www.ess-news.com/2025/12/01/canadian-solar-consolidates-us-manufacturing-under-parent-including-solar-and-storage/"/>
    <hyperlink ref="D206" r:id="rId205" display="https://www.industrialinfo.com/iirenergy/industry-news/article/canadian-solar-sees-bess-as-bright-side-of-tough-quarter--361881"/>
    <hyperlink ref="D207" r:id="rId206" display="https://www.csisolar.com/e-storage/"/>
    <hyperlink ref="D208" r:id="rId207" display="https://uk.finance.yahoo.com/quote/CSIQ/profile"/>
    <hyperlink ref="D209" r:id="rId208" display="https://www.businesswire.com/news/home/20260720085364/en/"/>
    <hyperlink ref="D210" r:id="rId209" display="https://www.ess-news.com/2026/07/20/nextpower-completes-365-million-prevalon-energy-acquisition/"/>
    <hyperlink ref="D211" r:id="rId210" display="https://prevalonenergy.com/"/>
    <hyperlink ref="D212" r:id="rId211" display="https://www.publicpower.org/periodical/article/hitachi-energy-new-distribution-transformer-factory-serve-north-american-market"/>
    <hyperlink ref="D213" r:id="rId212" display="https://www.datacenterdynamics.com/en/news/hitachi-energy-to-invest-1bn-into-us-grid-infrastructure-manufacturing-to-address-data-center-power-demand/"/>
    <hyperlink ref="D214" r:id="rId213" display="https://hitachienergy.com/us/en/about-us/company-profile/pg-in-the-us"/>
    <hyperlink ref="D215" r:id="rId214" display="https://www.businesswire.com/news/home/20250212663224/en"/>
    <hyperlink ref="D216" r:id="rId215" display="https://www.tdworld.com/utility-business/news/55355616/ge-vernova-completes-acquisition-of-prolec-ge"/>
    <hyperlink ref="D217" r:id="rId216" display="https://www.prolec.energy/news/prolec-ge-invests-an-additional-140-million-in-the-u-s-to-support-north-american-electric-grid-goals/"/>
    <hyperlink ref="D218" r:id="rId217" display="https://www.areadevelopment.com/newsItems/9-27-2025/weg-washington-missouri.shtml"/>
    <hyperlink ref="D219" r:id="rId218" display="https://theljc.com/projects/weg-transformers-usa"/>
    <hyperlink ref="D220" r:id="rId219" display="https://www.vatransformer.com/"/>
    <hyperlink ref="D221" r:id="rId220" display="https://www.utilitydive.com/press-release/20251120-virginia-transformer-to-expand-georgia-transformer-plant-in-rincon-ga-to/"/>
    <hyperlink ref="D222" r:id="rId221" display="https://bnnbloomberg.ca/investing/2025/01/09/virginia-transformer-considers-6-billion-sale"/>
    <hyperlink ref="D223" r:id="rId222" display="https://www.ermco-eci.com/"/>
    <hyperlink ref="D224" r:id="rId223" display="https://www.cooperative.com/news/Pages/Transformer-Builder-ERMCO-to-Expand-Production-Into-Arizona-in-2027-as-Demand-Rises.aspx"/>
    <hyperlink ref="D225" r:id="rId224" display="https://www.howard.com/INFO/news/2025/06/26/howard-industries-invests-over-230-million-to-expand-operations-across-mississippi.cfm"/>
    <hyperlink ref="D226" r:id="rId225" display="https://www.howard.com/INFO/news/2026/05/08/howard-industries-announces-major-expansion-of-mexico-manufacturing-operations.cfm"/>
    <hyperlink ref="D227" r:id="rId226" display="https://www.maddox.com/"/>
    <hyperlink ref="D228" r:id="rId227" display="https://www.maddox.com/about"/>
    <hyperlink ref="D229" r:id="rId228" display="https://www.businesswire.com/news/home/20260519751615/en/JST-Power-Equipment-Opens-Virginia-Transformer-Manufacturing-Facility-to-Support-Power-for-Utilities-and-Data-Center-Demand"/>
    <hyperlink ref="D230" r:id="rId229" display="https://manufacturing-today.com/news/after-china-mexico-and-malaysia-jst-power-equipment-continues-its-expansion-with-a-new-us-factory-in-virginia/"/>
    <hyperlink ref="D231" r:id="rId230" display="https://www.jstpower.com/"/>
    <hyperlink ref="D232" r:id="rId231" display="https://www.sunbeltsolomon.com/"/>
    <hyperlink ref="D233" r:id="rId232" display="https://sunbeltsolomon.com/about-us/"/>
    <hyperlink ref="D234" r:id="rId233" display="https://trilanticnorthamerica.com/portfolio/sunbelt-solomon"/>
    <hyperlink ref="D235" r:id="rId234" display="https://www.hitachienergy.com/products-and-solutions/high-voltage-switchgear-and-breakers/air-insulated-switchgear/dead-tank-circuit-breaker-362-420-kv"/>
    <hyperlink ref="D236" r:id="rId235" display="https://www.hitachienergy.com/ch/it/news-and-events/press-releases/2025/04/hitachi-energy-boosts-pennsylvania-investments-to-more-than-70-million"/>
    <hyperlink ref="D237" r:id="rId236" display="https://www.datacenterdynamics.com/en/news/hitachi-energy-to-invest-1bn-into-us-grid-infrastructure-manufacturing-to-address-data-center-power-demand/"/>
    <hyperlink ref="D238" r:id="rId237" display="https://siemens-energy.com/us/en/home/products-services/product/dead-tank.html"/>
    <hyperlink ref="D239" r:id="rId238" display="https://www.plantservices.com/industry-news/news/55355114/siemens-energy-announces-1-billion-for-mississippi-plant-us-expansions"/>
    <hyperlink ref="D240" r:id="rId239" display="https://www.gevernova.com/grid-solutions/equipment/circuit-breakers/dead-tank-circuit-breakers"/>
    <hyperlink ref="D241" r:id="rId240" display="https://www.gevernova.com/electrification/sites/default/files/resources/products/brochures/DT1-362-brochure-EN-N50281-Hybrid-202509-R003.pdf"/>
    <hyperlink ref="D242" r:id="rId241" display="https://www.plantservices.com/industry-news/news/55399356/ge-vernova-invests-138-million-to-expand-power-transmission-manufacturing-facility-in-pennsylvania"/>
    <hyperlink ref="D243" r:id="rId242" display="https://meppi.com/products/hv-gas-insulated-circuit-breakers"/>
    <hyperlink ref="D244" r:id="rId243" display="https://pennbizreport.com/news/29602-new-manufacturing-factory-facility-upgrades-planned-for-western-pennsylvania-with-86m-investment/"/>
    <hyperlink ref="D245" r:id="rId244" display="https://www.koreatimes.co.kr/business/companies/20260918/hyosung-heavy-industries-forms-us-joint-venture-to-make-high-voltage-circuit-breakers"/>
    <hyperlink ref="D246" r:id="rId245" display="https://switchgear-magazine.com/news/business/hyosung-targets-25-us-gcb-share/"/>
    <hyperlink ref="D247" r:id="rId246" display="https://www.actionnews5.com/2025/11/12/hyosung-hico-expands-again-bringing-240-new-jobs-memphis"/>
    <hyperlink ref="D248" r:id="rId247" display="https://transformer-technology.com/hd-hyundai-electric-expands-us-grid-presence-with-119-million-contract/"/>
    <hyperlink ref="D249" r:id="rId248" display="https://eaton.com/us/en-us/catalog/medium-voltage-power-distribution-control-systems/vacclad-w-38-kv-metal-clad-medium-voltage-switchgear.html"/>
    <hyperlink ref="D250" r:id="rId249" display="https://www.businesswire.com/news/home/20250212663224/en"/>
    <hyperlink ref="D251" r:id="rId250" display="https://www.se.com/us/en/about-us/newsroom/news/press-releases/Schneider-Electric-Opens-New-Energy-Manufacturing-Facility-in-Middle-Tennessee-68d6a8ba1686eb8d4d047558"/>
    <hyperlink ref="D252" r:id="rId251" display="https://www.plantengineering.com/schneider-electric-moves-corporate-hq-to-massachusetts/"/>
    <hyperlink ref="D253" r:id="rId252" display="https://new.abb.com/news/detail/129047/abb-to-invest-us110-million-in-us-manufacturing"/>
    <hyperlink ref="D254" r:id="rId253" display="https://assets.new.siemens.com/siemens/assets/api/uuid:49344958-3e1b-4282-ac76-e1c7fa185d32/ansi-mv-ovcb-sdv7-flyer-en.pdf"/>
    <hyperlink ref="D255" r:id="rId254" display="https://www.keranews.org/business-economy/2025-03-07/siemens-opens-190m-plant-in-south-fort-worth-adding-800-jobs-by-2026/"/>
    <hyperlink ref="D256" r:id="rId255" display="https://powellindustriesinc.gcs-web.com/news-releases/news-release-details/powell-industries-announces-fourth-quarter-and-full-year-0"/>
    <hyperlink ref="D257" r:id="rId256" display="https://www.powellind.com/"/>
    <hyperlink ref="D258" r:id="rId257" display="https://www.sandc.com/en/company/"/>
    <hyperlink ref="D259" r:id="rId258" display="https://www.renewableenergyworld.com/power-grid/sc-electric-expanding-manufacturing-facilities-to-meet-growing-demand/"/>
    <hyperlink ref="D260" r:id="rId259" display="https://www.gwelectric.com/about/"/>
    <hyperlink ref="D261" r:id="rId260" display="https://engineering.lehigh.edu/node/169459"/>
    <hyperlink ref="D262" r:id="rId261" display="https://www.gwelectric.com/news/gw-electric-acquires-veneta-isolatori-spa/"/>
    <hyperlink ref="D263" r:id="rId262" display="https://www.mortenson.com/projects/revolution-energy-storage"/>
    <hyperlink ref="D264" r:id="rId263" display="https://www.mortenson.com/contact"/>
    <hyperlink ref="D265" r:id="rId264" display="https://www.solarpowerworldonline.com/2026-top-solar-storage-installers/"/>
    <hyperlink ref="D266" r:id="rId265" display="https://www.mccarthy.com/locations/st-louis"/>
    <hyperlink ref="D267" r:id="rId266" display="https://www.mccarthy.com/locations"/>
    <hyperlink ref="D268" r:id="rId267" display="https://www.mccarthy.com/about"/>
    <hyperlink ref="D269" r:id="rId268" display="https://www.solarpowerworldonline.com/2026-top-solar-storage-installers/"/>
    <hyperlink ref="D270" r:id="rId269" display="https://www.quantaservices.com/companies/blattner"/>
    <hyperlink ref="D271" r:id="rId270" display="https://www.blattnercompany.com/contact"/>
    <hyperlink ref="D272" r:id="rId271" display="https://www.quantaservices.com/quanta-services-completes-the-previously-announced-acquisition-of-blattner/"/>
    <hyperlink ref="D273" r:id="rId272" display="https://www.solarpowerworldonline.com/2026-top-solar-storage-installers/"/>
    <hyperlink ref="D274" r:id="rId273" display="https://www.burnsmcd.com/news/epc-contract-for-west-texas-storage-projects"/>
    <hyperlink ref="D275" r:id="rId274" display="https://energy-storage.news/burns-mcdonnell-providing-epc-services-for-rwes-texas-waves-ii-bess"/>
    <hyperlink ref="D276" r:id="rId275" display="https://www.burnsmcd.com/about/locations"/>
    <hyperlink ref="D277" r:id="rId276" display="https://www.prim.com/contact"/>
    <hyperlink ref="D278" r:id="rId277" display="https://www.sec.gov/Archives/edgar/data/1361538/000136153826000007/prim-20260217xex99.htm"/>
    <hyperlink ref="D279" r:id="rId278" display="https://www.solarpowerworldonline.com/2026-top-solar-storage-installers/"/>
    <hyperlink ref="D280" r:id="rId279" display="https://www.rosendin.com/contact/"/>
    <hyperlink ref="D281" r:id="rId280" display="https://www.rosendin.com/contact/office-locations/"/>
    <hyperlink ref="D282" r:id="rId281" display="https://www.rosendin.com/company/history/"/>
    <hyperlink ref="D283" r:id="rId282" display="https://solvenergy.com/contact/"/>
    <hyperlink ref="D284" r:id="rId283" display="https://www.renaissancecapital.com/IPO-Center/News/116914/american-securities-solar-project-builder-solv-energy-prices-ipo-at-25"/>
    <hyperlink ref="D285" r:id="rId284" display="https://www.solarpowerworldonline.com/2026-top-solar-storage-installers/"/>
    <hyperlink ref="D286" r:id="rId285" display="https://mastec.com/expertise/clean-energy-and-infrastructure/renewables.html"/>
    <hyperlink ref="D287" r:id="rId286" display="https://investors.mastec.com/node/17776"/>
    <hyperlink ref="D288" r:id="rId287" display="https://www.inforum.com/business/announcements/wanzek-rebrands-as-mastec-reflecting-continued-growth-and-commitment-5c42027021e12668ac8da793-66b4eefa6dbc50000e3b385e"/>
    <hyperlink ref="D289" r:id="rId288" display="https://www.sec.gov/Archives/edgar/data/15615/000001561526000020/mtz-20251231.htm"/>
    <hyperlink ref="D290" r:id="rId289" display="https://www.tesla.com/support/energy/tesla-software/autobidder"/>
    <hyperlink ref="D291" r:id="rId290" display="https://www.tesla.com/contact"/>
    <hyperlink ref="D292" r:id="rId291" display="https://fluenceenergy.com/contact/"/>
    <hyperlink ref="D293" r:id="rId292" display="https://www.nasdaq.com/press-release/fluence-mosaic-intelligent-bidding-software-for-energy-storage-systems-expands-into"/>
    <hyperlink ref="D294" r:id="rId293" display="https://ir.fluenceenergy.com/news-releases/news-release-details/fluence-announces-agreement-acquire-ai-enabled-software-service"/>
    <hyperlink ref="D295" r:id="rId294" display="https://www.ascendanalytics.com/"/>
    <hyperlink ref="D296" r:id="rId295" display="https://www.ascendanalytics.com/about-us/lets-connect"/>
    <hyperlink ref="D297" r:id="rId296" display="https://www.ascendanalytics.com/blog/ascend-analytics-announces-strategic-growth-investment"/>
    <hyperlink ref="D298" r:id="rId297" display="https://www.pcienergysolutions.com/contact-us/"/>
    <hyperlink ref="D299" r:id="rId298" display="https://www.pcienergysolutions.com/"/>
    <hyperlink ref="D300" r:id="rId299" display="https://www.mitsubishielectric.com/en/pr/2026/pdf/0820_ei1.pdf"/>
    <hyperlink ref="D301" r:id="rId300" display="https://www.yesenergy.com/"/>
    <hyperlink ref="D302" r:id="rId301" display="https://www.yesenergy.com/locations"/>
    <hyperlink ref="D303" r:id="rId302" display="https://www.accel-kkr.com/portfolio-company/yes-energy/"/>
    <hyperlink ref="D304" r:id="rId303" display="https://www.enverus.com/contact-us/"/>
    <hyperlink ref="D305" r:id="rId304" display="https://www.enverus.com/"/>
    <hyperlink ref="D306" r:id="rId305" display="https://www.businesswire.com/news/home/20250805990991/en/Blackstone-Announces-Agreement-to-Acquire-Enverus"/>
    <hyperlink ref="D307" r:id="rId306" display="https://www.renewableenergyworld.com/energy-business/energy-finance/blackstone-to-acquire-energy-data-analytics-firm-in-6-5b-deal/"/>
    <hyperlink ref="D308" r:id="rId307" display="https://www.powerfactors.com/about"/>
    <hyperlink ref="D309" r:id="rId308" display="https://www.powerfactors.com/contact-us"/>
    <hyperlink ref="D310" r:id="rId309" display="https://www.williamblair.com/News/Power-Factors-and-Vista-Equity-Partners-Transaction"/>
    <hyperlink ref="D311" r:id="rId310" display="https://www.habitat.energy/contact"/>
    <hyperlink ref="D312" r:id="rId311" display="https://www.businesswire.com/news/home/20240502931363/en/Habitat-Energy-to-optimize-UBS-Asset-Management%E2%80%99s-730MW-ERCOT-battery-storage-portfolio"/>
    <hyperlink ref="D313" r:id="rId312" display="https://www.tyba.ai/"/>
    <hyperlink ref="D314" r:id="rId313" display="https://www.tyba.ai/contact/"/>
    <hyperlink ref="D315" r:id="rId314" display="https://batterypoweronline.com/view-press-releases/entry/5380"/>
    <hyperlink ref="D316" r:id="rId315" display="https://modoenergy.com/"/>
    <hyperlink ref="D317" r:id="rId316" display="https://www.ess-news.com/2025/12/03/modo-energy-raises-33m-and-sets-out-ai-ambitions/"/>
    <hyperlink ref="D318" r:id="rId317" display="https://mmc.vc/mmc-leads-15-million-series-a-for-modo-energy/"/>
    <hyperlink ref="D319" r:id="rId318" display="https://www.stem.com/contact/"/>
    <hyperlink ref="D320" r:id="rId319" display="https://www.businesswire.com/news/home/20250909722132/en/Stem-Inc.-Letter-to-Shareholders-Reflecting-on-our-journey-of-strategic-realignment"/>
    <hyperlink ref="D321" r:id="rId320" display="https://www.tenaska.com/our-business/power-marketing/"/>
    <hyperlink ref="D322" r:id="rId321" display="https://www.tenaska.com/contact-us/"/>
    <hyperlink ref="D323" r:id="rId322" display="https://www.tenaska.c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2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AE64251E621DC4EAA1D305EC56230F3" ma:contentTypeVersion="3" ma:contentTypeDescription="Create a new document." ma:contentTypeScope="" ma:versionID="4e61b3755a602d0c78739f2cc52d316b">
  <xsd:schema xmlns:xsd="http://www.w3.org/2001/XMLSchema" xmlns:xs="http://www.w3.org/2001/XMLSchema" xmlns:p="http://schemas.microsoft.com/office/2006/metadata/properties" xmlns:ns2="3b36bd2e-c813-4c61-8167-4957c0660b97" targetNamespace="http://schemas.microsoft.com/office/2006/metadata/properties" ma:root="true" ma:fieldsID="5696ffeb45c358ff8fd45dfd9dbf047f" ns2:_="">
    <xsd:import namespace="3b36bd2e-c813-4c61-8167-4957c0660b9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36bd2e-c813-4c61-8167-4957c0660b9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86B0B58-7E38-4CF1-9EEE-422E62465B45}"/>
</file>

<file path=customXml/itemProps2.xml><?xml version="1.0" encoding="utf-8"?>
<ds:datastoreItem xmlns:ds="http://schemas.openxmlformats.org/officeDocument/2006/customXml" ds:itemID="{6A5B95E0-F69F-4F05-87EC-6078FAA679FA}"/>
</file>

<file path=customXml/itemProps3.xml><?xml version="1.0" encoding="utf-8"?>
<ds:datastoreItem xmlns:ds="http://schemas.openxmlformats.org/officeDocument/2006/customXml" ds:itemID="{0CAE610C-384B-4E23-A9C9-D53EB800DBC7}"/>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
  <cp:revision>0</cp:revision>
  <dcterms:created xsi:type="dcterms:W3CDTF">2026-10-05T17:39:44Z</dcterms:created>
  <dcterms:modified xsi:type="dcterms:W3CDTF">2026-10-05T17:39:47Z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0x0101008AE64251E621DC4EAA1D305EC56230F3</vt:lpwstr>
  </property>
</Properties>
</file>