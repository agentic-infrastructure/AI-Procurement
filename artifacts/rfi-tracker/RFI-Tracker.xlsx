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acrogrid.sharepoint.com/sites/Procurement/Shared Documents/AI Procurement/artifacts/rfi-tracker/"/>
    </mc:Choice>
  </mc:AlternateContent>
  <xr:revisionPtr revIDLastSave="2" documentId="11_A41122EDC36BA997482E8475EB9010D5696D428E" xr6:coauthVersionLast="47" xr6:coauthVersionMax="47" xr10:uidLastSave="{FD87A7AD-9B08-46AA-8948-DB91E33578D8}"/>
  <bookViews>
    <workbookView xWindow="14445" yWindow="1845" windowWidth="31800" windowHeight="20745" tabRatio="500" activeTab="9" xr2:uid="{00000000-000D-0000-FFFF-FFFF00000000}"/>
  </bookViews>
  <sheets>
    <sheet name="Read Me" sheetId="1" r:id="rId1"/>
    <sheet name="Dashboard" sheetId="2" r:id="rId2"/>
    <sheet name="RFI Register" sheetId="3" r:id="rId3"/>
    <sheet name="RFI-001" sheetId="4" r:id="rId4"/>
    <sheet name="RFI_TEMPLATE" sheetId="5" r:id="rId5"/>
    <sheet name="Vendors" sheetId="6" r:id="rId6"/>
    <sheet name="Key Items" sheetId="7" r:id="rId7"/>
    <sheet name="Projects" sheetId="8" r:id="rId8"/>
    <sheet name="Lists" sheetId="9" r:id="rId9"/>
    <sheet name="Change Log" sheetId="10" r:id="rId10"/>
  </sheets>
  <definedNames>
    <definedName name="_xlnm._FilterDatabase" localSheetId="2" hidden="1">'RFI Register'!$A$4:$P$104</definedName>
    <definedName name="_xlnm._FilterDatabase" localSheetId="4" hidden="1">RFI_TEMPLATE!$A$14:$AI$64</definedName>
    <definedName name="_xlnm._FilterDatabase" localSheetId="3" hidden="1">'RFI-001'!$A$14:$AI$64</definedName>
    <definedName name="_xlnm._FilterDatabase" localSheetId="5" hidden="1">Vendors!$A$4:$N$113</definedName>
    <definedName name="L_ActivityStatus">Lists!$B$5:$B$11</definedName>
    <definedName name="L_Owners">Lists!$E$5:$E$34</definedName>
    <definedName name="L_Qual">Lists!$C$5:$C$10</definedName>
    <definedName name="L_Rating">Lists!$D$5:$D$8</definedName>
    <definedName name="L_Types">Lists!$F$5:$F$18</definedName>
    <definedName name="L_VendorStatus">Lists!$A$5:$A$13</definedName>
    <definedName name="P_Names">Projects!$B$5:$B$54</definedName>
    <definedName name="V_Names">Vendors!$B$5:$B$400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H64" i="5" l="1"/>
  <c r="E64" i="5"/>
  <c r="D64" i="5"/>
  <c r="C64" i="5"/>
  <c r="B64" i="5"/>
  <c r="AH63" i="5"/>
  <c r="E63" i="5"/>
  <c r="D63" i="5"/>
  <c r="C63" i="5"/>
  <c r="B63" i="5"/>
  <c r="AH62" i="5"/>
  <c r="E62" i="5"/>
  <c r="D62" i="5"/>
  <c r="C62" i="5"/>
  <c r="B62" i="5"/>
  <c r="AH61" i="5"/>
  <c r="E61" i="5"/>
  <c r="D61" i="5"/>
  <c r="C61" i="5"/>
  <c r="B61" i="5"/>
  <c r="AH60" i="5"/>
  <c r="E60" i="5"/>
  <c r="D60" i="5"/>
  <c r="C60" i="5"/>
  <c r="B60" i="5"/>
  <c r="AH59" i="5"/>
  <c r="E59" i="5"/>
  <c r="D59" i="5"/>
  <c r="C59" i="5"/>
  <c r="B59" i="5"/>
  <c r="AH58" i="5"/>
  <c r="E58" i="5"/>
  <c r="D58" i="5"/>
  <c r="C58" i="5"/>
  <c r="B58" i="5"/>
  <c r="AH57" i="5"/>
  <c r="E57" i="5"/>
  <c r="D57" i="5"/>
  <c r="C57" i="5"/>
  <c r="B57" i="5"/>
  <c r="AH56" i="5"/>
  <c r="E56" i="5"/>
  <c r="D56" i="5"/>
  <c r="C56" i="5"/>
  <c r="B56" i="5"/>
  <c r="AH55" i="5"/>
  <c r="E55" i="5"/>
  <c r="D55" i="5"/>
  <c r="C55" i="5"/>
  <c r="B55" i="5"/>
  <c r="AH54" i="5"/>
  <c r="E54" i="5"/>
  <c r="D54" i="5"/>
  <c r="C54" i="5"/>
  <c r="B54" i="5"/>
  <c r="AH53" i="5"/>
  <c r="E53" i="5"/>
  <c r="D53" i="5"/>
  <c r="C53" i="5"/>
  <c r="B53" i="5"/>
  <c r="AH52" i="5"/>
  <c r="E52" i="5"/>
  <c r="D52" i="5"/>
  <c r="C52" i="5"/>
  <c r="B52" i="5"/>
  <c r="AH51" i="5"/>
  <c r="E51" i="5"/>
  <c r="D51" i="5"/>
  <c r="C51" i="5"/>
  <c r="B51" i="5"/>
  <c r="AH50" i="5"/>
  <c r="E50" i="5"/>
  <c r="D50" i="5"/>
  <c r="C50" i="5"/>
  <c r="B50" i="5"/>
  <c r="AH49" i="5"/>
  <c r="E49" i="5"/>
  <c r="D49" i="5"/>
  <c r="C49" i="5"/>
  <c r="B49" i="5"/>
  <c r="AH48" i="5"/>
  <c r="E48" i="5"/>
  <c r="D48" i="5"/>
  <c r="C48" i="5"/>
  <c r="B48" i="5"/>
  <c r="AH47" i="5"/>
  <c r="E47" i="5"/>
  <c r="D47" i="5"/>
  <c r="C47" i="5"/>
  <c r="B47" i="5"/>
  <c r="AH46" i="5"/>
  <c r="E46" i="5"/>
  <c r="D46" i="5"/>
  <c r="C46" i="5"/>
  <c r="B46" i="5"/>
  <c r="AH45" i="5"/>
  <c r="E45" i="5"/>
  <c r="D45" i="5"/>
  <c r="C45" i="5"/>
  <c r="B45" i="5"/>
  <c r="AH44" i="5"/>
  <c r="E44" i="5"/>
  <c r="D44" i="5"/>
  <c r="C44" i="5"/>
  <c r="B44" i="5"/>
  <c r="AH43" i="5"/>
  <c r="E43" i="5"/>
  <c r="D43" i="5"/>
  <c r="C43" i="5"/>
  <c r="B43" i="5"/>
  <c r="AH42" i="5"/>
  <c r="E42" i="5"/>
  <c r="D42" i="5"/>
  <c r="C42" i="5"/>
  <c r="B42" i="5"/>
  <c r="AH41" i="5"/>
  <c r="E41" i="5"/>
  <c r="D41" i="5"/>
  <c r="C41" i="5"/>
  <c r="B41" i="5"/>
  <c r="AH40" i="5"/>
  <c r="E40" i="5"/>
  <c r="D40" i="5"/>
  <c r="C40" i="5"/>
  <c r="B40" i="5"/>
  <c r="AH39" i="5"/>
  <c r="E39" i="5"/>
  <c r="D39" i="5"/>
  <c r="C39" i="5"/>
  <c r="B39" i="5"/>
  <c r="AH38" i="5"/>
  <c r="E38" i="5"/>
  <c r="D38" i="5"/>
  <c r="C38" i="5"/>
  <c r="B38" i="5"/>
  <c r="AH37" i="5"/>
  <c r="E37" i="5"/>
  <c r="D37" i="5"/>
  <c r="C37" i="5"/>
  <c r="B37" i="5"/>
  <c r="AH36" i="5"/>
  <c r="E36" i="5"/>
  <c r="D36" i="5"/>
  <c r="C36" i="5"/>
  <c r="B36" i="5"/>
  <c r="AH35" i="5"/>
  <c r="E35" i="5"/>
  <c r="D35" i="5"/>
  <c r="C35" i="5"/>
  <c r="B35" i="5"/>
  <c r="AH34" i="5"/>
  <c r="E34" i="5"/>
  <c r="D34" i="5"/>
  <c r="C34" i="5"/>
  <c r="B34" i="5"/>
  <c r="AH33" i="5"/>
  <c r="E33" i="5"/>
  <c r="D33" i="5"/>
  <c r="C33" i="5"/>
  <c r="B33" i="5"/>
  <c r="AH32" i="5"/>
  <c r="E32" i="5"/>
  <c r="D32" i="5"/>
  <c r="C32" i="5"/>
  <c r="B32" i="5"/>
  <c r="AH31" i="5"/>
  <c r="E31" i="5"/>
  <c r="D31" i="5"/>
  <c r="C31" i="5"/>
  <c r="B31" i="5"/>
  <c r="AH30" i="5"/>
  <c r="E30" i="5"/>
  <c r="D30" i="5"/>
  <c r="C30" i="5"/>
  <c r="B30" i="5"/>
  <c r="AH29" i="5"/>
  <c r="E29" i="5"/>
  <c r="D29" i="5"/>
  <c r="C29" i="5"/>
  <c r="B29" i="5"/>
  <c r="AH28" i="5"/>
  <c r="E28" i="5"/>
  <c r="D28" i="5"/>
  <c r="C28" i="5"/>
  <c r="B28" i="5"/>
  <c r="AH27" i="5"/>
  <c r="E27" i="5"/>
  <c r="D27" i="5"/>
  <c r="C27" i="5"/>
  <c r="B27" i="5"/>
  <c r="AH26" i="5"/>
  <c r="E26" i="5"/>
  <c r="D26" i="5"/>
  <c r="C26" i="5"/>
  <c r="B26" i="5"/>
  <c r="AH25" i="5"/>
  <c r="E25" i="5"/>
  <c r="D25" i="5"/>
  <c r="C25" i="5"/>
  <c r="B25" i="5"/>
  <c r="AH24" i="5"/>
  <c r="E24" i="5"/>
  <c r="D24" i="5"/>
  <c r="C24" i="5"/>
  <c r="B24" i="5"/>
  <c r="AH23" i="5"/>
  <c r="E23" i="5"/>
  <c r="D23" i="5"/>
  <c r="C23" i="5"/>
  <c r="B23" i="5"/>
  <c r="AH22" i="5"/>
  <c r="E22" i="5"/>
  <c r="D22" i="5"/>
  <c r="C22" i="5"/>
  <c r="B22" i="5"/>
  <c r="AH21" i="5"/>
  <c r="E21" i="5"/>
  <c r="D21" i="5"/>
  <c r="C21" i="5"/>
  <c r="B21" i="5"/>
  <c r="AH20" i="5"/>
  <c r="E20" i="5"/>
  <c r="D20" i="5"/>
  <c r="C20" i="5"/>
  <c r="B20" i="5"/>
  <c r="AH19" i="5"/>
  <c r="E19" i="5"/>
  <c r="D19" i="5"/>
  <c r="C19" i="5"/>
  <c r="B19" i="5"/>
  <c r="AH18" i="5"/>
  <c r="E18" i="5"/>
  <c r="D18" i="5"/>
  <c r="C18" i="5"/>
  <c r="B18" i="5"/>
  <c r="AH17" i="5"/>
  <c r="E17" i="5"/>
  <c r="D17" i="5"/>
  <c r="C17" i="5"/>
  <c r="B17" i="5"/>
  <c r="AH16" i="5"/>
  <c r="E16" i="5"/>
  <c r="D16" i="5"/>
  <c r="C16" i="5"/>
  <c r="B16" i="5"/>
  <c r="AH15" i="5"/>
  <c r="E15" i="5"/>
  <c r="D15" i="5"/>
  <c r="C15" i="5"/>
  <c r="B15" i="5"/>
  <c r="AC13" i="5"/>
  <c r="AA13" i="5"/>
  <c r="Y13" i="5"/>
  <c r="W13" i="5"/>
  <c r="U13" i="5"/>
  <c r="S13" i="5"/>
  <c r="Q13" i="5"/>
  <c r="O13" i="5"/>
  <c r="M13" i="5"/>
  <c r="K13" i="5"/>
  <c r="K12" i="5"/>
  <c r="I10" i="5"/>
  <c r="I9" i="5"/>
  <c r="I8" i="5"/>
  <c r="I6" i="5"/>
  <c r="I5" i="5"/>
  <c r="I4" i="5"/>
  <c r="I3" i="5"/>
  <c r="A1" i="5"/>
  <c r="AH64" i="4"/>
  <c r="E64" i="4"/>
  <c r="D64" i="4"/>
  <c r="C64" i="4"/>
  <c r="B64" i="4"/>
  <c r="AH63" i="4"/>
  <c r="E63" i="4"/>
  <c r="D63" i="4"/>
  <c r="C63" i="4"/>
  <c r="B63" i="4"/>
  <c r="AH62" i="4"/>
  <c r="E62" i="4"/>
  <c r="D62" i="4"/>
  <c r="C62" i="4"/>
  <c r="B62" i="4"/>
  <c r="AH61" i="4"/>
  <c r="E61" i="4"/>
  <c r="D61" i="4"/>
  <c r="C61" i="4"/>
  <c r="B61" i="4"/>
  <c r="AH60" i="4"/>
  <c r="E60" i="4"/>
  <c r="D60" i="4"/>
  <c r="C60" i="4"/>
  <c r="B60" i="4"/>
  <c r="AH59" i="4"/>
  <c r="E59" i="4"/>
  <c r="D59" i="4"/>
  <c r="C59" i="4"/>
  <c r="B59" i="4"/>
  <c r="AH58" i="4"/>
  <c r="E58" i="4"/>
  <c r="D58" i="4"/>
  <c r="C58" i="4"/>
  <c r="B58" i="4"/>
  <c r="AH57" i="4"/>
  <c r="E57" i="4"/>
  <c r="D57" i="4"/>
  <c r="C57" i="4"/>
  <c r="B57" i="4"/>
  <c r="AH56" i="4"/>
  <c r="E56" i="4"/>
  <c r="D56" i="4"/>
  <c r="C56" i="4"/>
  <c r="B56" i="4"/>
  <c r="AH55" i="4"/>
  <c r="E55" i="4"/>
  <c r="D55" i="4"/>
  <c r="C55" i="4"/>
  <c r="B55" i="4"/>
  <c r="AH54" i="4"/>
  <c r="E54" i="4"/>
  <c r="D54" i="4"/>
  <c r="C54" i="4"/>
  <c r="B54" i="4"/>
  <c r="AH53" i="4"/>
  <c r="E53" i="4"/>
  <c r="D53" i="4"/>
  <c r="C53" i="4"/>
  <c r="B53" i="4"/>
  <c r="AH52" i="4"/>
  <c r="E52" i="4"/>
  <c r="D52" i="4"/>
  <c r="C52" i="4"/>
  <c r="B52" i="4"/>
  <c r="AH51" i="4"/>
  <c r="E51" i="4"/>
  <c r="D51" i="4"/>
  <c r="C51" i="4"/>
  <c r="B51" i="4"/>
  <c r="AH50" i="4"/>
  <c r="E50" i="4"/>
  <c r="D50" i="4"/>
  <c r="C50" i="4"/>
  <c r="B50" i="4"/>
  <c r="AH49" i="4"/>
  <c r="E49" i="4"/>
  <c r="D49" i="4"/>
  <c r="C49" i="4"/>
  <c r="B49" i="4"/>
  <c r="AH48" i="4"/>
  <c r="E48" i="4"/>
  <c r="D48" i="4"/>
  <c r="C48" i="4"/>
  <c r="B48" i="4"/>
  <c r="AH47" i="4"/>
  <c r="E47" i="4"/>
  <c r="D47" i="4"/>
  <c r="C47" i="4"/>
  <c r="B47" i="4"/>
  <c r="AH46" i="4"/>
  <c r="E46" i="4"/>
  <c r="D46" i="4"/>
  <c r="C46" i="4"/>
  <c r="B46" i="4"/>
  <c r="AH45" i="4"/>
  <c r="E45" i="4"/>
  <c r="D45" i="4"/>
  <c r="C45" i="4"/>
  <c r="B45" i="4"/>
  <c r="AH44" i="4"/>
  <c r="E44" i="4"/>
  <c r="D44" i="4"/>
  <c r="C44" i="4"/>
  <c r="B44" i="4"/>
  <c r="AH43" i="4"/>
  <c r="E43" i="4"/>
  <c r="D43" i="4"/>
  <c r="C43" i="4"/>
  <c r="B43" i="4"/>
  <c r="AH42" i="4"/>
  <c r="E42" i="4"/>
  <c r="D42" i="4"/>
  <c r="C42" i="4"/>
  <c r="B42" i="4"/>
  <c r="AH41" i="4"/>
  <c r="E41" i="4"/>
  <c r="D41" i="4"/>
  <c r="C41" i="4"/>
  <c r="B41" i="4"/>
  <c r="AH40" i="4"/>
  <c r="E40" i="4"/>
  <c r="D40" i="4"/>
  <c r="C40" i="4"/>
  <c r="B40" i="4"/>
  <c r="AH39" i="4"/>
  <c r="E39" i="4"/>
  <c r="D39" i="4"/>
  <c r="C39" i="4"/>
  <c r="B39" i="4"/>
  <c r="AH38" i="4"/>
  <c r="E38" i="4"/>
  <c r="D38" i="4"/>
  <c r="C38" i="4"/>
  <c r="B38" i="4"/>
  <c r="AH37" i="4"/>
  <c r="E37" i="4"/>
  <c r="D37" i="4"/>
  <c r="C37" i="4"/>
  <c r="B37" i="4"/>
  <c r="AH36" i="4"/>
  <c r="E36" i="4"/>
  <c r="D36" i="4"/>
  <c r="C36" i="4"/>
  <c r="B36" i="4"/>
  <c r="AH35" i="4"/>
  <c r="E35" i="4"/>
  <c r="D35" i="4"/>
  <c r="C35" i="4"/>
  <c r="B35" i="4"/>
  <c r="AH34" i="4"/>
  <c r="E34" i="4"/>
  <c r="D34" i="4"/>
  <c r="C34" i="4"/>
  <c r="B34" i="4"/>
  <c r="AH33" i="4"/>
  <c r="E33" i="4"/>
  <c r="D33" i="4"/>
  <c r="C33" i="4"/>
  <c r="B33" i="4"/>
  <c r="AH32" i="4"/>
  <c r="E32" i="4"/>
  <c r="D32" i="4"/>
  <c r="C32" i="4"/>
  <c r="B32" i="4"/>
  <c r="AH31" i="4"/>
  <c r="E31" i="4"/>
  <c r="D31" i="4"/>
  <c r="C31" i="4"/>
  <c r="B31" i="4"/>
  <c r="AH30" i="4"/>
  <c r="E30" i="4"/>
  <c r="D30" i="4"/>
  <c r="C30" i="4"/>
  <c r="B30" i="4"/>
  <c r="AH29" i="4"/>
  <c r="E29" i="4"/>
  <c r="D29" i="4"/>
  <c r="C29" i="4"/>
  <c r="B29" i="4"/>
  <c r="AH28" i="4"/>
  <c r="E28" i="4"/>
  <c r="D28" i="4"/>
  <c r="C28" i="4"/>
  <c r="B28" i="4"/>
  <c r="AH27" i="4"/>
  <c r="E27" i="4"/>
  <c r="D27" i="4"/>
  <c r="C27" i="4"/>
  <c r="B27" i="4"/>
  <c r="AH26" i="4"/>
  <c r="E26" i="4"/>
  <c r="D26" i="4"/>
  <c r="C26" i="4"/>
  <c r="B26" i="4"/>
  <c r="AH25" i="4"/>
  <c r="E25" i="4"/>
  <c r="D25" i="4"/>
  <c r="C25" i="4"/>
  <c r="B25" i="4"/>
  <c r="AH24" i="4"/>
  <c r="E24" i="4"/>
  <c r="D24" i="4"/>
  <c r="C24" i="4"/>
  <c r="B24" i="4"/>
  <c r="AH23" i="4"/>
  <c r="E23" i="4"/>
  <c r="D23" i="4"/>
  <c r="C23" i="4"/>
  <c r="B23" i="4"/>
  <c r="AH22" i="4"/>
  <c r="E22" i="4"/>
  <c r="D22" i="4"/>
  <c r="C22" i="4"/>
  <c r="B22" i="4"/>
  <c r="AH21" i="4"/>
  <c r="E21" i="4"/>
  <c r="D21" i="4"/>
  <c r="C21" i="4"/>
  <c r="B21" i="4"/>
  <c r="AH20" i="4"/>
  <c r="E20" i="4"/>
  <c r="D20" i="4"/>
  <c r="C20" i="4"/>
  <c r="B20" i="4"/>
  <c r="AH19" i="4"/>
  <c r="E19" i="4"/>
  <c r="D19" i="4"/>
  <c r="C19" i="4"/>
  <c r="B19" i="4"/>
  <c r="AH18" i="4"/>
  <c r="E18" i="4"/>
  <c r="D18" i="4"/>
  <c r="C18" i="4"/>
  <c r="B18" i="4"/>
  <c r="AH17" i="4"/>
  <c r="E17" i="4"/>
  <c r="D17" i="4"/>
  <c r="C17" i="4"/>
  <c r="B17" i="4"/>
  <c r="AH16" i="4"/>
  <c r="E16" i="4"/>
  <c r="D16" i="4"/>
  <c r="C16" i="4"/>
  <c r="B16" i="4"/>
  <c r="AH15" i="4"/>
  <c r="E15" i="4"/>
  <c r="D15" i="4"/>
  <c r="C15" i="4"/>
  <c r="B15" i="4"/>
  <c r="AC13" i="4"/>
  <c r="AA13" i="4"/>
  <c r="Y13" i="4"/>
  <c r="W13" i="4"/>
  <c r="U13" i="4"/>
  <c r="S13" i="4"/>
  <c r="Q13" i="4"/>
  <c r="O13" i="4"/>
  <c r="M13" i="4"/>
  <c r="K13" i="4"/>
  <c r="K12" i="4"/>
  <c r="I10" i="4"/>
  <c r="I9" i="4"/>
  <c r="I8" i="4"/>
  <c r="I6" i="4"/>
  <c r="I5" i="4"/>
  <c r="I4" i="4"/>
  <c r="I3" i="4"/>
  <c r="A1" i="4"/>
  <c r="N104" i="3"/>
  <c r="M104" i="3"/>
  <c r="L104" i="3"/>
  <c r="K104" i="3"/>
  <c r="J104" i="3"/>
  <c r="I104" i="3"/>
  <c r="H104" i="3"/>
  <c r="G104" i="3"/>
  <c r="F104" i="3"/>
  <c r="E104" i="3"/>
  <c r="D104" i="3"/>
  <c r="C104" i="3"/>
  <c r="B104" i="3"/>
  <c r="N103" i="3"/>
  <c r="M103" i="3"/>
  <c r="L103" i="3"/>
  <c r="K103" i="3"/>
  <c r="J103" i="3"/>
  <c r="I103" i="3"/>
  <c r="H103" i="3"/>
  <c r="G103" i="3"/>
  <c r="F103" i="3"/>
  <c r="E103" i="3"/>
  <c r="D103" i="3"/>
  <c r="C103" i="3"/>
  <c r="B103" i="3"/>
  <c r="N102" i="3"/>
  <c r="M102" i="3"/>
  <c r="L102" i="3"/>
  <c r="K102" i="3"/>
  <c r="J102" i="3"/>
  <c r="I102" i="3"/>
  <c r="H102" i="3"/>
  <c r="G102" i="3"/>
  <c r="F102" i="3"/>
  <c r="E102" i="3"/>
  <c r="D102" i="3"/>
  <c r="C102" i="3"/>
  <c r="B102" i="3"/>
  <c r="N101" i="3"/>
  <c r="M101" i="3"/>
  <c r="L101" i="3"/>
  <c r="K101" i="3"/>
  <c r="J101" i="3"/>
  <c r="I101" i="3"/>
  <c r="H101" i="3"/>
  <c r="G101" i="3"/>
  <c r="F101" i="3"/>
  <c r="E101" i="3"/>
  <c r="D101" i="3"/>
  <c r="C101" i="3"/>
  <c r="B101" i="3"/>
  <c r="N100" i="3"/>
  <c r="M100" i="3"/>
  <c r="L100" i="3"/>
  <c r="K100" i="3"/>
  <c r="J100" i="3"/>
  <c r="I100" i="3"/>
  <c r="H100" i="3"/>
  <c r="G100" i="3"/>
  <c r="F100" i="3"/>
  <c r="E100" i="3"/>
  <c r="D100" i="3"/>
  <c r="C100" i="3"/>
  <c r="B100" i="3"/>
  <c r="N99" i="3"/>
  <c r="M99" i="3"/>
  <c r="L99" i="3"/>
  <c r="K99" i="3"/>
  <c r="J99" i="3"/>
  <c r="I99" i="3"/>
  <c r="H99" i="3"/>
  <c r="G99" i="3"/>
  <c r="F99" i="3"/>
  <c r="E99" i="3"/>
  <c r="D99" i="3"/>
  <c r="C99" i="3"/>
  <c r="B99" i="3"/>
  <c r="N98" i="3"/>
  <c r="M98" i="3"/>
  <c r="L98" i="3"/>
  <c r="K98" i="3"/>
  <c r="J98" i="3"/>
  <c r="I98" i="3"/>
  <c r="H98" i="3"/>
  <c r="G98" i="3"/>
  <c r="F98" i="3"/>
  <c r="E98" i="3"/>
  <c r="D98" i="3"/>
  <c r="C98" i="3"/>
  <c r="B98" i="3"/>
  <c r="N97" i="3"/>
  <c r="M97" i="3"/>
  <c r="L97" i="3"/>
  <c r="K97" i="3"/>
  <c r="J97" i="3"/>
  <c r="I97" i="3"/>
  <c r="H97" i="3"/>
  <c r="G97" i="3"/>
  <c r="F97" i="3"/>
  <c r="E97" i="3"/>
  <c r="D97" i="3"/>
  <c r="C97" i="3"/>
  <c r="B97" i="3"/>
  <c r="N96" i="3"/>
  <c r="M96" i="3"/>
  <c r="L96" i="3"/>
  <c r="K96" i="3"/>
  <c r="J96" i="3"/>
  <c r="I96" i="3"/>
  <c r="H96" i="3"/>
  <c r="G96" i="3"/>
  <c r="F96" i="3"/>
  <c r="E96" i="3"/>
  <c r="D96" i="3"/>
  <c r="C96" i="3"/>
  <c r="B96" i="3"/>
  <c r="N95" i="3"/>
  <c r="M95" i="3"/>
  <c r="L95" i="3"/>
  <c r="K95" i="3"/>
  <c r="J95" i="3"/>
  <c r="I95" i="3"/>
  <c r="H95" i="3"/>
  <c r="G95" i="3"/>
  <c r="F95" i="3"/>
  <c r="E95" i="3"/>
  <c r="D95" i="3"/>
  <c r="C95" i="3"/>
  <c r="B95" i="3"/>
  <c r="N94" i="3"/>
  <c r="M94" i="3"/>
  <c r="L94" i="3"/>
  <c r="K94" i="3"/>
  <c r="J94" i="3"/>
  <c r="I94" i="3"/>
  <c r="H94" i="3"/>
  <c r="G94" i="3"/>
  <c r="F94" i="3"/>
  <c r="E94" i="3"/>
  <c r="D94" i="3"/>
  <c r="C94" i="3"/>
  <c r="B94" i="3"/>
  <c r="N93" i="3"/>
  <c r="M93" i="3"/>
  <c r="L93" i="3"/>
  <c r="K93" i="3"/>
  <c r="J93" i="3"/>
  <c r="I93" i="3"/>
  <c r="H93" i="3"/>
  <c r="G93" i="3"/>
  <c r="F93" i="3"/>
  <c r="E93" i="3"/>
  <c r="D93" i="3"/>
  <c r="C93" i="3"/>
  <c r="B93" i="3"/>
  <c r="N92" i="3"/>
  <c r="M92" i="3"/>
  <c r="L92" i="3"/>
  <c r="K92" i="3"/>
  <c r="J92" i="3"/>
  <c r="I92" i="3"/>
  <c r="H92" i="3"/>
  <c r="G92" i="3"/>
  <c r="F92" i="3"/>
  <c r="E92" i="3"/>
  <c r="D92" i="3"/>
  <c r="C92" i="3"/>
  <c r="B92" i="3"/>
  <c r="N91" i="3"/>
  <c r="M91" i="3"/>
  <c r="L91" i="3"/>
  <c r="K91" i="3"/>
  <c r="J91" i="3"/>
  <c r="I91" i="3"/>
  <c r="H91" i="3"/>
  <c r="G91" i="3"/>
  <c r="F91" i="3"/>
  <c r="E91" i="3"/>
  <c r="D91" i="3"/>
  <c r="C91" i="3"/>
  <c r="B91" i="3"/>
  <c r="N90" i="3"/>
  <c r="M90" i="3"/>
  <c r="L90" i="3"/>
  <c r="K90" i="3"/>
  <c r="J90" i="3"/>
  <c r="I90" i="3"/>
  <c r="H90" i="3"/>
  <c r="G90" i="3"/>
  <c r="F90" i="3"/>
  <c r="E90" i="3"/>
  <c r="D90" i="3"/>
  <c r="C90" i="3"/>
  <c r="B90" i="3"/>
  <c r="N89" i="3"/>
  <c r="M89" i="3"/>
  <c r="L89" i="3"/>
  <c r="K89" i="3"/>
  <c r="J89" i="3"/>
  <c r="I89" i="3"/>
  <c r="H89" i="3"/>
  <c r="G89" i="3"/>
  <c r="F89" i="3"/>
  <c r="E89" i="3"/>
  <c r="D89" i="3"/>
  <c r="C89" i="3"/>
  <c r="B89" i="3"/>
  <c r="N88" i="3"/>
  <c r="M88" i="3"/>
  <c r="L88" i="3"/>
  <c r="K88" i="3"/>
  <c r="J88" i="3"/>
  <c r="I88" i="3"/>
  <c r="H88" i="3"/>
  <c r="G88" i="3"/>
  <c r="F88" i="3"/>
  <c r="E88" i="3"/>
  <c r="D88" i="3"/>
  <c r="C88" i="3"/>
  <c r="B88" i="3"/>
  <c r="N87" i="3"/>
  <c r="M87" i="3"/>
  <c r="L87" i="3"/>
  <c r="K87" i="3"/>
  <c r="J87" i="3"/>
  <c r="I87" i="3"/>
  <c r="H87" i="3"/>
  <c r="G87" i="3"/>
  <c r="F87" i="3"/>
  <c r="E87" i="3"/>
  <c r="D87" i="3"/>
  <c r="C87" i="3"/>
  <c r="B87" i="3"/>
  <c r="N86" i="3"/>
  <c r="M86" i="3"/>
  <c r="L86" i="3"/>
  <c r="K86" i="3"/>
  <c r="J86" i="3"/>
  <c r="I86" i="3"/>
  <c r="H86" i="3"/>
  <c r="G86" i="3"/>
  <c r="F86" i="3"/>
  <c r="E86" i="3"/>
  <c r="D86" i="3"/>
  <c r="C86" i="3"/>
  <c r="B86" i="3"/>
  <c r="N85" i="3"/>
  <c r="M85" i="3"/>
  <c r="L85" i="3"/>
  <c r="K85" i="3"/>
  <c r="J85" i="3"/>
  <c r="I85" i="3"/>
  <c r="H85" i="3"/>
  <c r="G85" i="3"/>
  <c r="F85" i="3"/>
  <c r="E85" i="3"/>
  <c r="D85" i="3"/>
  <c r="C85" i="3"/>
  <c r="B85" i="3"/>
  <c r="N84" i="3"/>
  <c r="M84" i="3"/>
  <c r="L84" i="3"/>
  <c r="K84" i="3"/>
  <c r="J84" i="3"/>
  <c r="I84" i="3"/>
  <c r="H84" i="3"/>
  <c r="G84" i="3"/>
  <c r="F84" i="3"/>
  <c r="E84" i="3"/>
  <c r="D84" i="3"/>
  <c r="C84" i="3"/>
  <c r="B84" i="3"/>
  <c r="N83" i="3"/>
  <c r="M83" i="3"/>
  <c r="L83" i="3"/>
  <c r="K83" i="3"/>
  <c r="J83" i="3"/>
  <c r="I83" i="3"/>
  <c r="H83" i="3"/>
  <c r="G83" i="3"/>
  <c r="F83" i="3"/>
  <c r="E83" i="3"/>
  <c r="D83" i="3"/>
  <c r="C83" i="3"/>
  <c r="B83" i="3"/>
  <c r="N82" i="3"/>
  <c r="M82" i="3"/>
  <c r="L82" i="3"/>
  <c r="K82" i="3"/>
  <c r="J82" i="3"/>
  <c r="I82" i="3"/>
  <c r="H82" i="3"/>
  <c r="G82" i="3"/>
  <c r="F82" i="3"/>
  <c r="E82" i="3"/>
  <c r="D82" i="3"/>
  <c r="C82" i="3"/>
  <c r="B82" i="3"/>
  <c r="N81" i="3"/>
  <c r="M81" i="3"/>
  <c r="L81" i="3"/>
  <c r="K81" i="3"/>
  <c r="J81" i="3"/>
  <c r="I81" i="3"/>
  <c r="H81" i="3"/>
  <c r="G81" i="3"/>
  <c r="F81" i="3"/>
  <c r="E81" i="3"/>
  <c r="D81" i="3"/>
  <c r="C81" i="3"/>
  <c r="B81" i="3"/>
  <c r="N80" i="3"/>
  <c r="M80" i="3"/>
  <c r="L80" i="3"/>
  <c r="K80" i="3"/>
  <c r="J80" i="3"/>
  <c r="I80" i="3"/>
  <c r="H80" i="3"/>
  <c r="G80" i="3"/>
  <c r="F80" i="3"/>
  <c r="E80" i="3"/>
  <c r="D80" i="3"/>
  <c r="C80" i="3"/>
  <c r="B80" i="3"/>
  <c r="N79" i="3"/>
  <c r="M79" i="3"/>
  <c r="L79" i="3"/>
  <c r="K79" i="3"/>
  <c r="J79" i="3"/>
  <c r="I79" i="3"/>
  <c r="H79" i="3"/>
  <c r="G79" i="3"/>
  <c r="F79" i="3"/>
  <c r="E79" i="3"/>
  <c r="D79" i="3"/>
  <c r="C79" i="3"/>
  <c r="B79" i="3"/>
  <c r="N78" i="3"/>
  <c r="M78" i="3"/>
  <c r="L78" i="3"/>
  <c r="K78" i="3"/>
  <c r="J78" i="3"/>
  <c r="I78" i="3"/>
  <c r="H78" i="3"/>
  <c r="G78" i="3"/>
  <c r="F78" i="3"/>
  <c r="E78" i="3"/>
  <c r="D78" i="3"/>
  <c r="C78" i="3"/>
  <c r="B78" i="3"/>
  <c r="N77" i="3"/>
  <c r="M77" i="3"/>
  <c r="L77" i="3"/>
  <c r="K77" i="3"/>
  <c r="J77" i="3"/>
  <c r="I77" i="3"/>
  <c r="H77" i="3"/>
  <c r="G77" i="3"/>
  <c r="F77" i="3"/>
  <c r="E77" i="3"/>
  <c r="D77" i="3"/>
  <c r="C77" i="3"/>
  <c r="B77" i="3"/>
  <c r="N76" i="3"/>
  <c r="M76" i="3"/>
  <c r="L76" i="3"/>
  <c r="K76" i="3"/>
  <c r="J76" i="3"/>
  <c r="I76" i="3"/>
  <c r="H76" i="3"/>
  <c r="G76" i="3"/>
  <c r="F76" i="3"/>
  <c r="E76" i="3"/>
  <c r="D76" i="3"/>
  <c r="C76" i="3"/>
  <c r="B76" i="3"/>
  <c r="N75" i="3"/>
  <c r="M75" i="3"/>
  <c r="L75" i="3"/>
  <c r="K75" i="3"/>
  <c r="J75" i="3"/>
  <c r="I75" i="3"/>
  <c r="H75" i="3"/>
  <c r="G75" i="3"/>
  <c r="F75" i="3"/>
  <c r="E75" i="3"/>
  <c r="D75" i="3"/>
  <c r="C75" i="3"/>
  <c r="B75" i="3"/>
  <c r="N74" i="3"/>
  <c r="M74" i="3"/>
  <c r="L74" i="3"/>
  <c r="K74" i="3"/>
  <c r="J74" i="3"/>
  <c r="I74" i="3"/>
  <c r="H74" i="3"/>
  <c r="G74" i="3"/>
  <c r="F74" i="3"/>
  <c r="E74" i="3"/>
  <c r="D74" i="3"/>
  <c r="C74" i="3"/>
  <c r="B74" i="3"/>
  <c r="N73" i="3"/>
  <c r="M73" i="3"/>
  <c r="L73" i="3"/>
  <c r="K73" i="3"/>
  <c r="J73" i="3"/>
  <c r="I73" i="3"/>
  <c r="H73" i="3"/>
  <c r="G73" i="3"/>
  <c r="F73" i="3"/>
  <c r="E73" i="3"/>
  <c r="D73" i="3"/>
  <c r="C73" i="3"/>
  <c r="B73" i="3"/>
  <c r="N72" i="3"/>
  <c r="M72" i="3"/>
  <c r="L72" i="3"/>
  <c r="K72" i="3"/>
  <c r="J72" i="3"/>
  <c r="I72" i="3"/>
  <c r="H72" i="3"/>
  <c r="G72" i="3"/>
  <c r="F72" i="3"/>
  <c r="E72" i="3"/>
  <c r="D72" i="3"/>
  <c r="C72" i="3"/>
  <c r="B72" i="3"/>
  <c r="N71" i="3"/>
  <c r="M71" i="3"/>
  <c r="L71" i="3"/>
  <c r="K71" i="3"/>
  <c r="J71" i="3"/>
  <c r="I71" i="3"/>
  <c r="H71" i="3"/>
  <c r="G71" i="3"/>
  <c r="F71" i="3"/>
  <c r="E71" i="3"/>
  <c r="D71" i="3"/>
  <c r="C71" i="3"/>
  <c r="B71" i="3"/>
  <c r="N70" i="3"/>
  <c r="M70" i="3"/>
  <c r="L70" i="3"/>
  <c r="K70" i="3"/>
  <c r="J70" i="3"/>
  <c r="I70" i="3"/>
  <c r="H70" i="3"/>
  <c r="G70" i="3"/>
  <c r="F70" i="3"/>
  <c r="E70" i="3"/>
  <c r="D70" i="3"/>
  <c r="C70" i="3"/>
  <c r="B70" i="3"/>
  <c r="N69" i="3"/>
  <c r="M69" i="3"/>
  <c r="L69" i="3"/>
  <c r="K69" i="3"/>
  <c r="J69" i="3"/>
  <c r="I69" i="3"/>
  <c r="H69" i="3"/>
  <c r="G69" i="3"/>
  <c r="F69" i="3"/>
  <c r="E69" i="3"/>
  <c r="D69" i="3"/>
  <c r="C69" i="3"/>
  <c r="B69" i="3"/>
  <c r="N68" i="3"/>
  <c r="M68" i="3"/>
  <c r="L68" i="3"/>
  <c r="K68" i="3"/>
  <c r="J68" i="3"/>
  <c r="I68" i="3"/>
  <c r="H68" i="3"/>
  <c r="G68" i="3"/>
  <c r="F68" i="3"/>
  <c r="E68" i="3"/>
  <c r="D68" i="3"/>
  <c r="C68" i="3"/>
  <c r="B68" i="3"/>
  <c r="N67" i="3"/>
  <c r="M67" i="3"/>
  <c r="L67" i="3"/>
  <c r="K67" i="3"/>
  <c r="J67" i="3"/>
  <c r="I67" i="3"/>
  <c r="H67" i="3"/>
  <c r="G67" i="3"/>
  <c r="F67" i="3"/>
  <c r="E67" i="3"/>
  <c r="D67" i="3"/>
  <c r="C67" i="3"/>
  <c r="B67" i="3"/>
  <c r="N66" i="3"/>
  <c r="M66" i="3"/>
  <c r="L66" i="3"/>
  <c r="K66" i="3"/>
  <c r="J66" i="3"/>
  <c r="I66" i="3"/>
  <c r="H66" i="3"/>
  <c r="G66" i="3"/>
  <c r="F66" i="3"/>
  <c r="E66" i="3"/>
  <c r="D66" i="3"/>
  <c r="C66" i="3"/>
  <c r="B66" i="3"/>
  <c r="N65" i="3"/>
  <c r="M65" i="3"/>
  <c r="L65" i="3"/>
  <c r="K65" i="3"/>
  <c r="J65" i="3"/>
  <c r="I65" i="3"/>
  <c r="H65" i="3"/>
  <c r="G65" i="3"/>
  <c r="F65" i="3"/>
  <c r="E65" i="3"/>
  <c r="D65" i="3"/>
  <c r="C65" i="3"/>
  <c r="B65" i="3"/>
  <c r="N64" i="3"/>
  <c r="M64" i="3"/>
  <c r="L64" i="3"/>
  <c r="K64" i="3"/>
  <c r="J64" i="3"/>
  <c r="I64" i="3"/>
  <c r="H64" i="3"/>
  <c r="G64" i="3"/>
  <c r="F64" i="3"/>
  <c r="E64" i="3"/>
  <c r="D64" i="3"/>
  <c r="C64" i="3"/>
  <c r="B64" i="3"/>
  <c r="N63" i="3"/>
  <c r="M63" i="3"/>
  <c r="L63" i="3"/>
  <c r="K63" i="3"/>
  <c r="J63" i="3"/>
  <c r="I63" i="3"/>
  <c r="H63" i="3"/>
  <c r="G63" i="3"/>
  <c r="F63" i="3"/>
  <c r="E63" i="3"/>
  <c r="D63" i="3"/>
  <c r="C63" i="3"/>
  <c r="B63" i="3"/>
  <c r="N62" i="3"/>
  <c r="M62" i="3"/>
  <c r="L62" i="3"/>
  <c r="K62" i="3"/>
  <c r="J62" i="3"/>
  <c r="I62" i="3"/>
  <c r="H62" i="3"/>
  <c r="G62" i="3"/>
  <c r="F62" i="3"/>
  <c r="E62" i="3"/>
  <c r="D62" i="3"/>
  <c r="C62" i="3"/>
  <c r="B62" i="3"/>
  <c r="N61" i="3"/>
  <c r="M61" i="3"/>
  <c r="L61" i="3"/>
  <c r="K61" i="3"/>
  <c r="J61" i="3"/>
  <c r="I61" i="3"/>
  <c r="H61" i="3"/>
  <c r="G61" i="3"/>
  <c r="F61" i="3"/>
  <c r="E61" i="3"/>
  <c r="D61" i="3"/>
  <c r="C61" i="3"/>
  <c r="B61" i="3"/>
  <c r="N60" i="3"/>
  <c r="M60" i="3"/>
  <c r="L60" i="3"/>
  <c r="K60" i="3"/>
  <c r="J60" i="3"/>
  <c r="I60" i="3"/>
  <c r="H60" i="3"/>
  <c r="G60" i="3"/>
  <c r="F60" i="3"/>
  <c r="E60" i="3"/>
  <c r="D60" i="3"/>
  <c r="C60" i="3"/>
  <c r="B60" i="3"/>
  <c r="N59" i="3"/>
  <c r="M59" i="3"/>
  <c r="L59" i="3"/>
  <c r="K59" i="3"/>
  <c r="J59" i="3"/>
  <c r="I59" i="3"/>
  <c r="H59" i="3"/>
  <c r="G59" i="3"/>
  <c r="F59" i="3"/>
  <c r="E59" i="3"/>
  <c r="D59" i="3"/>
  <c r="C59" i="3"/>
  <c r="B59" i="3"/>
  <c r="N58" i="3"/>
  <c r="M58" i="3"/>
  <c r="L58" i="3"/>
  <c r="K58" i="3"/>
  <c r="J58" i="3"/>
  <c r="I58" i="3"/>
  <c r="H58" i="3"/>
  <c r="G58" i="3"/>
  <c r="F58" i="3"/>
  <c r="E58" i="3"/>
  <c r="D58" i="3"/>
  <c r="C58" i="3"/>
  <c r="B58" i="3"/>
  <c r="N57" i="3"/>
  <c r="M57" i="3"/>
  <c r="L57" i="3"/>
  <c r="K57" i="3"/>
  <c r="J57" i="3"/>
  <c r="I57" i="3"/>
  <c r="H57" i="3"/>
  <c r="G57" i="3"/>
  <c r="F57" i="3"/>
  <c r="E57" i="3"/>
  <c r="D57" i="3"/>
  <c r="C57" i="3"/>
  <c r="B57" i="3"/>
  <c r="N56" i="3"/>
  <c r="M56" i="3"/>
  <c r="L56" i="3"/>
  <c r="K56" i="3"/>
  <c r="J56" i="3"/>
  <c r="I56" i="3"/>
  <c r="H56" i="3"/>
  <c r="G56" i="3"/>
  <c r="F56" i="3"/>
  <c r="E56" i="3"/>
  <c r="D56" i="3"/>
  <c r="C56" i="3"/>
  <c r="B56" i="3"/>
  <c r="N55" i="3"/>
  <c r="M55" i="3"/>
  <c r="L55" i="3"/>
  <c r="K55" i="3"/>
  <c r="J55" i="3"/>
  <c r="I55" i="3"/>
  <c r="H55" i="3"/>
  <c r="G55" i="3"/>
  <c r="F55" i="3"/>
  <c r="E55" i="3"/>
  <c r="D55" i="3"/>
  <c r="C55" i="3"/>
  <c r="B55" i="3"/>
  <c r="N54" i="3"/>
  <c r="M54" i="3"/>
  <c r="L54" i="3"/>
  <c r="K54" i="3"/>
  <c r="J54" i="3"/>
  <c r="I54" i="3"/>
  <c r="H54" i="3"/>
  <c r="G54" i="3"/>
  <c r="F54" i="3"/>
  <c r="E54" i="3"/>
  <c r="D54" i="3"/>
  <c r="C54" i="3"/>
  <c r="B54" i="3"/>
  <c r="N53" i="3"/>
  <c r="M53" i="3"/>
  <c r="L53" i="3"/>
  <c r="K53" i="3"/>
  <c r="J53" i="3"/>
  <c r="I53" i="3"/>
  <c r="H53" i="3"/>
  <c r="G53" i="3"/>
  <c r="F53" i="3"/>
  <c r="E53" i="3"/>
  <c r="D53" i="3"/>
  <c r="C53" i="3"/>
  <c r="B53" i="3"/>
  <c r="N52" i="3"/>
  <c r="M52" i="3"/>
  <c r="L52" i="3"/>
  <c r="K52" i="3"/>
  <c r="J52" i="3"/>
  <c r="I52" i="3"/>
  <c r="H52" i="3"/>
  <c r="G52" i="3"/>
  <c r="F52" i="3"/>
  <c r="E52" i="3"/>
  <c r="D52" i="3"/>
  <c r="C52" i="3"/>
  <c r="B52" i="3"/>
  <c r="N51" i="3"/>
  <c r="M51" i="3"/>
  <c r="L51" i="3"/>
  <c r="K51" i="3"/>
  <c r="J51" i="3"/>
  <c r="I51" i="3"/>
  <c r="H51" i="3"/>
  <c r="G51" i="3"/>
  <c r="F51" i="3"/>
  <c r="E51" i="3"/>
  <c r="D51" i="3"/>
  <c r="C51" i="3"/>
  <c r="B51" i="3"/>
  <c r="N50" i="3"/>
  <c r="M50" i="3"/>
  <c r="L50" i="3"/>
  <c r="K50" i="3"/>
  <c r="J50" i="3"/>
  <c r="I50" i="3"/>
  <c r="H50" i="3"/>
  <c r="G50" i="3"/>
  <c r="F50" i="3"/>
  <c r="E50" i="3"/>
  <c r="D50" i="3"/>
  <c r="C50" i="3"/>
  <c r="B50" i="3"/>
  <c r="N49" i="3"/>
  <c r="M49" i="3"/>
  <c r="L49" i="3"/>
  <c r="K49" i="3"/>
  <c r="J49" i="3"/>
  <c r="I49" i="3"/>
  <c r="H49" i="3"/>
  <c r="G49" i="3"/>
  <c r="F49" i="3"/>
  <c r="E49" i="3"/>
  <c r="D49" i="3"/>
  <c r="C49" i="3"/>
  <c r="B49" i="3"/>
  <c r="N48" i="3"/>
  <c r="M48" i="3"/>
  <c r="L48" i="3"/>
  <c r="K48" i="3"/>
  <c r="J48" i="3"/>
  <c r="I48" i="3"/>
  <c r="H48" i="3"/>
  <c r="G48" i="3"/>
  <c r="F48" i="3"/>
  <c r="E48" i="3"/>
  <c r="D48" i="3"/>
  <c r="C48" i="3"/>
  <c r="B48" i="3"/>
  <c r="N47" i="3"/>
  <c r="M47" i="3"/>
  <c r="L47" i="3"/>
  <c r="K47" i="3"/>
  <c r="J47" i="3"/>
  <c r="I47" i="3"/>
  <c r="H47" i="3"/>
  <c r="G47" i="3"/>
  <c r="F47" i="3"/>
  <c r="E47" i="3"/>
  <c r="D47" i="3"/>
  <c r="C47" i="3"/>
  <c r="B47" i="3"/>
  <c r="N46" i="3"/>
  <c r="M46" i="3"/>
  <c r="L46" i="3"/>
  <c r="K46" i="3"/>
  <c r="J46" i="3"/>
  <c r="I46" i="3"/>
  <c r="H46" i="3"/>
  <c r="G46" i="3"/>
  <c r="F46" i="3"/>
  <c r="E46" i="3"/>
  <c r="D46" i="3"/>
  <c r="C46" i="3"/>
  <c r="B46" i="3"/>
  <c r="N45" i="3"/>
  <c r="M45" i="3"/>
  <c r="L45" i="3"/>
  <c r="K45" i="3"/>
  <c r="J45" i="3"/>
  <c r="I45" i="3"/>
  <c r="H45" i="3"/>
  <c r="G45" i="3"/>
  <c r="F45" i="3"/>
  <c r="E45" i="3"/>
  <c r="D45" i="3"/>
  <c r="C45" i="3"/>
  <c r="B45" i="3"/>
  <c r="N44" i="3"/>
  <c r="M44" i="3"/>
  <c r="L44" i="3"/>
  <c r="K44" i="3"/>
  <c r="J44" i="3"/>
  <c r="I44" i="3"/>
  <c r="H44" i="3"/>
  <c r="G44" i="3"/>
  <c r="F44" i="3"/>
  <c r="E44" i="3"/>
  <c r="D44" i="3"/>
  <c r="C44" i="3"/>
  <c r="B44" i="3"/>
  <c r="N43" i="3"/>
  <c r="M43" i="3"/>
  <c r="L43" i="3"/>
  <c r="K43" i="3"/>
  <c r="J43" i="3"/>
  <c r="I43" i="3"/>
  <c r="H43" i="3"/>
  <c r="G43" i="3"/>
  <c r="F43" i="3"/>
  <c r="E43" i="3"/>
  <c r="D43" i="3"/>
  <c r="C43" i="3"/>
  <c r="B43" i="3"/>
  <c r="N42" i="3"/>
  <c r="M42" i="3"/>
  <c r="L42" i="3"/>
  <c r="K42" i="3"/>
  <c r="J42" i="3"/>
  <c r="I42" i="3"/>
  <c r="H42" i="3"/>
  <c r="G42" i="3"/>
  <c r="F42" i="3"/>
  <c r="E42" i="3"/>
  <c r="D42" i="3"/>
  <c r="C42" i="3"/>
  <c r="B42" i="3"/>
  <c r="N41" i="3"/>
  <c r="M41" i="3"/>
  <c r="L41" i="3"/>
  <c r="K41" i="3"/>
  <c r="J41" i="3"/>
  <c r="I41" i="3"/>
  <c r="H41" i="3"/>
  <c r="G41" i="3"/>
  <c r="F41" i="3"/>
  <c r="E41" i="3"/>
  <c r="D41" i="3"/>
  <c r="C41" i="3"/>
  <c r="B41" i="3"/>
  <c r="N40" i="3"/>
  <c r="M40" i="3"/>
  <c r="L40" i="3"/>
  <c r="K40" i="3"/>
  <c r="J40" i="3"/>
  <c r="I40" i="3"/>
  <c r="H40" i="3"/>
  <c r="G40" i="3"/>
  <c r="F40" i="3"/>
  <c r="E40" i="3"/>
  <c r="D40" i="3"/>
  <c r="C40" i="3"/>
  <c r="B40" i="3"/>
  <c r="N39" i="3"/>
  <c r="M39" i="3"/>
  <c r="L39" i="3"/>
  <c r="K39" i="3"/>
  <c r="J39" i="3"/>
  <c r="I39" i="3"/>
  <c r="H39" i="3"/>
  <c r="G39" i="3"/>
  <c r="F39" i="3"/>
  <c r="E39" i="3"/>
  <c r="D39" i="3"/>
  <c r="C39" i="3"/>
  <c r="B39" i="3"/>
  <c r="N38" i="3"/>
  <c r="M38" i="3"/>
  <c r="L38" i="3"/>
  <c r="K38" i="3"/>
  <c r="J38" i="3"/>
  <c r="I38" i="3"/>
  <c r="H38" i="3"/>
  <c r="G38" i="3"/>
  <c r="F38" i="3"/>
  <c r="E38" i="3"/>
  <c r="D38" i="3"/>
  <c r="C38" i="3"/>
  <c r="B38" i="3"/>
  <c r="N37" i="3"/>
  <c r="M37" i="3"/>
  <c r="L37" i="3"/>
  <c r="K37" i="3"/>
  <c r="J37" i="3"/>
  <c r="I37" i="3"/>
  <c r="H37" i="3"/>
  <c r="G37" i="3"/>
  <c r="F37" i="3"/>
  <c r="E37" i="3"/>
  <c r="D37" i="3"/>
  <c r="C37" i="3"/>
  <c r="B37" i="3"/>
  <c r="N36" i="3"/>
  <c r="M36" i="3"/>
  <c r="L36" i="3"/>
  <c r="K36" i="3"/>
  <c r="J36" i="3"/>
  <c r="I36" i="3"/>
  <c r="H36" i="3"/>
  <c r="G36" i="3"/>
  <c r="F36" i="3"/>
  <c r="E36" i="3"/>
  <c r="D36" i="3"/>
  <c r="C36" i="3"/>
  <c r="B36" i="3"/>
  <c r="N35" i="3"/>
  <c r="M35" i="3"/>
  <c r="L35" i="3"/>
  <c r="K35" i="3"/>
  <c r="J35" i="3"/>
  <c r="I35" i="3"/>
  <c r="H35" i="3"/>
  <c r="G35" i="3"/>
  <c r="F35" i="3"/>
  <c r="E35" i="3"/>
  <c r="D35" i="3"/>
  <c r="C35" i="3"/>
  <c r="B35" i="3"/>
  <c r="N34" i="3"/>
  <c r="M34" i="3"/>
  <c r="L34" i="3"/>
  <c r="K34" i="3"/>
  <c r="J34" i="3"/>
  <c r="I34" i="3"/>
  <c r="H34" i="3"/>
  <c r="G34" i="3"/>
  <c r="F34" i="3"/>
  <c r="E34" i="3"/>
  <c r="D34" i="3"/>
  <c r="C34" i="3"/>
  <c r="B34" i="3"/>
  <c r="N33" i="3"/>
  <c r="M33" i="3"/>
  <c r="L33" i="3"/>
  <c r="K33" i="3"/>
  <c r="J33" i="3"/>
  <c r="I33" i="3"/>
  <c r="H33" i="3"/>
  <c r="G33" i="3"/>
  <c r="F33" i="3"/>
  <c r="E33" i="3"/>
  <c r="D33" i="3"/>
  <c r="C33" i="3"/>
  <c r="B33" i="3"/>
  <c r="N32" i="3"/>
  <c r="M32" i="3"/>
  <c r="L32" i="3"/>
  <c r="K32" i="3"/>
  <c r="J32" i="3"/>
  <c r="I32" i="3"/>
  <c r="H32" i="3"/>
  <c r="G32" i="3"/>
  <c r="F32" i="3"/>
  <c r="E32" i="3"/>
  <c r="D32" i="3"/>
  <c r="C32" i="3"/>
  <c r="B32" i="3"/>
  <c r="N31" i="3"/>
  <c r="M31" i="3"/>
  <c r="L31" i="3"/>
  <c r="K31" i="3"/>
  <c r="J31" i="3"/>
  <c r="I31" i="3"/>
  <c r="H31" i="3"/>
  <c r="G31" i="3"/>
  <c r="F31" i="3"/>
  <c r="E31" i="3"/>
  <c r="D31" i="3"/>
  <c r="C31" i="3"/>
  <c r="B31" i="3"/>
  <c r="N30" i="3"/>
  <c r="M30" i="3"/>
  <c r="L30" i="3"/>
  <c r="K30" i="3"/>
  <c r="J30" i="3"/>
  <c r="I30" i="3"/>
  <c r="H30" i="3"/>
  <c r="G30" i="3"/>
  <c r="F30" i="3"/>
  <c r="E30" i="3"/>
  <c r="D30" i="3"/>
  <c r="C30" i="3"/>
  <c r="B30" i="3"/>
  <c r="N29" i="3"/>
  <c r="M29" i="3"/>
  <c r="L29" i="3"/>
  <c r="K29" i="3"/>
  <c r="J29" i="3"/>
  <c r="I29" i="3"/>
  <c r="H29" i="3"/>
  <c r="G29" i="3"/>
  <c r="F29" i="3"/>
  <c r="E29" i="3"/>
  <c r="D29" i="3"/>
  <c r="C29" i="3"/>
  <c r="B29" i="3"/>
  <c r="N28" i="3"/>
  <c r="M28" i="3"/>
  <c r="L28" i="3"/>
  <c r="K28" i="3"/>
  <c r="J28" i="3"/>
  <c r="I28" i="3"/>
  <c r="H28" i="3"/>
  <c r="G28" i="3"/>
  <c r="F28" i="3"/>
  <c r="E28" i="3"/>
  <c r="D28" i="3"/>
  <c r="C28" i="3"/>
  <c r="B28" i="3"/>
  <c r="N27" i="3"/>
  <c r="M27" i="3"/>
  <c r="L27" i="3"/>
  <c r="K27" i="3"/>
  <c r="J27" i="3"/>
  <c r="I27" i="3"/>
  <c r="H27" i="3"/>
  <c r="G27" i="3"/>
  <c r="F27" i="3"/>
  <c r="E27" i="3"/>
  <c r="D27" i="3"/>
  <c r="C27" i="3"/>
  <c r="B27" i="3"/>
  <c r="N26" i="3"/>
  <c r="M26" i="3"/>
  <c r="L26" i="3"/>
  <c r="K26" i="3"/>
  <c r="J26" i="3"/>
  <c r="I26" i="3"/>
  <c r="H26" i="3"/>
  <c r="G26" i="3"/>
  <c r="F26" i="3"/>
  <c r="E26" i="3"/>
  <c r="D26" i="3"/>
  <c r="C26" i="3"/>
  <c r="B26" i="3"/>
  <c r="N25" i="3"/>
  <c r="M25" i="3"/>
  <c r="L25" i="3"/>
  <c r="K25" i="3"/>
  <c r="J25" i="3"/>
  <c r="I25" i="3"/>
  <c r="H25" i="3"/>
  <c r="G25" i="3"/>
  <c r="F25" i="3"/>
  <c r="E25" i="3"/>
  <c r="D25" i="3"/>
  <c r="C25" i="3"/>
  <c r="B25" i="3"/>
  <c r="N24" i="3"/>
  <c r="M24" i="3"/>
  <c r="L24" i="3"/>
  <c r="K24" i="3"/>
  <c r="J24" i="3"/>
  <c r="I24" i="3"/>
  <c r="H24" i="3"/>
  <c r="G24" i="3"/>
  <c r="F24" i="3"/>
  <c r="E24" i="3"/>
  <c r="D24" i="3"/>
  <c r="C24" i="3"/>
  <c r="B24" i="3"/>
  <c r="N23" i="3"/>
  <c r="M23" i="3"/>
  <c r="L23" i="3"/>
  <c r="K23" i="3"/>
  <c r="J23" i="3"/>
  <c r="I23" i="3"/>
  <c r="H23" i="3"/>
  <c r="G23" i="3"/>
  <c r="F23" i="3"/>
  <c r="E23" i="3"/>
  <c r="D23" i="3"/>
  <c r="C23" i="3"/>
  <c r="B23" i="3"/>
  <c r="N22" i="3"/>
  <c r="M22" i="3"/>
  <c r="L22" i="3"/>
  <c r="K22" i="3"/>
  <c r="J22" i="3"/>
  <c r="I22" i="3"/>
  <c r="H22" i="3"/>
  <c r="G22" i="3"/>
  <c r="F22" i="3"/>
  <c r="E22" i="3"/>
  <c r="D22" i="3"/>
  <c r="C22" i="3"/>
  <c r="B22" i="3"/>
  <c r="N21" i="3"/>
  <c r="M21" i="3"/>
  <c r="L21" i="3"/>
  <c r="K21" i="3"/>
  <c r="J21" i="3"/>
  <c r="I21" i="3"/>
  <c r="H21" i="3"/>
  <c r="G21" i="3"/>
  <c r="F21" i="3"/>
  <c r="E21" i="3"/>
  <c r="D21" i="3"/>
  <c r="C21" i="3"/>
  <c r="B21" i="3"/>
  <c r="N20" i="3"/>
  <c r="M20" i="3"/>
  <c r="L20" i="3"/>
  <c r="K20" i="3"/>
  <c r="J20" i="3"/>
  <c r="I20" i="3"/>
  <c r="H20" i="3"/>
  <c r="G20" i="3"/>
  <c r="F20" i="3"/>
  <c r="E20" i="3"/>
  <c r="D20" i="3"/>
  <c r="C20" i="3"/>
  <c r="B20" i="3"/>
  <c r="N19" i="3"/>
  <c r="M19" i="3"/>
  <c r="L19" i="3"/>
  <c r="K19" i="3"/>
  <c r="J19" i="3"/>
  <c r="I19" i="3"/>
  <c r="H19" i="3"/>
  <c r="G19" i="3"/>
  <c r="F19" i="3"/>
  <c r="E19" i="3"/>
  <c r="D19" i="3"/>
  <c r="C19" i="3"/>
  <c r="B19" i="3"/>
  <c r="N18" i="3"/>
  <c r="M18" i="3"/>
  <c r="L18" i="3"/>
  <c r="K18" i="3"/>
  <c r="J18" i="3"/>
  <c r="I18" i="3"/>
  <c r="H18" i="3"/>
  <c r="G18" i="3"/>
  <c r="F18" i="3"/>
  <c r="E18" i="3"/>
  <c r="D18" i="3"/>
  <c r="C18" i="3"/>
  <c r="B18" i="3"/>
  <c r="N17" i="3"/>
  <c r="M17" i="3"/>
  <c r="L17" i="3"/>
  <c r="K17" i="3"/>
  <c r="J17" i="3"/>
  <c r="I17" i="3"/>
  <c r="H17" i="3"/>
  <c r="G17" i="3"/>
  <c r="F17" i="3"/>
  <c r="E17" i="3"/>
  <c r="D17" i="3"/>
  <c r="C17" i="3"/>
  <c r="B17" i="3"/>
  <c r="N16" i="3"/>
  <c r="M16" i="3"/>
  <c r="L16" i="3"/>
  <c r="K16" i="3"/>
  <c r="J16" i="3"/>
  <c r="I16" i="3"/>
  <c r="H16" i="3"/>
  <c r="G16" i="3"/>
  <c r="F16" i="3"/>
  <c r="E16" i="3"/>
  <c r="D16" i="3"/>
  <c r="C16" i="3"/>
  <c r="B16" i="3"/>
  <c r="N15" i="3"/>
  <c r="M15" i="3"/>
  <c r="L15" i="3"/>
  <c r="K15" i="3"/>
  <c r="J15" i="3"/>
  <c r="I15" i="3"/>
  <c r="H15" i="3"/>
  <c r="G15" i="3"/>
  <c r="F15" i="3"/>
  <c r="E15" i="3"/>
  <c r="D15" i="3"/>
  <c r="C15" i="3"/>
  <c r="B15" i="3"/>
  <c r="N14" i="3"/>
  <c r="M14" i="3"/>
  <c r="L14" i="3"/>
  <c r="K14" i="3"/>
  <c r="J14" i="3"/>
  <c r="I14" i="3"/>
  <c r="H14" i="3"/>
  <c r="G14" i="3"/>
  <c r="F14" i="3"/>
  <c r="E14" i="3"/>
  <c r="D14" i="3"/>
  <c r="C14" i="3"/>
  <c r="B14" i="3"/>
  <c r="N13" i="3"/>
  <c r="M13" i="3"/>
  <c r="L13" i="3"/>
  <c r="K13" i="3"/>
  <c r="J13" i="3"/>
  <c r="I13" i="3"/>
  <c r="H13" i="3"/>
  <c r="G13" i="3"/>
  <c r="F13" i="3"/>
  <c r="E13" i="3"/>
  <c r="D13" i="3"/>
  <c r="C13" i="3"/>
  <c r="B13" i="3"/>
  <c r="N12" i="3"/>
  <c r="M12" i="3"/>
  <c r="L12" i="3"/>
  <c r="K12" i="3"/>
  <c r="J12" i="3"/>
  <c r="I12" i="3"/>
  <c r="H12" i="3"/>
  <c r="G12" i="3"/>
  <c r="F12" i="3"/>
  <c r="E12" i="3"/>
  <c r="D12" i="3"/>
  <c r="C12" i="3"/>
  <c r="B12" i="3"/>
  <c r="N11" i="3"/>
  <c r="M11" i="3"/>
  <c r="L11" i="3"/>
  <c r="K11" i="3"/>
  <c r="J11" i="3"/>
  <c r="I11" i="3"/>
  <c r="H11" i="3"/>
  <c r="G11" i="3"/>
  <c r="F11" i="3"/>
  <c r="E11" i="3"/>
  <c r="D11" i="3"/>
  <c r="C11" i="3"/>
  <c r="B11" i="3"/>
  <c r="N10" i="3"/>
  <c r="M10" i="3"/>
  <c r="L10" i="3"/>
  <c r="K10" i="3"/>
  <c r="J10" i="3"/>
  <c r="I10" i="3"/>
  <c r="H10" i="3"/>
  <c r="G10" i="3"/>
  <c r="F10" i="3"/>
  <c r="E10" i="3"/>
  <c r="D10" i="3"/>
  <c r="C10" i="3"/>
  <c r="B10" i="3"/>
  <c r="N9" i="3"/>
  <c r="M9" i="3"/>
  <c r="L9" i="3"/>
  <c r="K9" i="3"/>
  <c r="J9" i="3"/>
  <c r="I9" i="3"/>
  <c r="H9" i="3"/>
  <c r="G9" i="3"/>
  <c r="F9" i="3"/>
  <c r="E9" i="3"/>
  <c r="D9" i="3"/>
  <c r="C9" i="3"/>
  <c r="B9" i="3"/>
  <c r="N8" i="3"/>
  <c r="M8" i="3"/>
  <c r="L8" i="3"/>
  <c r="K8" i="3"/>
  <c r="J8" i="3"/>
  <c r="I8" i="3"/>
  <c r="H8" i="3"/>
  <c r="G8" i="3"/>
  <c r="F8" i="3"/>
  <c r="E8" i="3"/>
  <c r="D8" i="3"/>
  <c r="C8" i="3"/>
  <c r="B8" i="3"/>
  <c r="N7" i="3"/>
  <c r="M7" i="3"/>
  <c r="L7" i="3"/>
  <c r="K7" i="3"/>
  <c r="J7" i="3"/>
  <c r="I7" i="3"/>
  <c r="H7" i="3"/>
  <c r="G7" i="3"/>
  <c r="F7" i="3"/>
  <c r="E7" i="3"/>
  <c r="D7" i="3"/>
  <c r="C7" i="3"/>
  <c r="B7" i="3"/>
  <c r="N6" i="3"/>
  <c r="M6" i="3"/>
  <c r="L6" i="3"/>
  <c r="K6" i="3"/>
  <c r="J6" i="3"/>
  <c r="I6" i="3"/>
  <c r="H6" i="3"/>
  <c r="G6" i="3"/>
  <c r="F6" i="3"/>
  <c r="E6" i="3"/>
  <c r="D6" i="3"/>
  <c r="C6" i="3"/>
  <c r="B6" i="3"/>
  <c r="A40" i="2"/>
  <c r="F40" i="2" s="1"/>
  <c r="G39" i="2"/>
  <c r="F39" i="2"/>
  <c r="E39" i="2"/>
  <c r="D39" i="2"/>
  <c r="C39" i="2"/>
  <c r="B39" i="2"/>
  <c r="A39" i="2"/>
  <c r="F38" i="2"/>
  <c r="E38" i="2"/>
  <c r="D38" i="2"/>
  <c r="C38" i="2"/>
  <c r="B38" i="2"/>
  <c r="A38" i="2"/>
  <c r="G38" i="2" s="1"/>
  <c r="A37" i="2"/>
  <c r="D37" i="2" s="1"/>
  <c r="G36" i="2"/>
  <c r="A36" i="2"/>
  <c r="B36" i="2" s="1"/>
  <c r="A35" i="2"/>
  <c r="F35" i="2" s="1"/>
  <c r="G34" i="2"/>
  <c r="F34" i="2"/>
  <c r="E34" i="2"/>
  <c r="A34" i="2"/>
  <c r="D34" i="2" s="1"/>
  <c r="A33" i="2"/>
  <c r="G33" i="2" s="1"/>
  <c r="G32" i="2"/>
  <c r="F32" i="2"/>
  <c r="E32" i="2"/>
  <c r="D32" i="2"/>
  <c r="C32" i="2"/>
  <c r="A32" i="2"/>
  <c r="B32" i="2" s="1"/>
  <c r="G31" i="2"/>
  <c r="F31" i="2"/>
  <c r="E31" i="2"/>
  <c r="D31" i="2"/>
  <c r="C31" i="2"/>
  <c r="B31" i="2"/>
  <c r="A31" i="2"/>
  <c r="A30" i="2"/>
  <c r="D30" i="2" s="1"/>
  <c r="A29" i="2"/>
  <c r="C29" i="2" s="1"/>
  <c r="A28" i="2"/>
  <c r="A27" i="2"/>
  <c r="A26" i="2"/>
  <c r="B5" i="2"/>
  <c r="F5" i="3"/>
  <c r="H5" i="3"/>
  <c r="M5" i="3"/>
  <c r="K5" i="3"/>
  <c r="I5" i="3"/>
  <c r="J5" i="3"/>
  <c r="E5" i="3"/>
  <c r="D5" i="3"/>
  <c r="C5" i="3"/>
  <c r="B5" i="3"/>
  <c r="N5" i="3"/>
  <c r="G5" i="3"/>
  <c r="I7" i="5" l="1"/>
  <c r="I7" i="4"/>
  <c r="F27" i="2"/>
  <c r="C27" i="2"/>
  <c r="B27" i="2"/>
  <c r="G27" i="2"/>
  <c r="E21" i="2"/>
  <c r="G18" i="2"/>
  <c r="C16" i="2"/>
  <c r="E13" i="2"/>
  <c r="G10" i="2"/>
  <c r="D12" i="2"/>
  <c r="E17" i="2"/>
  <c r="E14" i="2"/>
  <c r="B16" i="2"/>
  <c r="G17" i="2"/>
  <c r="F14" i="2"/>
  <c r="F19" i="2"/>
  <c r="E18" i="2"/>
  <c r="D15" i="2"/>
  <c r="G9" i="2"/>
  <c r="D20" i="2"/>
  <c r="G22" i="2"/>
  <c r="B20" i="2"/>
  <c r="D9" i="2"/>
  <c r="E22" i="2"/>
  <c r="C9" i="2"/>
  <c r="B17" i="2"/>
  <c r="B21" i="2"/>
  <c r="D18" i="2"/>
  <c r="F15" i="2"/>
  <c r="B13" i="2"/>
  <c r="D10" i="2"/>
  <c r="B10" i="2"/>
  <c r="B15" i="2"/>
  <c r="C20" i="2"/>
  <c r="D17" i="2"/>
  <c r="G20" i="2"/>
  <c r="C18" i="2"/>
  <c r="E15" i="2"/>
  <c r="G12" i="2"/>
  <c r="C10" i="2"/>
  <c r="B18" i="2"/>
  <c r="G19" i="2"/>
  <c r="F11" i="2"/>
  <c r="C15" i="2"/>
  <c r="C12" i="2"/>
  <c r="C17" i="2"/>
  <c r="D22" i="2"/>
  <c r="F9" i="2"/>
  <c r="B9" i="2"/>
  <c r="C22" i="2"/>
  <c r="E19" i="2"/>
  <c r="G16" i="2"/>
  <c r="C14" i="2"/>
  <c r="E11" i="2"/>
  <c r="B22" i="2"/>
  <c r="D19" i="2"/>
  <c r="F16" i="2"/>
  <c r="B14" i="2"/>
  <c r="D11" i="2"/>
  <c r="C19" i="2"/>
  <c r="E16" i="2"/>
  <c r="G13" i="2"/>
  <c r="F13" i="2"/>
  <c r="G15" i="2"/>
  <c r="C13" i="2"/>
  <c r="F20" i="2"/>
  <c r="E12" i="2"/>
  <c r="E9" i="2"/>
  <c r="C11" i="2"/>
  <c r="G21" i="2"/>
  <c r="F21" i="2"/>
  <c r="B19" i="2"/>
  <c r="D16" i="2"/>
  <c r="B11" i="2"/>
  <c r="D21" i="2"/>
  <c r="F18" i="2"/>
  <c r="D13" i="2"/>
  <c r="F10" i="2"/>
  <c r="C21" i="2"/>
  <c r="E10" i="2"/>
  <c r="F12" i="2"/>
  <c r="E20" i="2"/>
  <c r="G14" i="2"/>
  <c r="F22" i="2"/>
  <c r="B12" i="2"/>
  <c r="G11" i="2"/>
  <c r="D14" i="2"/>
  <c r="D5" i="2"/>
  <c r="C5" i="2"/>
  <c r="E5" i="2"/>
  <c r="G5" i="2"/>
  <c r="A5" i="2"/>
  <c r="E26" i="2"/>
  <c r="E27" i="2"/>
  <c r="D28" i="2"/>
  <c r="B28" i="2"/>
  <c r="C37" i="2"/>
  <c r="B35" i="2"/>
  <c r="G30" i="2"/>
  <c r="G35" i="2"/>
  <c r="G26" i="2"/>
  <c r="B29" i="2"/>
  <c r="F33" i="2"/>
  <c r="D29" i="2"/>
  <c r="C36" i="2"/>
  <c r="G40" i="2"/>
  <c r="E29" i="2"/>
  <c r="B34" i="2"/>
  <c r="F26" i="2"/>
  <c r="E33" i="2"/>
  <c r="D36" i="2"/>
  <c r="D27" i="2"/>
  <c r="F29" i="2"/>
  <c r="C34" i="2"/>
  <c r="E36" i="2"/>
  <c r="G29" i="2"/>
  <c r="F36" i="2"/>
  <c r="B30" i="2"/>
  <c r="C28" i="2"/>
  <c r="B26" i="2"/>
  <c r="C35" i="2"/>
  <c r="E37" i="2"/>
  <c r="D35" i="2"/>
  <c r="D26" i="2"/>
  <c r="F28" i="2"/>
  <c r="C33" i="2"/>
  <c r="E35" i="2"/>
  <c r="G37" i="2"/>
  <c r="B40" i="2"/>
  <c r="C26" i="2"/>
  <c r="B33" i="2"/>
  <c r="F37" i="2"/>
  <c r="G28" i="2"/>
  <c r="D33" i="2"/>
  <c r="C40" i="2"/>
  <c r="C30" i="2"/>
  <c r="B37" i="2"/>
  <c r="E28" i="2"/>
  <c r="D40" i="2"/>
  <c r="E30" i="2"/>
  <c r="F30" i="2"/>
  <c r="E40" i="2"/>
  <c r="L5" i="3"/>
  <c r="F17" i="2" l="1"/>
  <c r="F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3" authorId="0" shapeId="0" xr:uid="{00000000-0006-0000-0300-000001000000}">
      <text>
        <r>
          <rPr>
            <sz val="10"/>
            <rFont val="Arial"/>
            <family val="2"/>
          </rPr>
          <t>Must match this tab's name exactly (e.g. RFI-002)</t>
        </r>
      </text>
    </comment>
    <comment ref="C4" authorId="0" shapeId="0" xr:uid="{00000000-0006-0000-0300-000002000000}">
      <text>
        <r>
          <rPr>
            <sz val="10"/>
            <rFont val="Arial"/>
            <family val="2"/>
          </rPr>
          <t>Pick from Projects tab</t>
        </r>
      </text>
    </comment>
    <comment ref="C5" authorId="0" shapeId="0" xr:uid="{00000000-0006-0000-0300-000003000000}">
      <text>
        <r>
          <rPr>
            <sz val="10"/>
            <rFont val="Arial"/>
            <family val="2"/>
          </rPr>
          <t>Sets the default key item headers</t>
        </r>
      </text>
    </comment>
    <comment ref="C8" authorId="0" shapeId="0" xr:uid="{00000000-0006-0000-0300-000004000000}">
      <text>
        <r>
          <rPr>
            <sz val="10"/>
            <rFont val="Arial"/>
            <family val="2"/>
          </rPr>
          <t>yyyy-mm-dd</t>
        </r>
      </text>
    </comment>
    <comment ref="C9" authorId="0" shapeId="0" xr:uid="{00000000-0006-0000-0300-000005000000}">
      <text>
        <r>
          <rPr>
            <sz val="10"/>
            <rFont val="Arial"/>
            <family val="2"/>
          </rPr>
          <t>yyyy-mm-dd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3" authorId="0" shapeId="0" xr:uid="{00000000-0006-0000-0400-000001000000}">
      <text>
        <r>
          <rPr>
            <sz val="10"/>
            <rFont val="Arial"/>
            <family val="2"/>
          </rPr>
          <t>Must match this tab's name exactly (e.g. RFI-002)</t>
        </r>
      </text>
    </comment>
    <comment ref="C4" authorId="0" shapeId="0" xr:uid="{00000000-0006-0000-0400-000002000000}">
      <text>
        <r>
          <rPr>
            <sz val="10"/>
            <rFont val="Arial"/>
            <family val="2"/>
          </rPr>
          <t>Pick from Projects tab</t>
        </r>
      </text>
    </comment>
    <comment ref="C5" authorId="0" shapeId="0" xr:uid="{00000000-0006-0000-0400-000003000000}">
      <text>
        <r>
          <rPr>
            <sz val="10"/>
            <rFont val="Arial"/>
            <family val="2"/>
          </rPr>
          <t>Sets the default key item headers</t>
        </r>
      </text>
    </comment>
    <comment ref="C8" authorId="0" shapeId="0" xr:uid="{00000000-0006-0000-0400-000004000000}">
      <text>
        <r>
          <rPr>
            <sz val="10"/>
            <rFont val="Arial"/>
            <family val="2"/>
          </rPr>
          <t>yyyy-mm-dd</t>
        </r>
      </text>
    </comment>
    <comment ref="C9" authorId="0" shapeId="0" xr:uid="{00000000-0006-0000-0400-000005000000}">
      <text>
        <r>
          <rPr>
            <sz val="10"/>
            <rFont val="Arial"/>
            <family val="2"/>
          </rPr>
          <t>yyyy-mm-dd</t>
        </r>
      </text>
    </comment>
  </commentList>
</comments>
</file>

<file path=xl/sharedStrings.xml><?xml version="1.0" encoding="utf-8"?>
<sst xmlns="http://schemas.openxmlformats.org/spreadsheetml/2006/main" count="1443" uniqueCount="782">
  <si>
    <t>RFI Tracker</t>
  </si>
  <si>
    <t>Agentic Procurement | Internal - do not share vendor data outside Agentic | Owner: Jason Knedlhans</t>
  </si>
  <si>
    <t>Version</t>
  </si>
  <si>
    <t>1.0</t>
  </si>
  <si>
    <t>Version date</t>
  </si>
  <si>
    <t>Live file</t>
  </si>
  <si>
    <t>RFI-Tracker.xlsx in the Procurement SharePoint library (AI Procurement &gt; artifacts &gt; rfi-tracker). Always open it from SharePoint; do not keep local copies.</t>
  </si>
  <si>
    <t>Status</t>
  </si>
  <si>
    <t>In review</t>
  </si>
  <si>
    <t>PURPOSE</t>
  </si>
  <si>
    <t>What</t>
  </si>
  <si>
    <t>One file for every RFI activity. Each RFI activity is its own tab, tied to one project and one vendor type, and lists the invited vendors with contacts, RFI status, last contact, qualification status, key item responses and ratings, and the next action, owner and date.</t>
  </si>
  <si>
    <t>TABS</t>
  </si>
  <si>
    <t>Dashboard</t>
  </si>
  <si>
    <t>Live totals by vendor type and by project.</t>
  </si>
  <si>
    <t>RFI Register</t>
  </si>
  <si>
    <t>Index of all RFI activities. Type the RFI ID; the rest fills from that tab.</t>
  </si>
  <si>
    <t>RFI-001</t>
  </si>
  <si>
    <t>Example RFI (BESS vendors, placeholder project). Repurpose it for the first real RFI or delete it and its Register row.</t>
  </si>
  <si>
    <t>RFI_TEMPLATE</t>
  </si>
  <si>
    <t>Blank RFI tab. Copy it for each new RFI activity; never type data into the template itself.</t>
  </si>
  <si>
    <t>Vendors</t>
  </si>
  <si>
    <t>Master vendor and contact list. RFI tabs pull contacts from here, so update contacts here only.</t>
  </si>
  <si>
    <t>Key Items</t>
  </si>
  <si>
    <t>Default 5-7 key items per vendor type (10 slots). Drives the key item headers on RFI tabs.</t>
  </si>
  <si>
    <t>Projects</t>
  </si>
  <si>
    <t>Project list for the Project dropdown. Rename the placeholders.</t>
  </si>
  <si>
    <t>Lists</t>
  </si>
  <si>
    <t>Dropdown values (statuses, ratings, owners).</t>
  </si>
  <si>
    <t>Change Log</t>
  </si>
  <si>
    <t>Record of structural changes and new RFI tabs.</t>
  </si>
  <si>
    <t>ADD A NEW RFI ACTIVITY</t>
  </si>
  <si>
    <t>1. Copy the template</t>
  </si>
  <si>
    <t>Right-click the RFI_TEMPLATE tab &gt; Move or Copy &gt; tick Create a copy &gt; OK. (Excel for the web: right-click &gt; Duplicate.)</t>
  </si>
  <si>
    <t>2. Rename the tab</t>
  </si>
  <si>
    <t>Use the next RFI ID, e.g. RFI-002. Keep it short, no spaces.</t>
  </si>
  <si>
    <t>3. Fill the header</t>
  </si>
  <si>
    <t>C3 RFI ID (same as tab name), C4 Project, C5 Vendor Type, title, owner, dates, status. Key item headers fill automatically from the vendor type.</t>
  </si>
  <si>
    <t>4. Add vendors</t>
  </si>
  <si>
    <t>Pick vendors in column A (dropdown from the Vendors tab). Add a missing vendor to the Vendors tab first.</t>
  </si>
  <si>
    <t>5. Register it</t>
  </si>
  <si>
    <t>Type the RFI ID in the next empty row of the RFI Register, then add a Change Log line.</t>
  </si>
  <si>
    <t>KEY ITEMS</t>
  </si>
  <si>
    <t>Change a header</t>
  </si>
  <si>
    <t>For this RFI only: type over the header in row 13 of the RFI tab. For all RFIs of a vendor type: edit the Key Items tab.</t>
  </si>
  <si>
    <t>Add a key item</t>
  </si>
  <si>
    <t>Type a name into a spare slot (shown as 'spare - type a name'), either on the RFI tab or on the Key Items tab.</t>
  </si>
  <si>
    <t>Rating</t>
  </si>
  <si>
    <t>Meets / Review / Risk / Fails / Not Rated. Fails and Review / Risk roll up to the tab summary, Register and Dashboard.</t>
  </si>
  <si>
    <t>CELL COLORS</t>
  </si>
  <si>
    <t>Yellow</t>
  </si>
  <si>
    <t>Enter or edit data.</t>
  </si>
  <si>
    <t>Grey</t>
  </si>
  <si>
    <t>Formula. Do not overwrite (exception: key item headers in row 13).</t>
  </si>
  <si>
    <t>Red / amber</t>
  </si>
  <si>
    <t>Overdue actions, Fails ratings, or a Register row whose tab name does not match.</t>
  </si>
  <si>
    <t>VERSION CONTROL</t>
  </si>
  <si>
    <t>One file, one name, one link. Everyone edits the SharePoint copy in place (co-authoring with AutoSave on). Do not download, edit offline and re-upload, and do not Save As a new name.</t>
  </si>
  <si>
    <t>Version history</t>
  </si>
  <si>
    <t>SharePoint keeps every saved version automatically. To see or restore: File &gt; Info &gt; Version History (desktop) or the file's ... menu &gt; Version history (SharePoint).</t>
  </si>
  <si>
    <t>Version number</t>
  </si>
  <si>
    <t>Major (2.0): structural change - new or removed columns, tabs other than new RFI tabs, formula changes. Minor (1.1): list or key item default changes, new RFI tab. Update the Version cell above and add a Change Log line for both.</t>
  </si>
  <si>
    <t>Snapshots</t>
  </si>
  <si>
    <t>Before a major version, save a dated copy to artifacts/archive/rfi-tracker/ (e.g. 2026-10-05_rfi-tracker_v1.0.xlsx).</t>
  </si>
  <si>
    <t>Data entry</t>
  </si>
  <si>
    <t>Routine updates (statuses, dates, responses) need no Change Log line; version history records them.</t>
  </si>
  <si>
    <t>DATA NOTES / RISKS</t>
  </si>
  <si>
    <t>Vendor data</t>
  </si>
  <si>
    <t>Vendors tab seeded 2026-10-05 from the vendor landscape tracker. It is AI-seeded from public sources and unverified; no named contacts yet. Mark Data Verified? = Yes once confirmed with the vendor.</t>
  </si>
  <si>
    <t>Two vendor lists</t>
  </si>
  <si>
    <t>The vendor landscape tracker also holds vendors. Treat this file's Vendors tab as the contact record for RFIs, or agree another system of record.</t>
  </si>
  <si>
    <t>Confidentiality</t>
  </si>
  <si>
    <t>Internal. Vendor responses may include pricing or confidential data; do not share outside Agentic.</t>
  </si>
  <si>
    <t>Tab names</t>
  </si>
  <si>
    <t>Register formulas find RFI tabs by name. Renaming a tab breaks its Register row (shows 'Tab not found' in red) until the RFI ID in column A is updated.</t>
  </si>
  <si>
    <t>Live totals from the RFI Register. Closed and cancelled RFIs are excluded from Active RFIs.</t>
  </si>
  <si>
    <t>Active RFIs</t>
  </si>
  <si>
    <t>Total RFIs</t>
  </si>
  <si>
    <t>Vendors invited</t>
  </si>
  <si>
    <t>RFIs sent</t>
  </si>
  <si>
    <t>Responses</t>
  </si>
  <si>
    <t>Actions overdue</t>
  </si>
  <si>
    <t>Key item fails</t>
  </si>
  <si>
    <t>By vendor type</t>
  </si>
  <si>
    <t>Vendor Type</t>
  </si>
  <si>
    <t>RFIs</t>
  </si>
  <si>
    <t>Active</t>
  </si>
  <si>
    <t>Vendors Invited</t>
  </si>
  <si>
    <t>Actions Overdue</t>
  </si>
  <si>
    <t>Key Item Fails</t>
  </si>
  <si>
    <t>Environmental Engineering</t>
  </si>
  <si>
    <t>Civil Engineering</t>
  </si>
  <si>
    <t>Structural Engineering</t>
  </si>
  <si>
    <t>Electrical Engineering</t>
  </si>
  <si>
    <t>Fire Protection Engineering</t>
  </si>
  <si>
    <t>Owner's Engineer</t>
  </si>
  <si>
    <t>Engineer of Record</t>
  </si>
  <si>
    <t>Independent Engineer</t>
  </si>
  <si>
    <t>BESS Equipment</t>
  </si>
  <si>
    <t>MV Transformers</t>
  </si>
  <si>
    <t>HV Breakers</t>
  </si>
  <si>
    <t>MV Breakers / Switchgear</t>
  </si>
  <si>
    <t>EPC Contractor</t>
  </si>
  <si>
    <t>Software</t>
  </si>
  <si>
    <t>By project</t>
  </si>
  <si>
    <t>Project</t>
  </si>
  <si>
    <t>One row per RFI activity. Type the RFI ID (= tab name) in column A; the grey columns fill in from that tab. Add the outcome and notes in yellow.</t>
  </si>
  <si>
    <t>RFI ID (tab name)</t>
  </si>
  <si>
    <t>RFI Title / Scope</t>
  </si>
  <si>
    <t>RFI Owner</t>
  </si>
  <si>
    <t>Issue Date</t>
  </si>
  <si>
    <t>Response Due</t>
  </si>
  <si>
    <t>Activity Status</t>
  </si>
  <si>
    <t>RFIs Sent</t>
  </si>
  <si>
    <t>Key Items Fails</t>
  </si>
  <si>
    <t>Days to Due</t>
  </si>
  <si>
    <t>Outcome / Next RFx Step</t>
  </si>
  <si>
    <t>Notes</t>
  </si>
  <si>
    <t>Example tab - repurpose for the first real RFI or delete this row and the tab.</t>
  </si>
  <si>
    <t>Yellow = enter data. Grey = formula, do not overwrite (except key item headers in row 13, which you may type over). Rename this tab to match the RFI ID, then add the ID to the RFI Register.</t>
  </si>
  <si>
    <t>RFI ID</t>
  </si>
  <si>
    <t>Project A (placeholder - rename)</t>
  </si>
  <si>
    <t>Responses received</t>
  </si>
  <si>
    <t>EXAMPLE - BESS equipment RFI (repurpose or delete)</t>
  </si>
  <si>
    <t>Declined / no response</t>
  </si>
  <si>
    <t>Jason Knedlhans</t>
  </si>
  <si>
    <t>Key items: Review / Risk</t>
  </si>
  <si>
    <t>Key items: Fails</t>
  </si>
  <si>
    <t>Planning</t>
  </si>
  <si>
    <t>Days to response due</t>
  </si>
  <si>
    <t>VENDOR &amp; CONTACT (contacts pull from Vendors tab)</t>
  </si>
  <si>
    <t>RFI</t>
  </si>
  <si>
    <t>NEXT ACTION</t>
  </si>
  <si>
    <t>Vendor</t>
  </si>
  <si>
    <t>Vendor ID</t>
  </si>
  <si>
    <t>Contact Name</t>
  </si>
  <si>
    <t>Contact Email</t>
  </si>
  <si>
    <t>Contact Phone</t>
  </si>
  <si>
    <t>RFI Status</t>
  </si>
  <si>
    <t>Date Sent</t>
  </si>
  <si>
    <t>Last Contact</t>
  </si>
  <si>
    <t>Response Date</t>
  </si>
  <si>
    <t>Qualification Status</t>
  </si>
  <si>
    <t>Next Action</t>
  </si>
  <si>
    <t>Next Action Owner</t>
  </si>
  <si>
    <t>Next Action Date</t>
  </si>
  <si>
    <t>Action Flag</t>
  </si>
  <si>
    <t>Response / notes</t>
  </si>
  <si>
    <t>Tesla (Tesla Energy)</t>
  </si>
  <si>
    <t>Not Sent</t>
  </si>
  <si>
    <t>Discovery</t>
  </si>
  <si>
    <t>Flagged FEOC Review in vendor landscape - confirm ownership / origin in RFI</t>
  </si>
  <si>
    <t>Review / Risk</t>
  </si>
  <si>
    <t>Identify RFI contact</t>
  </si>
  <si>
    <t>Fluence Energy</t>
  </si>
  <si>
    <t>Sungrow</t>
  </si>
  <si>
    <t>LG Energy Solution Vertech</t>
  </si>
  <si>
    <t>Samsung SDI</t>
  </si>
  <si>
    <t>Wärtsilä Energy Storage</t>
  </si>
  <si>
    <t>FlexGen Power Systems</t>
  </si>
  <si>
    <t>Hithium</t>
  </si>
  <si>
    <t>Canadian Solar e-STORAGE</t>
  </si>
  <si>
    <t>Prevalon Energy (now Nextpower)</t>
  </si>
  <si>
    <t>Master vendor and contact list. RFI tabs look up contacts here, so update contacts in this tab only. Seeded 2026-10-05 from vendor landscape tracker (AI-seeded, unverified).</t>
  </si>
  <si>
    <t>Vendor Name</t>
  </si>
  <si>
    <t>Services / Product Line</t>
  </si>
  <si>
    <t>Website</t>
  </si>
  <si>
    <t>Main Phone</t>
  </si>
  <si>
    <t>Contact Page</t>
  </si>
  <si>
    <t>Primary Contact</t>
  </si>
  <si>
    <t>Contact Title</t>
  </si>
  <si>
    <t>Direct Phone</t>
  </si>
  <si>
    <t>Data Verified?</t>
  </si>
  <si>
    <t>ENV-001</t>
  </si>
  <si>
    <t>ERM (Environmental Resources Management)</t>
  </si>
  <si>
    <t>Environmental, health, safety, risk and social consulting; permitting/impact assessment and sustainability services for energy projects</t>
  </si>
  <si>
    <t>https://www.erm.com/</t>
  </si>
  <si>
    <t>https://www.erm.com/contact-us/</t>
  </si>
  <si>
    <t>No - AI seeded</t>
  </si>
  <si>
    <t>ENV-002</t>
  </si>
  <si>
    <t>Tetra Tech, Inc.</t>
  </si>
  <si>
    <t>Environmental consulting and engineering (water, environment, energy); permitting, site assessment, natural/cultural resources</t>
  </si>
  <si>
    <t>https://www.tetratech.com/</t>
  </si>
  <si>
    <t>+1 (626) 351-4664</t>
  </si>
  <si>
    <t>https://www.tetratech.com/contact/</t>
  </si>
  <si>
    <t>ENV-003</t>
  </si>
  <si>
    <t>Stantec Inc.</t>
  </si>
  <si>
    <t>Environmental consulting and engineering; environmental permitting and studies for energy/infrastructure projects</t>
  </si>
  <si>
    <t>https://www.stantec.com/en</t>
  </si>
  <si>
    <t>ENV-004</t>
  </si>
  <si>
    <t>WSP Global Inc. (WSP USA)</t>
  </si>
  <si>
    <t>Environmental, engineering and permitting consulting; power &amp; energy platform (incl. POWER Engineers and TRC)</t>
  </si>
  <si>
    <t>https://www.wsp.com/en-us</t>
  </si>
  <si>
    <t>https://www.wsp.com/en-us/contact-us</t>
  </si>
  <si>
    <t>ENV-005</t>
  </si>
  <si>
    <t>Terracon Consultants, Inc.</t>
  </si>
  <si>
    <t>Environmental site assessment (Phase I/II ESA), geotechnical, materials testing and facilities consulting</t>
  </si>
  <si>
    <t>https://www.terracon.com/</t>
  </si>
  <si>
    <t>(800) 593-7777</t>
  </si>
  <si>
    <t>https://www.terracon.com/contact/</t>
  </si>
  <si>
    <t>ENV-006</t>
  </si>
  <si>
    <t>SWCA Environmental Consultants</t>
  </si>
  <si>
    <t>Environmental planning/permitting, natural &amp; cultural resources, renewable energy environmental services</t>
  </si>
  <si>
    <t>https://www.swca.com/</t>
  </si>
  <si>
    <t>602-274-3831</t>
  </si>
  <si>
    <t>https://www.swca.com/contact/</t>
  </si>
  <si>
    <t>ENV-007</t>
  </si>
  <si>
    <t>Westwood Professional Services</t>
  </si>
  <si>
    <t>Renewable/BESS development support incl. environmental permitting, survey, and design of standalone and hybrid battery storage</t>
  </si>
  <si>
    <t>https://westwoodps.com/</t>
  </si>
  <si>
    <t>214-473-4640 (HQ); 1-888-937-5150 (toll-free)</t>
  </si>
  <si>
    <t>https://westwoodps.com/contact-us</t>
  </si>
  <si>
    <t>ENV-008</t>
  </si>
  <si>
    <t>HDR, Inc.</t>
  </si>
  <si>
    <t>Engineering, environmental and architecture consulting incl. environmental planning for infrastructure/energy</t>
  </si>
  <si>
    <t>https://www.hdrinc.com/</t>
  </si>
  <si>
    <t>(402) 399-1000</t>
  </si>
  <si>
    <t>https://www.hdrinc.com/contact-us</t>
  </si>
  <si>
    <t>CIV-001</t>
  </si>
  <si>
    <t>Kimley-Horn and Associates, Inc.</t>
  </si>
  <si>
    <t>Site civil, grading/drainage, roads and planning/design; energy and infrastructure site development</t>
  </si>
  <si>
    <t>https://www.kimley-horn.com/</t>
  </si>
  <si>
    <t>https://www.kimley-horn.com/contact/</t>
  </si>
  <si>
    <t>CIV-002</t>
  </si>
  <si>
    <t>Civil/site design, survey, and permitting for utility-scale solar, wind and BESS; power delivery</t>
  </si>
  <si>
    <t>CIV-003</t>
  </si>
  <si>
    <t>Halff Associates, Inc.</t>
  </si>
  <si>
    <t>Infrastructure consulting: site civil, drainage/water resources, survey, transportation</t>
  </si>
  <si>
    <t>https://www.halff.com/</t>
  </si>
  <si>
    <t>https://www.halff.com/contact/</t>
  </si>
  <si>
    <t>CIV-004</t>
  </si>
  <si>
    <t>Pape-Dawson Engineers</t>
  </si>
  <si>
    <t>Civil engineering, survey, permitting; substation/switchyard civil design (170+ substations) and wind/solar civil</t>
  </si>
  <si>
    <t>https://www.pape-dawson.com/</t>
  </si>
  <si>
    <t>210-375-9000</t>
  </si>
  <si>
    <t>https://www.pape-dawson.com/contact</t>
  </si>
  <si>
    <t>CIV-005</t>
  </si>
  <si>
    <t>Bowman Consulting Group Ltd.</t>
  </si>
  <si>
    <t>Infrastructure design, civil engineering, survey, environmental; energy design incl. battery storage</t>
  </si>
  <si>
    <t>https://bowman.com/</t>
  </si>
  <si>
    <t>(703) 464-1000</t>
  </si>
  <si>
    <t>https://bowman.com/contact</t>
  </si>
  <si>
    <t>CIV-006</t>
  </si>
  <si>
    <t>Geotechnical engineering, materials testing and construction QA for site/foundation design</t>
  </si>
  <si>
    <t>CIV-007</t>
  </si>
  <si>
    <t>Burns &amp; McDonnell</t>
  </si>
  <si>
    <t>Engineering/EPC incl. site civil for power generation, substations and transmission</t>
  </si>
  <si>
    <t>https://www.burnsmcd.com/</t>
  </si>
  <si>
    <t>https://info.burnsmcd.com/contact-us</t>
  </si>
  <si>
    <t>STR-001</t>
  </si>
  <si>
    <t>Walter P Moore</t>
  </si>
  <si>
    <t>Structural and civil engineering, foundations, forensic engineering</t>
  </si>
  <si>
    <t>https://www.walterpmoore.com/</t>
  </si>
  <si>
    <t>800-364-7300 (general); 713-630-7300 (Houston HQ)</t>
  </si>
  <si>
    <t>https://www.walterpmoore.com/contact</t>
  </si>
  <si>
    <t>STR-002</t>
  </si>
  <si>
    <t>Sargent &amp; Lundy</t>
  </si>
  <si>
    <t>Power engineering incl. structural design for generation, BESS, substations and transmission structures</t>
  </si>
  <si>
    <t>https://www.sargentlundy.com/</t>
  </si>
  <si>
    <t>(312) 269-2000</t>
  </si>
  <si>
    <t>https://www.sargentlundy.com/contact-us</t>
  </si>
  <si>
    <t>STR-003</t>
  </si>
  <si>
    <t>Structural/civil design for substations, equipment foundations and power plants (engineering/EPC)</t>
  </si>
  <si>
    <t>STR-004</t>
  </si>
  <si>
    <t>Black &amp; Veatch</t>
  </si>
  <si>
    <t>Engineering/EPC for power generation, power delivery and substations incl. structural design</t>
  </si>
  <si>
    <t>https://www.bv.com/</t>
  </si>
  <si>
    <t>+1 913-458-2000</t>
  </si>
  <si>
    <t>https://www.bv.com/contact-us</t>
  </si>
  <si>
    <t>STR-005</t>
  </si>
  <si>
    <t>POWER Engineers (a WSP company)</t>
  </si>
  <si>
    <t>Power delivery engineering incl. substation and transmission structural/civil design; renewables &amp; storage</t>
  </si>
  <si>
    <t>https://www.powereng.com/</t>
  </si>
  <si>
    <t>STR-006</t>
  </si>
  <si>
    <t>Electrical Consultants, Inc. (ECI)</t>
  </si>
  <si>
    <t>Power delivery only: civil, structural, electrical, survey for substations, transmission (to 765 kV), renewables and battery storage</t>
  </si>
  <si>
    <t>https://eciusa.com/</t>
  </si>
  <si>
    <t>ELE-001</t>
  </si>
  <si>
    <t>Substation, transmission and interconnection engineering; renewables &amp; storage power delivery</t>
  </si>
  <si>
    <t>ELE-002</t>
  </si>
  <si>
    <t>Substation/transmission design and EPC, interconnection and power generation electrical engineering</t>
  </si>
  <si>
    <t>ELE-003</t>
  </si>
  <si>
    <t>Grid/substation/transmission engineering, renewables and BESS electrical design, owner's engineer/due diligence</t>
  </si>
  <si>
    <t>ELE-004</t>
  </si>
  <si>
    <t>Power delivery (substation/transmission) engineering and EPC; generation and storage</t>
  </si>
  <si>
    <t>ELE-005</t>
  </si>
  <si>
    <t>Electric Power Engineers, LLC (EPE)</t>
  </si>
  <si>
    <t>Grid analysis/interconnection studies, utility engineering, regulatory/compliance; renewables &amp; storage</t>
  </si>
  <si>
    <t>https://epeconsulting.com/</t>
  </si>
  <si>
    <t>512-382-6700</t>
  </si>
  <si>
    <t>https://epeconsulting.com/contact</t>
  </si>
  <si>
    <t>ELE-006</t>
  </si>
  <si>
    <t>TRC Companies, Inc. (a member of WSP)</t>
  </si>
  <si>
    <t>Power &amp; utilities engineering incl. substation, transmission and interconnection; environmental</t>
  </si>
  <si>
    <t>https://www.trccompanies.com/</t>
  </si>
  <si>
    <t>+1 (860) 298-9692</t>
  </si>
  <si>
    <t>https://www.trccompanies.com/contact-us/</t>
  </si>
  <si>
    <t>ELE-007</t>
  </si>
  <si>
    <t>Leidos (Power Delivery / Energy)</t>
  </si>
  <si>
    <t>Substation design (4-765 kV), T&amp;D lines, SCADA, system planning, NERC compliance for Texas utilities</t>
  </si>
  <si>
    <t>https://www.leidos.com/</t>
  </si>
  <si>
    <t>https://www.leidos.com/contact-us</t>
  </si>
  <si>
    <t>ELE-008</t>
  </si>
  <si>
    <t>Power delivery engineering: substations, transmission to 765 kV, protection &amp; control, renewables/BESS</t>
  </si>
  <si>
    <t>FIRE-001</t>
  </si>
  <si>
    <t>Jensen Hughes</t>
  </si>
  <si>
    <t>Lithium-ion/BESS risk consulting: hazard mitigation, NFPA 855/UL 9540A expertise, explosion protection (CFD, deflagration venting), large-scale fire testing</t>
  </si>
  <si>
    <t>https://www.jensenhughes.com/</t>
  </si>
  <si>
    <t>https://www.jensenhughes.com/contact-us</t>
  </si>
  <si>
    <t>FIRE-002</t>
  </si>
  <si>
    <t>ESRG (Energy Safety Response Group)</t>
  </si>
  <si>
    <t>Energy-storage-only safety: testing, permitting/project review, emergency response plans &amp; first-responder training, incident response</t>
  </si>
  <si>
    <t>https://www.energyresponsegroup.com/</t>
  </si>
  <si>
    <t>1-833-SAFE-ESS</t>
  </si>
  <si>
    <t>https://www.energyresponsegroup.com/contact</t>
  </si>
  <si>
    <t>FIRE-003</t>
  </si>
  <si>
    <t>Fire &amp; Risk Alliance</t>
  </si>
  <si>
    <t>BESS code consulting (NFPA 855/IFC), HMA, UL 9540A assessment, deflagration (NFPA 68/69) and heat-flux modeling, FMEA, ERP and responder training</t>
  </si>
  <si>
    <t>https://fireriskalliance.com/</t>
  </si>
  <si>
    <t>(301) 658-3060</t>
  </si>
  <si>
    <t>https://fireriskalliance.com/contact-us/</t>
  </si>
  <si>
    <t>FIRE-004</t>
  </si>
  <si>
    <t>Telgian Engineering &amp; Consulting</t>
  </si>
  <si>
    <t>Fire protection engineering and code consulting; has published ESS fire-hazard guidance (BESS-specific services not detailed on site)</t>
  </si>
  <si>
    <t>https://www.telgian.com/</t>
  </si>
  <si>
    <t>480.753.5444</t>
  </si>
  <si>
    <t>https://www.telgian.com/contact/</t>
  </si>
  <si>
    <t>FIRE-005</t>
  </si>
  <si>
    <t>DNV</t>
  </si>
  <si>
    <t>Battery safety, risk analysis (QRA) and permitting support; energy storage technical due diligence and engineering review</t>
  </si>
  <si>
    <t>https://www.dnv.com/</t>
  </si>
  <si>
    <t>https://www.dnv.us/contact/</t>
  </si>
  <si>
    <t>FIRE-006</t>
  </si>
  <si>
    <t>UL Solutions Inc.</t>
  </si>
  <si>
    <t>UL 9540A testing, NFPA 855 documentation readiness review, fire/explosion hazard assessment, AHJ-focused technical support</t>
  </si>
  <si>
    <t>https://www.ul.com/</t>
  </si>
  <si>
    <t>+1.877.854.3577 (customer service)</t>
  </si>
  <si>
    <t>https://www.ul.com/contact-us</t>
  </si>
  <si>
    <t>FIRE-007</t>
  </si>
  <si>
    <t>Exponent, Inc.</t>
  </si>
  <si>
    <t>BESS safety &amp; risk consulting: fire protection engineering, emergency response planning, root-cause failure analysis, testing</t>
  </si>
  <si>
    <t>https://www.exponent.com/</t>
  </si>
  <si>
    <t>(650) 326-9400</t>
  </si>
  <si>
    <t>OE-001</t>
  </si>
  <si>
    <t>Owner's engineering for energy storage: feasibility, dispatch modeling, RFP/tender support, design and procurement review, grid connection, warranty definition, FAT/SAT, construction PM, HSE</t>
  </si>
  <si>
    <t>https://www.dnv.com</t>
  </si>
  <si>
    <t>+1 281 396 1000 (DNV North America HQ, Houston)</t>
  </si>
  <si>
    <t>OE-002</t>
  </si>
  <si>
    <t>Enertis Applus+</t>
  </si>
  <si>
    <t>Renewables and BESS technical advisory: design evaluation, site assessment, engineering, QA/QC, testing and optimization for developers, owners and financiers</t>
  </si>
  <si>
    <t>https://enertisapplus.com</t>
  </si>
  <si>
    <t>+1 415 671 4000 (US offices, San Francisco / Raleigh)</t>
  </si>
  <si>
    <t>https://enertisapplus.com/contact/</t>
  </si>
  <si>
    <t>OE-003</t>
  </si>
  <si>
    <t>BESS owner's engineer: EPC design review, construction monitoring, commissioning supervision, early operations oversight; firm reports 74 GWh supported as OE</t>
  </si>
  <si>
    <t>https://www.bv.com</t>
  </si>
  <si>
    <t>OE-004</t>
  </si>
  <si>
    <t>Owner's engineer for utility-scale solar + BESS: EPC RFP/specs, bid evaluation, contract negotiation support, review of LV/MV, collection, substation and transmission designs</t>
  </si>
  <si>
    <t>https://www.sargentlundy.com</t>
  </si>
  <si>
    <t>312-269-2000</t>
  </si>
  <si>
    <t>OE-005</t>
  </si>
  <si>
    <t>Clean Energy Associates (Intertek CEA)</t>
  </si>
  <si>
    <t>Owner's engineer and technical due diligence; storage system QA, factory/production monitoring, supply-chain traceability for BESS and PV</t>
  </si>
  <si>
    <t>https://www.cea3.com</t>
  </si>
  <si>
    <t>OE-006</t>
  </si>
  <si>
    <t>Kimley-Horn</t>
  </si>
  <si>
    <t>BESS consulting incl. owner's engineering, feasibility, siting/permitting, interconnection studies, and civil/structural/electrical design</t>
  </si>
  <si>
    <t>https://www.kimley-horn.com</t>
  </si>
  <si>
    <t>https://www.kimley-horn.com/contact/submit-a-service-inquiry/</t>
  </si>
  <si>
    <t>OE-007</t>
  </si>
  <si>
    <t>Natural Power</t>
  </si>
  <si>
    <t>Renewables-only consultant: owner's advisory, technology evaluation, field inspections and technical due diligence for standalone/co-located storage</t>
  </si>
  <si>
    <t>https://www.naturalpower.com</t>
  </si>
  <si>
    <t>+1 (518) 308 0200 (Saratoga Springs, NY office)</t>
  </si>
  <si>
    <t>https://www.naturalpower.com/us/contact</t>
  </si>
  <si>
    <t>EOR-001</t>
  </si>
  <si>
    <t>In-house design engineering and EPC for BESS, substations and transmission; delivered Texas BESS EPC (e.g., RWE Texas Waves II, LGES/SER West Texas)</t>
  </si>
  <si>
    <t>https://www.burnsmcd.com</t>
  </si>
  <si>
    <t>(816) 333-9400</t>
  </si>
  <si>
    <t>EOR-002</t>
  </si>
  <si>
    <t>Power engineering firm: electrical design for collection, substation and transmission; renewables and storage engineering</t>
  </si>
  <si>
    <t>EOR-003</t>
  </si>
  <si>
    <t>POWER Engineers (Member of WSP)</t>
  </si>
  <si>
    <t>Power delivery engineering: substation, transmission, renewables and storage design</t>
  </si>
  <si>
    <t>https://www.powereng.com</t>
  </si>
  <si>
    <t>EOR-004</t>
  </si>
  <si>
    <t>Design, permitting and optimization of standalone/hybrid BESS; substation and transmission line engineering; surveying</t>
  </si>
  <si>
    <t>https://www.westwoodps.com</t>
  </si>
  <si>
    <t>1-888-937-5150</t>
  </si>
  <si>
    <t>EOR-005</t>
  </si>
  <si>
    <t>Engineering and EPC for BESS and HV substations; firm reports 8.9 GWh delivered as BESS EPC</t>
  </si>
  <si>
    <t>EOR-006</t>
  </si>
  <si>
    <t>Detailed civil, structural and electrical BESS design incl. plant, HV substation and transmission/interconnection design</t>
  </si>
  <si>
    <t>EOR-007</t>
  </si>
  <si>
    <t>Bowman Consulting Group</t>
  </si>
  <si>
    <t>Energy design and engineering incl. BESS, electric power and transmission; civil/survey</t>
  </si>
  <si>
    <t>https://bowman.com</t>
  </si>
  <si>
    <t>https://bowman.com/contact/</t>
  </si>
  <si>
    <t>IE-001</t>
  </si>
  <si>
    <t>Independent engineering and technical due diligence for BESS: vendor/design/safety review, performance validation, guarantee verification, bankability for investors/financiers</t>
  </si>
  <si>
    <t>IE-002</t>
  </si>
  <si>
    <t>Lender's IE for BESS: project-finance technical due diligence, design/grid/warranty review, MC/SC/FC milestone certification (e.g., 550 MW / 1,433 MWh Texas portfolio for Excelsior/Lydian)</t>
  </si>
  <si>
    <t>+1 415 671 4000 (US offices)</t>
  </si>
  <si>
    <t>IE-003</t>
  </si>
  <si>
    <t>Leidos</t>
  </si>
  <si>
    <t>Independent engineering for project development, acquisition, financing and investment diligence across energy storage and other technologies</t>
  </si>
  <si>
    <t>https://www.leidos.com</t>
  </si>
  <si>
    <t>(571) 526-6000</t>
  </si>
  <si>
    <t>https://www.leidos.com/contact</t>
  </si>
  <si>
    <t>IE-004</t>
  </si>
  <si>
    <t>BESS independent engineering due diligence for investors/tax equity: use-case modeling, module warranty terms, fire protection design</t>
  </si>
  <si>
    <t>IE-005</t>
  </si>
  <si>
    <t>Independent engineering and technical due diligence for lenders/investors on wind, solar and storage; new Head of IE North America (Dec 2025)</t>
  </si>
  <si>
    <t>IE-006</t>
  </si>
  <si>
    <t>UL Solutions</t>
  </si>
  <si>
    <t>Energy Storage Advisory: IE and technical advisory for project financing, tax equity, sales and acquisitions (contracts, financial models, designs); BESS testing/certification</t>
  </si>
  <si>
    <t>https://www.ul.com</t>
  </si>
  <si>
    <t>(847) 272-8800</t>
  </si>
  <si>
    <t>BESS-001</t>
  </si>
  <si>
    <t>Megapack 2 / Megapack 2 XL / Megapack 3 (~5 MWh) / Megablock (4x Megapack 3 + transformer + switchgear, ~20 MWh)</t>
  </si>
  <si>
    <t>https://www.tesla.com/megapack</t>
  </si>
  <si>
    <t>Landscape: FEOC Review</t>
  </si>
  <si>
    <t>BESS-002</t>
  </si>
  <si>
    <t>Grid-scale BESS (Gridstack/Smartstack platforms), US domestic-content offering</t>
  </si>
  <si>
    <t>https://fluenceenergy.com</t>
  </si>
  <si>
    <t>BESS-003</t>
  </si>
  <si>
    <t>PowerTitan 3.0 AC block (6.9 MWh per 20-ft container); PowerStack (C&amp;I)</t>
  </si>
  <si>
    <t>https://www.sungrowpower.com/us/en</t>
  </si>
  <si>
    <t>+1 833 747 6937</t>
  </si>
  <si>
    <t>https://www.sungrowpower.com/us/en/about-us/contact-us</t>
  </si>
  <si>
    <t>BESS-004</t>
  </si>
  <si>
    <t>Containerized LFP grid-scale BESS + AEROS controls/analytics; integration and lifecycle services</t>
  </si>
  <si>
    <t>BESS-005</t>
  </si>
  <si>
    <t>Samsung Battery Box (SBB) 2.0 — prismatic LFP DC block (cell/DC supplier; requires PCS/EMS integrator)</t>
  </si>
  <si>
    <t>https://www.samsungsdi.com</t>
  </si>
  <si>
    <t>BESS-006</t>
  </si>
  <si>
    <t>Quantum3 AC-block BESS (introduced Sep 2024); GEMS software</t>
  </si>
  <si>
    <t>https://www.wartsila.com/usa</t>
  </si>
  <si>
    <t>+1 281 233 6200</t>
  </si>
  <si>
    <t>https://www.wartsila.com/usa/about/contact-us</t>
  </si>
  <si>
    <t>BESS-007</t>
  </si>
  <si>
    <t>BESS integration with HybridOS EMS; legacy Powin fleet support (Powin assets/IP acquired)</t>
  </si>
  <si>
    <t>https://www.flexgen.com</t>
  </si>
  <si>
    <t>855-327-5674</t>
  </si>
  <si>
    <t>https://www.flexgen.com/contact-us</t>
  </si>
  <si>
    <t>BESS-008</t>
  </si>
  <si>
    <t>LFP BESS modules/systems (∞Power 6.25 MWh platform)</t>
  </si>
  <si>
    <t>https://hithium.com</t>
  </si>
  <si>
    <t>BESS-009</t>
  </si>
  <si>
    <t>Utility-scale BESS (SolBank platform) and EPC/LTSA services</t>
  </si>
  <si>
    <t>https://www.csisolar.com/e-storage/</t>
  </si>
  <si>
    <t>BESS-010</t>
  </si>
  <si>
    <t>HD5 AC / HD5 DC BESS platforms, insightOS, service/LTSA</t>
  </si>
  <si>
    <t>https://prevalonenergy.com</t>
  </si>
  <si>
    <t>https://prevalonenergy.com/contact-us/</t>
  </si>
  <si>
    <t>MVT-001</t>
  </si>
  <si>
    <t>Hitachi Energy</t>
  </si>
  <si>
    <t>Pad-mount and distribution transformers (single-phase pad-mount from Reynosa); large distribution transformers (South Boston, VA)</t>
  </si>
  <si>
    <t>https://www.hitachienergy.com/us/en</t>
  </si>
  <si>
    <t>MVT-002</t>
  </si>
  <si>
    <t>Eaton</t>
  </si>
  <si>
    <t>Three-phase pad-mount transformers; single-phase/pole/pad-mount</t>
  </si>
  <si>
    <t>https://www.eaton.com/us/en-us.html</t>
  </si>
  <si>
    <t>MVT-003</t>
  </si>
  <si>
    <t>Prolec GE (GE Vernova)</t>
  </si>
  <si>
    <t>Three-phase pad-mount (Shreveport) and medium power / substation transformers (Goldsboro)</t>
  </si>
  <si>
    <t>https://www.prolec.energy</t>
  </si>
  <si>
    <t>MVT-004</t>
  </si>
  <si>
    <t>WEG</t>
  </si>
  <si>
    <t>Distribution and power transformers (WEG Transformers USA); confirm three-phase 34.5 kV pad-mount offering</t>
  </si>
  <si>
    <t>https://www.weg.net/institutional/US/en/</t>
  </si>
  <si>
    <t>MVT-005</t>
  </si>
  <si>
    <t>Virginia Transformer Corp</t>
  </si>
  <si>
    <t>E2X pad-mount; liquid substation/GSU (500 kVA–1,400 MVA); BESS listed as served industry</t>
  </si>
  <si>
    <t>https://www.vatransformer.com</t>
  </si>
  <si>
    <t>(540) 345-9892</t>
  </si>
  <si>
    <t>MVT-006</t>
  </si>
  <si>
    <t>ERMCO</t>
  </si>
  <si>
    <t>Three-phase and single-phase pad-mount distribution transformers (incl. ECO-PAD)</t>
  </si>
  <si>
    <t>https://www.ermco-eci.com</t>
  </si>
  <si>
    <t>https://www.ermco-eci.com/</t>
  </si>
  <si>
    <t>MVT-007</t>
  </si>
  <si>
    <t>Howard Industries</t>
  </si>
  <si>
    <t>Distribution transformers incl. large three-phase pad-mount 750–10,000 kVA (utilities, data centers, BESS)</t>
  </si>
  <si>
    <t>https://www.howard.com</t>
  </si>
  <si>
    <t>(601) 425-3151</t>
  </si>
  <si>
    <t>MVT-008</t>
  </si>
  <si>
    <t>Maddox Transformer</t>
  </si>
  <si>
    <t>New and remanufactured three-phase pad-mount and substation transformers; in-stock inventory</t>
  </si>
  <si>
    <t>https://www.maddox.com</t>
  </si>
  <si>
    <t>1-800-270-2011</t>
  </si>
  <si>
    <t>https://www.maddox.com/contact</t>
  </si>
  <si>
    <t>MVT-009</t>
  </si>
  <si>
    <t>JST Power Equipment</t>
  </si>
  <si>
    <t>Liquid-filled pad-mount 1- and 3-phase (25–6,000 kVA, up to 35 kV); MV switchgear and packaged substations</t>
  </si>
  <si>
    <t>https://www.jstpower.com</t>
  </si>
  <si>
    <t>https://jstpower.com/contact/</t>
  </si>
  <si>
    <t>MVT-010</t>
  </si>
  <si>
    <t>Sunbelt Solomon</t>
  </si>
  <si>
    <t>New and refurbished pad-mount and substation transformers; rentals and field services</t>
  </si>
  <si>
    <t>https://www.sunbeltsolomon.com</t>
  </si>
  <si>
    <t>888-691-4712</t>
  </si>
  <si>
    <t>https://www.sunbeltsolomon.com/</t>
  </si>
  <si>
    <t>HVB-001</t>
  </si>
  <si>
    <t>Dead tank circuit breakers up to 420 kV (incl. 362 kV); EconiQ SF6-free; PASS hybrid switchgear</t>
  </si>
  <si>
    <t>HVB-002</t>
  </si>
  <si>
    <t>Siemens Energy</t>
  </si>
  <si>
    <t>Dead tank breakers 72.5–550 kV (US SPS 362 kV); Blue SF6-free portfolio</t>
  </si>
  <si>
    <t>https://siemens-energy.com/us/en/home.html</t>
  </si>
  <si>
    <t>https://siemens-energy.com/us/en/home/products-services/product/dead-tank.html</t>
  </si>
  <si>
    <t>HVB-003</t>
  </si>
  <si>
    <t>GE Vernova</t>
  </si>
  <si>
    <t>Dead tank breakers up to 550 kV (DT1-362 for 362 kV); g3 SF6-free models (72.5/145 kV)</t>
  </si>
  <si>
    <t>https://www.gevernova.com/grid-solutions/equipment/circuit-breakers/dead-tank-circuit-breakers</t>
  </si>
  <si>
    <t>HVB-004</t>
  </si>
  <si>
    <t>Mitsubishi Electric Power Products (MEPPI)</t>
  </si>
  <si>
    <t>Dead tank gas circuit breakers 72.5–800 kV (362 kV up to 63 kA)</t>
  </si>
  <si>
    <t>https://www.meppi.com</t>
  </si>
  <si>
    <t>https://www.meppi.com/contact-us</t>
  </si>
  <si>
    <t>HVB-005</t>
  </si>
  <si>
    <t>Hyosung HICO</t>
  </si>
  <si>
    <t>Gas circuit breakers 72.5–800 kV</t>
  </si>
  <si>
    <t>https://www.hyosungheavyindustries.com/en/business/power-products/P010104</t>
  </si>
  <si>
    <t>HVB-006</t>
  </si>
  <si>
    <t>HD Hyundai Electric (watchlist)</t>
  </si>
  <si>
    <t>SF6-free switchgear/breakers; 362 kV dead tank breaker planned for 2028 launch</t>
  </si>
  <si>
    <t>MVB-001</t>
  </si>
  <si>
    <t>VacClad-HD 38 kV metal-clad switchgear with VCPW-HD vacuum breakers (1,200–3,000 A, up to 40 kA)</t>
  </si>
  <si>
    <t>MVB-002</t>
  </si>
  <si>
    <t>Schneider Electric</t>
  </si>
  <si>
    <t>MV switchgear: air-insulated, gas-insulated and shielded solid insulation</t>
  </si>
  <si>
    <t>https://www.se.com/us/en/</t>
  </si>
  <si>
    <t>MVB-003</t>
  </si>
  <si>
    <t>ABB</t>
  </si>
  <si>
    <t>MV breakers/switchgear and grid components (Electrification); confirm 38 kV outdoor breaker line</t>
  </si>
  <si>
    <t>https://electrification.us.abb.com</t>
  </si>
  <si>
    <t>MVB-004</t>
  </si>
  <si>
    <t>Siemens (Smart Infrastructure)</t>
  </si>
  <si>
    <t>SDV7 / SDV7-AR outdoor distribution vacuum breakers (15.5–38 kV, up to 40 kA, 200 kV BIL)</t>
  </si>
  <si>
    <t>https://www.siemens.com/us/en.html</t>
  </si>
  <si>
    <t>+1 (800) 347-6659</t>
  </si>
  <si>
    <t>MVB-005</t>
  </si>
  <si>
    <t>Powell Industries</t>
  </si>
  <si>
    <t>ANSI metal-clad (PowlVac, Power/Vac) and metal-enclosed switchgear; E-houses / PCR packaged solutions</t>
  </si>
  <si>
    <t>https://www.powellind.com</t>
  </si>
  <si>
    <t>https://www.powellind.com/contact</t>
  </si>
  <si>
    <t>MVB-006</t>
  </si>
  <si>
    <t>S&amp;C Electric Company</t>
  </si>
  <si>
    <t>MV switching and protection (pad-mounted / metal-enclosed switchgear, distribution switching); confirm 34.5 kV collector-system products</t>
  </si>
  <si>
    <t>https://www.sandc.com</t>
  </si>
  <si>
    <t>MVB-007</t>
  </si>
  <si>
    <t>G&amp;W Electric</t>
  </si>
  <si>
    <t>Switchgear, reclosers, overhead switches, current-limiting protection, cable accessories; confirm 38 kV ratings</t>
  </si>
  <si>
    <t>https://www.gwelectric.com</t>
  </si>
  <si>
    <t>EPC-001</t>
  </si>
  <si>
    <t>Mortenson</t>
  </si>
  <si>
    <t>Full EPC for utility-scale BESS incl. project substation and gen-tie (e.g., Revolution 150 MW / 300 MWh, Crane TX, ERCOT)</t>
  </si>
  <si>
    <t>https://www.mortenson.com</t>
  </si>
  <si>
    <t>763.522.2100</t>
  </si>
  <si>
    <t>https://www.mortenson.com/contact</t>
  </si>
  <si>
    <t>EPC-002</t>
  </si>
  <si>
    <t>McCarthy Building Companies</t>
  </si>
  <si>
    <t>Renewable Energy &amp; Storage group: utility-scale BESS and solar EPC</t>
  </si>
  <si>
    <t>https://www.mccarthy.com</t>
  </si>
  <si>
    <t>314-968-3300</t>
  </si>
  <si>
    <t>https://www.mccarthy.com/contact-us</t>
  </si>
  <si>
    <t>EPC-003</t>
  </si>
  <si>
    <t>Blattner (Quanta Services)</t>
  </si>
  <si>
    <t>Utility-scale wind, solar and energy storage construction/EPC incl. HV substation and collection</t>
  </si>
  <si>
    <t>https://www.blattnercompany.com</t>
  </si>
  <si>
    <t>320-356-7351</t>
  </si>
  <si>
    <t>https://www.blattnercompany.com/contact</t>
  </si>
  <si>
    <t>EPC-004</t>
  </si>
  <si>
    <t>Self-perform EPC for BESS, substations and transmission; Texas BESS EPC references</t>
  </si>
  <si>
    <t>EPC-005</t>
  </si>
  <si>
    <t>Primoris Services (Primoris Renewable Energy)</t>
  </si>
  <si>
    <t>Utility-scale solar and BESS EPC; T&amp;D/substation via Primoris T&amp;D and Power Line Services</t>
  </si>
  <si>
    <t>https://www.prim.com</t>
  </si>
  <si>
    <t>(214) 740-5600</t>
  </si>
  <si>
    <t>https://www.prim.com/contact</t>
  </si>
  <si>
    <t>EPC-006</t>
  </si>
  <si>
    <t>Rosendin</t>
  </si>
  <si>
    <t>Electrical contractor/EPC for utility-scale wind, solar, BESS and HV substation</t>
  </si>
  <si>
    <t>https://www.rosendin.com</t>
  </si>
  <si>
    <t>(408) 286-2800</t>
  </si>
  <si>
    <t>https://www.rosendin.com/contact/</t>
  </si>
  <si>
    <t>EPC-007</t>
  </si>
  <si>
    <t>SOLV Energy</t>
  </si>
  <si>
    <t>Utility-scale solar and BESS EPC, substation/HV, and O&amp;M</t>
  </si>
  <si>
    <t>https://solvenergy.com</t>
  </si>
  <si>
    <t>858.251.4888</t>
  </si>
  <si>
    <t>https://solvenergy.com/contact/</t>
  </si>
  <si>
    <t>EPC-008</t>
  </si>
  <si>
    <t>MasTec Renewables (incl. former IEA, Wanzek, White Construction)</t>
  </si>
  <si>
    <t>Utility-scale solar, wind and battery storage EPC; parent also provides transmission and substation (Power Delivery segment)</t>
  </si>
  <si>
    <t>https://www.mastec.com</t>
  </si>
  <si>
    <t>SW-001</t>
  </si>
  <si>
    <t>Tesla, Inc. (Tesla Energy)</t>
  </si>
  <si>
    <t>(a)/(b) Trading &amp; BESS optimization - Autobidder (real-time trading and dispatch control platform)</t>
  </si>
  <si>
    <t>https://www.tesla.com/support/energy/tesla-software/autobidder</t>
  </si>
  <si>
    <t>https://www.tesla.com/contact</t>
  </si>
  <si>
    <t>SW-002</t>
  </si>
  <si>
    <t>Fluence Energy (Fluence Mosaic / Nispera)</t>
  </si>
  <si>
    <t>(a)/(b) Fluence Mosaic intelligent bidding software (launched in ERCOT Feb 2023); (c) Fluence Nispera APM</t>
  </si>
  <si>
    <t>https://fluenceenergy.com/contact/</t>
  </si>
  <si>
    <t>SW-003</t>
  </si>
  <si>
    <t>Ascend Analytics</t>
  </si>
  <si>
    <t>(a)/(d) SmartBidder (nodal price forecasting &amp; bid optimization); Market Intelligence, PowerSIMM, PowerVAL</t>
  </si>
  <si>
    <t>https://www.ascendanalytics.com</t>
  </si>
  <si>
    <t>1-303-415-1400</t>
  </si>
  <si>
    <t>https://www.ascendanalytics.com/about-us/lets-connect</t>
  </si>
  <si>
    <t>SW-004</t>
  </si>
  <si>
    <t>PCI Energy Solutions (Power Costs, Inc.)</t>
  </si>
  <si>
    <t>(a) ERCOT QSE / bid-to-bill - GenManager (forecast, ISO scheduling, settlements) and GenTrader (portfolio/storage optimization)</t>
  </si>
  <si>
    <t>https://www.pcienergysolutions.com</t>
  </si>
  <si>
    <t>+1 405.447.6933</t>
  </si>
  <si>
    <t>https://www.pcienergysolutions.com/contact-us/</t>
  </si>
  <si>
    <t>SW-005</t>
  </si>
  <si>
    <t>Yes Energy</t>
  </si>
  <si>
    <t>(d) Market data &amp; analytics (PowerSignals, QuickSignals, Live Power, Demand Forecasts, EnCompass); (a) bid-to-bill (PowerCore, Submission Services)</t>
  </si>
  <si>
    <t>https://www.yesenergy.com</t>
  </si>
  <si>
    <t>+1 303-993-2773</t>
  </si>
  <si>
    <t>https://www.yesenergy.com/locations</t>
  </si>
  <si>
    <t>SW-006</t>
  </si>
  <si>
    <t>Enverus</t>
  </si>
  <si>
    <t>(d) Market data &amp; analytics / forecasting - Enverus Power &amp; Renewables (Mosaic, Panorama, MarketView, Trading &amp; Risk)</t>
  </si>
  <si>
    <t>https://www.enverus.com</t>
  </si>
  <si>
    <t>1-800-282-4245</t>
  </si>
  <si>
    <t>https://www.enverus.com/contact-us/</t>
  </si>
  <si>
    <t>SW-007</t>
  </si>
  <si>
    <t>Power Factors</t>
  </si>
  <si>
    <t>(c) Asset performance management / SCADA / EMS - Unity platform (Drive APM, local monitoring &amp; controls)</t>
  </si>
  <si>
    <t>https://www.powerfactors.com</t>
  </si>
  <si>
    <t>1-866-398-3010</t>
  </si>
  <si>
    <t>https://www.powerfactors.com/contact</t>
  </si>
  <si>
    <t>SW-008</t>
  </si>
  <si>
    <t>Habitat Energy</t>
  </si>
  <si>
    <t>(a)/(b) BESS optimization &amp; trading service incl. Level 4 QSE services in ERCOT (EVOLVE)</t>
  </si>
  <si>
    <t>https://www.habitat.energy</t>
  </si>
  <si>
    <t>https://www.habitat.energy/contact</t>
  </si>
  <si>
    <t>SW-009</t>
  </si>
  <si>
    <t>Tyba</t>
  </si>
  <si>
    <t>(b)/(d) BESS simulation, automated dispatch/bidding and AI price forecasting platform</t>
  </si>
  <si>
    <t>https://www.tyba.ai</t>
  </si>
  <si>
    <t>https://www.tyba.ai/contact/</t>
  </si>
  <si>
    <t>SW-010</t>
  </si>
  <si>
    <t>Modo Energy</t>
  </si>
  <si>
    <t>(d) Market data, BESS revenue benchmarks &amp; forecasts (ERCOT coverage)</t>
  </si>
  <si>
    <t>https://modoenergy.com</t>
  </si>
  <si>
    <t>SW-011</t>
  </si>
  <si>
    <t>Stem, Inc.</t>
  </si>
  <si>
    <t>(b)/(c) PowerTrack Suite - PowerTrack EMS, PowerTrack Optimizer (formerly Athena), PowerTrack APM/monitoring (AlsoEnergy)</t>
  </si>
  <si>
    <t>https://www.stem.com</t>
  </si>
  <si>
    <t>877-374-7836</t>
  </si>
  <si>
    <t>https://www.stem.com/contact/</t>
  </si>
  <si>
    <t>SW-012</t>
  </si>
  <si>
    <t>Tenaska Power Services Co. (TPS)</t>
  </si>
  <si>
    <t>(a) QSE service provider - power marketing, 24/7 energy management, storage/renewable portfolio optimization, settlements</t>
  </si>
  <si>
    <t>https://www.tenaska.com/our-business/power-marketing/</t>
  </si>
  <si>
    <t>817-462-1521</t>
  </si>
  <si>
    <t>https://www.tenaska.com/contact-us/</t>
  </si>
  <si>
    <t>Default key items per vendor type (slots 1-10). RFI tabs use these as column headers. Edit a cell to change the default; type in a blank slot to add a key item.</t>
  </si>
  <si>
    <t>Slot</t>
  </si>
  <si>
    <t>Permitting experience (TCEQ, USACE, TPWD)</t>
  </si>
  <si>
    <t>Relevant BESS / substation site experience</t>
  </si>
  <si>
    <t>BESS enclosure / substation structure experience</t>
  </si>
  <si>
    <t>345 kV / ERCOT interconnection experience</t>
  </si>
  <si>
    <t>NFPA 855 / UL 9540A experience</t>
  </si>
  <si>
    <t>BESS OE portfolio (MW / MWh)</t>
  </si>
  <si>
    <t>345 kV substation &amp; collector design experience</t>
  </si>
  <si>
    <t>Lender acceptance / bankability record</t>
  </si>
  <si>
    <t>Lead time (weeks ARO)</t>
  </si>
  <si>
    <t>BESS &amp; substation EPC experience (MW / MWh)</t>
  </si>
  <si>
    <t>ERCOT QSE / market integration</t>
  </si>
  <si>
    <t>Relevant BESS / ERCOT project experience</t>
  </si>
  <si>
    <t>Texas PE / firm registration</t>
  </si>
  <si>
    <t>Hazard mitigation analysis (HMA) capability</t>
  </si>
  <si>
    <t>Scope coverage (design review, FAT, site QA)</t>
  </si>
  <si>
    <t>BESS IE portfolio (MW / MWh)</t>
  </si>
  <si>
    <t>FEOC compliance</t>
  </si>
  <si>
    <t>FEOC compliance / country of origin</t>
  </si>
  <si>
    <t>345 kV self-perform capability</t>
  </si>
  <si>
    <t>Cybersecurity (SOC 2, NERC CIP)</t>
  </si>
  <si>
    <t>Key personnel &amp; availability</t>
  </si>
  <si>
    <t>Studies capability (ETAP, PSCAD, PSS/E)</t>
  </si>
  <si>
    <t>AHJ / fire marshal coordination in Texas</t>
  </si>
  <si>
    <t>Design tools (PLS-CADD, ETAP, AutoCAD)</t>
  </si>
  <si>
    <t>Independence / conflicts</t>
  </si>
  <si>
    <t>Cell chemistry &amp; cell / module origin</t>
  </si>
  <si>
    <t>Ratings &amp; standards (IEEE C57, DOE efficiency)</t>
  </si>
  <si>
    <t>Rating (362 kV class, interrupting kA)</t>
  </si>
  <si>
    <t>Rating (kV class, kA, IEEE C37)</t>
  </si>
  <si>
    <t>Bonding capacity</t>
  </si>
  <si>
    <t>Hosting &amp; data origin (FEOC)</t>
  </si>
  <si>
    <t>Fee basis / rate sheet</t>
  </si>
  <si>
    <t>Certifications (UL 9540, UL 9540A, NFPA 855)</t>
  </si>
  <si>
    <t>Production capacity / slot availability</t>
  </si>
  <si>
    <t>Insulating gas (SF6 / SF6-free)</t>
  </si>
  <si>
    <t>Arc-resistant design</t>
  </si>
  <si>
    <t>Safety record (EMR, TRIR)</t>
  </si>
  <si>
    <t>Integration (SCADA, APIs)</t>
  </si>
  <si>
    <t>Insurance (PL / GL limits)</t>
  </si>
  <si>
    <t>Fee basis</t>
  </si>
  <si>
    <t>Warranty &amp; performance guarantee</t>
  </si>
  <si>
    <t>Factory testing &amp; witness (FAT)</t>
  </si>
  <si>
    <t>Utility / ERCOT references</t>
  </si>
  <si>
    <t>Warranty</t>
  </si>
  <si>
    <t>Financial strength</t>
  </si>
  <si>
    <t>Pricing model</t>
  </si>
  <si>
    <t>Schedule capacity &amp; turnaround</t>
  </si>
  <si>
    <t>Schedule capacity &amp; start date</t>
  </si>
  <si>
    <t>Insurance (PL limit)</t>
  </si>
  <si>
    <t>Report turnaround</t>
  </si>
  <si>
    <t>Domestic content (ITC adder)</t>
  </si>
  <si>
    <t>Texas field service support</t>
  </si>
  <si>
    <t>Texas labor availability</t>
  </si>
  <si>
    <t>Support / SLA</t>
  </si>
  <si>
    <t>Texas office / field staff</t>
  </si>
  <si>
    <t>Geotech / survey capability</t>
  </si>
  <si>
    <t>Design software &amp; standards (ASCE 7, ACI)</t>
  </si>
  <si>
    <t>Texas / ERCOT presence</t>
  </si>
  <si>
    <t>Bankability / financial strength</t>
  </si>
  <si>
    <t>Domestic content</t>
  </si>
  <si>
    <t>Risk appetite (LDs, wrap, insurance)</t>
  </si>
  <si>
    <t>References</t>
  </si>
  <si>
    <t>Blank slots = spare. A header typed directly on an RFI tab overrides the default for that RFI only.</t>
  </si>
  <si>
    <t>One row per Agentic project. RFI tabs pick their project from the Project Name column. Placeholder rows: rename them.</t>
  </si>
  <si>
    <t>Project ID</t>
  </si>
  <si>
    <t>Project Name</t>
  </si>
  <si>
    <t>County / Location</t>
  </si>
  <si>
    <t>ERCOT Load Zone</t>
  </si>
  <si>
    <t>POI Voltage (kV)</t>
  </si>
  <si>
    <t>Size (MW / MWh)</t>
  </si>
  <si>
    <t>Project Manager</t>
  </si>
  <si>
    <t>PRJ-001</t>
  </si>
  <si>
    <t>Placeholder added at setup 2026-10-05</t>
  </si>
  <si>
    <t>PRJ-002</t>
  </si>
  <si>
    <t>Project B (placeholder - rename)</t>
  </si>
  <si>
    <t>PRJ-003</t>
  </si>
  <si>
    <t>Project C (placeholder - rename)</t>
  </si>
  <si>
    <t>Dropdown values used across the workbook. Add owners in the yellow cells; change other lists only with a Change Log entry.</t>
  </si>
  <si>
    <t>RFI Vendor Status</t>
  </si>
  <si>
    <t>RFI Activity Status</t>
  </si>
  <si>
    <t>Key Item Rating</t>
  </si>
  <si>
    <t>Action Owners (add names)</t>
  </si>
  <si>
    <t>Vendor Types</t>
  </si>
  <si>
    <t>Meets</t>
  </si>
  <si>
    <t>Sent</t>
  </si>
  <si>
    <t>Issued</t>
  </si>
  <si>
    <t>Prequalified</t>
  </si>
  <si>
    <t>Sam Brandin</t>
  </si>
  <si>
    <t>Acknowledged</t>
  </si>
  <si>
    <t>Responses Due</t>
  </si>
  <si>
    <t>Qualified</t>
  </si>
  <si>
    <t>Fails</t>
  </si>
  <si>
    <t>Matt Shae</t>
  </si>
  <si>
    <t>Clarifications Open</t>
  </si>
  <si>
    <t>Evaluation</t>
  </si>
  <si>
    <t>AVL</t>
  </si>
  <si>
    <t>Not Rated</t>
  </si>
  <si>
    <t>Response Received</t>
  </si>
  <si>
    <t>Closed - Advance to RFP</t>
  </si>
  <si>
    <t>On Hold</t>
  </si>
  <si>
    <t>Project Engineer</t>
  </si>
  <si>
    <t>Under Review</t>
  </si>
  <si>
    <t>Closed - No Further Action</t>
  </si>
  <si>
    <t>Disqualified</t>
  </si>
  <si>
    <t>Complete</t>
  </si>
  <si>
    <t>Cancelled</t>
  </si>
  <si>
    <t>Declined</t>
  </si>
  <si>
    <t>No Response</t>
  </si>
  <si>
    <t>Record every structural change (tabs, columns, lists, key item defaults, formulas) and each new RFI tab. Routine data entry is covered by SharePoint version history.</t>
  </si>
  <si>
    <t>Date</t>
  </si>
  <si>
    <t>Changed By</t>
  </si>
  <si>
    <t>Tab / Area</t>
  </si>
  <si>
    <t>Change</t>
  </si>
  <si>
    <t>Reason / Approved By</t>
  </si>
  <si>
    <t>Claude (AI) for Jason Knedlhans</t>
  </si>
  <si>
    <t>All</t>
  </si>
  <si>
    <t>Initial release. Replaces the HTML RFI tracker (claude.ai artifact, retired). Tabs: Read Me, Dashboard, RFI Register, RFI-001 (example), RFI_TEMPLATE, Vendors (109 vendors from vendor landscape tracker), Key Items, Projects (placeholders), Lists, Change Log.</t>
  </si>
  <si>
    <t>Requested by Jason Knedlhans; pending review</t>
  </si>
  <si>
    <t>Seven Angels BESS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</si>
</sst>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charset val="1"/>
    </font>
    <font>
      <b/>
      <sz val="16"/>
      <color rgb="FF1F3A4D"/>
      <name val="Arial"/>
      <charset val="1"/>
    </font>
    <font>
      <sz val="11"/>
      <color theme="1"/>
      <name val="Arial"/>
      <family val="2"/>
      <charset val="1"/>
    </font>
    <font>
      <i/>
      <sz val="9"/>
      <color rgb="FF5B6876"/>
      <name val="Arial"/>
      <charset val="1"/>
    </font>
    <font>
      <b/>
      <sz val="10"/>
      <color rgb="FF1F2933"/>
      <name val="Arial"/>
      <charset val="1"/>
    </font>
    <font>
      <b/>
      <sz val="10"/>
      <color rgb="FFFFFFFF"/>
      <name val="Arial"/>
      <charset val="1"/>
    </font>
    <font>
      <b/>
      <sz val="9"/>
      <color rgb="FF5B6876"/>
      <name val="Arial"/>
      <charset val="1"/>
    </font>
    <font>
      <b/>
      <sz val="18"/>
      <color rgb="FF1F3A4D"/>
      <name val="Arial"/>
      <charset val="1"/>
    </font>
    <font>
      <b/>
      <sz val="12"/>
      <color rgb="FF1F3A4D"/>
      <name val="Arial"/>
      <charset val="1"/>
    </font>
    <font>
      <b/>
      <sz val="10"/>
      <color rgb="FF1F3A4D"/>
      <name val="Arial"/>
      <charset val="1"/>
    </font>
    <font>
      <sz val="10"/>
      <name val="Arial"/>
      <family val="2"/>
    </font>
  </fonts>
  <fills count="7">
    <fill>
      <patternFill patternType="none"/>
    </fill>
    <fill>
      <patternFill patternType="gray125"/>
    </fill>
    <fill>
      <patternFill patternType="solid">
        <fgColor rgb="FF1F3A4D"/>
        <bgColor rgb="FF1F2933"/>
      </patternFill>
    </fill>
    <fill>
      <patternFill patternType="solid">
        <fgColor rgb="FFD7E3EC"/>
        <bgColor rgb="FFDDE4FB"/>
      </patternFill>
    </fill>
    <fill>
      <patternFill patternType="solid">
        <fgColor rgb="FFFFF6D6"/>
        <bgColor rgb="FFF2F4F6"/>
      </patternFill>
    </fill>
    <fill>
      <patternFill patternType="solid">
        <fgColor rgb="FFF2F4F6"/>
        <bgColor rgb="FFE8EBEE"/>
      </patternFill>
    </fill>
    <fill>
      <patternFill patternType="solid">
        <fgColor rgb="FF2E5A78"/>
        <bgColor rgb="FF5B6876"/>
      </patternFill>
    </fill>
  </fills>
  <borders count="4">
    <border>
      <left/>
      <right/>
      <top/>
      <bottom/>
      <diagonal/>
    </border>
    <border>
      <left style="thin">
        <color rgb="FFC9D1D9"/>
      </left>
      <right style="thin">
        <color rgb="FFC9D1D9"/>
      </right>
      <top style="thin">
        <color rgb="FFC9D1D9"/>
      </top>
      <bottom style="thin">
        <color rgb="FFC9D1D9"/>
      </bottom>
      <diagonal/>
    </border>
    <border>
      <left style="thin">
        <color rgb="FFC9D1D9"/>
      </left>
      <right style="thin">
        <color rgb="FFC9D1D9"/>
      </right>
      <top style="thin">
        <color rgb="FFC9D1D9"/>
      </top>
      <bottom/>
      <diagonal/>
    </border>
    <border>
      <left style="thin">
        <color rgb="FFC9D1D9"/>
      </left>
      <right/>
      <top style="thin">
        <color rgb="FFC9D1D9"/>
      </top>
      <bottom style="thin">
        <color rgb="FFC9D1D9"/>
      </bottom>
      <diagonal/>
    </border>
  </borders>
  <cellStyleXfs count="1">
    <xf numFmtId="0" fontId="0" fillId="0" borderId="0"/>
  </cellStyleXfs>
  <cellXfs count="36">
    <xf numFmtId="0" fontId="0" fillId="0" borderId="0" xfId="0"/>
    <xf numFmtId="0" fontId="5" fillId="6"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9" fillId="3" borderId="0" xfId="0" applyFont="1" applyFill="1" applyAlignment="1">
      <alignment horizontal="center" vertical="center" wrapText="1"/>
    </xf>
    <xf numFmtId="164" fontId="2" fillId="4" borderId="1" xfId="0" applyNumberFormat="1" applyFont="1" applyFill="1" applyBorder="1" applyAlignment="1">
      <alignment vertical="center"/>
    </xf>
    <xf numFmtId="0" fontId="2" fillId="4" borderId="1" xfId="0" applyFont="1" applyFill="1" applyBorder="1" applyAlignment="1">
      <alignment vertical="center"/>
    </xf>
    <xf numFmtId="0" fontId="1" fillId="0" borderId="0" xfId="0" applyFont="1"/>
    <xf numFmtId="0" fontId="2" fillId="0" borderId="0" xfId="0" applyFont="1"/>
    <xf numFmtId="0" fontId="3" fillId="0" borderId="0" xfId="0" applyFont="1"/>
    <xf numFmtId="0" fontId="4" fillId="0" borderId="0" xfId="0" applyFont="1"/>
    <xf numFmtId="0" fontId="2" fillId="0" borderId="0" xfId="0" applyFont="1" applyAlignment="1">
      <alignment vertical="top" wrapText="1"/>
    </xf>
    <xf numFmtId="164" fontId="2" fillId="0" borderId="0" xfId="0" applyNumberFormat="1" applyFont="1" applyAlignment="1">
      <alignment horizontal="left"/>
    </xf>
    <xf numFmtId="0" fontId="5" fillId="2" borderId="0" xfId="0" applyFont="1" applyFill="1"/>
    <xf numFmtId="0" fontId="2" fillId="2" borderId="0" xfId="0" applyFont="1" applyFill="1"/>
    <xf numFmtId="0" fontId="4" fillId="0" borderId="0" xfId="0" applyFont="1" applyAlignment="1">
      <alignment vertical="top"/>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0" xfId="0" applyFont="1"/>
    <xf numFmtId="0" fontId="5"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horizontal="center"/>
    </xf>
    <xf numFmtId="0" fontId="2" fillId="4" borderId="1" xfId="0" applyFont="1" applyFill="1" applyBorder="1"/>
    <xf numFmtId="0" fontId="2" fillId="5" borderId="1" xfId="0" applyFont="1" applyFill="1" applyBorder="1"/>
    <xf numFmtId="164" fontId="2" fillId="5" borderId="1" xfId="0" applyNumberFormat="1" applyFont="1" applyFill="1" applyBorder="1"/>
    <xf numFmtId="0" fontId="2" fillId="5" borderId="1" xfId="0" applyFont="1" applyFill="1" applyBorder="1" applyAlignment="1">
      <alignment horizontal="center"/>
    </xf>
    <xf numFmtId="0" fontId="4" fillId="0" borderId="0" xfId="0" applyFont="1" applyAlignment="1">
      <alignment vertical="center"/>
    </xf>
    <xf numFmtId="0" fontId="4" fillId="0" borderId="0" xfId="0" applyFont="1" applyAlignment="1">
      <alignment horizontal="right"/>
    </xf>
    <xf numFmtId="0" fontId="4" fillId="5" borderId="1" xfId="0" applyFont="1" applyFill="1" applyBorder="1" applyAlignment="1">
      <alignment horizontal="center"/>
    </xf>
    <xf numFmtId="0" fontId="9" fillId="3"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2" fillId="4" borderId="1" xfId="0" applyFont="1" applyFill="1" applyBorder="1" applyAlignment="1">
      <alignment vertical="top"/>
    </xf>
    <xf numFmtId="164" fontId="2" fillId="4" borderId="1" xfId="0" applyNumberFormat="1" applyFont="1" applyFill="1" applyBorder="1" applyAlignment="1">
      <alignment vertical="top"/>
    </xf>
    <xf numFmtId="164" fontId="2" fillId="4" borderId="1" xfId="0" applyNumberFormat="1" applyFont="1" applyFill="1" applyBorder="1" applyAlignment="1">
      <alignment vertical="top" wrapText="1"/>
    </xf>
    <xf numFmtId="0" fontId="4" fillId="0" borderId="1" xfId="0" applyFont="1" applyBorder="1" applyAlignment="1">
      <alignment horizontal="center" vertical="center" wrapText="1"/>
    </xf>
  </cellXfs>
  <cellStyles count="1">
    <cellStyle name="Normal" xfId="0" builtinId="0"/>
  </cellStyles>
  <dxfs count="96">
    <dxf>
      <font>
        <b/>
        <color rgb="FF9B1C14"/>
        <name val="Arial"/>
        <charset val="1"/>
      </font>
      <fill>
        <patternFill>
          <bgColor rgb="FFF9D6D3"/>
        </patternFill>
      </fill>
    </dxf>
    <dxf>
      <fill>
        <patternFill>
          <bgColor rgb="FFFBE7C2"/>
        </patternFill>
      </fill>
    </dxf>
    <dxf>
      <font>
        <b/>
        <color rgb="FF9B1C14"/>
        <name val="Arial"/>
        <charset val="1"/>
      </font>
    </dxf>
    <dxf>
      <font>
        <b/>
        <color rgb="FF9B1C14"/>
        <name val="Arial"/>
        <charset val="1"/>
      </font>
      <fill>
        <patternFill>
          <bgColor rgb="FFF9D6D3"/>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FBE7C2"/>
        </patternFill>
      </fill>
    </dxf>
    <dxf>
      <fill>
        <patternFill>
          <bgColor rgb="FFD5EFDF"/>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D5EFDF"/>
        </patternFill>
      </fill>
    </dxf>
    <dxf>
      <fill>
        <patternFill>
          <bgColor rgb="FFFBE7C2"/>
        </patternFill>
      </fill>
    </dxf>
    <dxf>
      <font>
        <b/>
        <color rgb="FF9B1C14"/>
        <name val="Arial"/>
        <charset val="1"/>
      </font>
      <fill>
        <patternFill>
          <bgColor rgb="FFF9D6D3"/>
        </patternFill>
      </fill>
    </dxf>
    <dxf>
      <fill>
        <patternFill>
          <bgColor rgb="FFD5EFDF"/>
        </patternFill>
      </fill>
    </dxf>
    <dxf>
      <fill>
        <patternFill>
          <bgColor rgb="FFFBE7C2"/>
        </patternFill>
      </fill>
    </dxf>
    <dxf>
      <font>
        <b/>
        <color rgb="FF9B1C14"/>
        <name val="Arial"/>
        <charset val="1"/>
      </font>
      <fill>
        <patternFill>
          <bgColor rgb="FFF9D6D3"/>
        </patternFill>
      </fill>
    </dxf>
    <dxf>
      <fill>
        <patternFill>
          <bgColor rgb="FFD5EFDF"/>
        </patternFill>
      </fill>
    </dxf>
    <dxf>
      <fill>
        <patternFill>
          <bgColor rgb="FFFBE7C2"/>
        </patternFill>
      </fill>
    </dxf>
    <dxf>
      <font>
        <b/>
        <color rgb="FF9B1C14"/>
        <name val="Arial"/>
        <charset val="1"/>
      </font>
      <fill>
        <patternFill>
          <bgColor rgb="FFF9D6D3"/>
        </patternFill>
      </fill>
    </dxf>
    <dxf>
      <font>
        <b/>
        <color rgb="FF9B1C14"/>
        <name val="Arial"/>
        <charset val="1"/>
      </font>
      <fill>
        <patternFill>
          <bgColor rgb="FFF9D6D3"/>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FBE7C2"/>
        </patternFill>
      </fill>
    </dxf>
    <dxf>
      <fill>
        <patternFill>
          <bgColor rgb="FFD5EFDF"/>
        </patternFill>
      </fill>
    </dxf>
    <dxf>
      <fill>
        <patternFill>
          <bgColor rgb="FFF9D6D3"/>
        </patternFill>
      </fill>
    </dxf>
    <dxf>
      <fill>
        <patternFill>
          <bgColor rgb="FFFBE7C2"/>
        </patternFill>
      </fill>
    </dxf>
    <dxf>
      <fill>
        <patternFill>
          <bgColor rgb="FFF9D6D3"/>
        </patternFill>
      </fill>
    </dxf>
    <dxf>
      <fill>
        <patternFill>
          <bgColor rgb="FFF9D6D3"/>
        </patternFill>
      </fill>
    </dxf>
    <dxf>
      <fill>
        <patternFill>
          <bgColor rgb="FFE8EBEE"/>
        </patternFill>
      </fill>
    </dxf>
    <dxf>
      <fill>
        <patternFill>
          <bgColor rgb="FFD5EFDF"/>
        </patternFill>
      </fill>
    </dxf>
    <dxf>
      <fill>
        <patternFill>
          <bgColor rgb="FFD5EFDF"/>
        </patternFill>
      </fill>
    </dxf>
    <dxf>
      <fill>
        <patternFill>
          <bgColor rgb="FFDDE4FB"/>
        </patternFill>
      </fill>
    </dxf>
    <dxf>
      <fill>
        <patternFill>
          <bgColor rgb="FFDDE4FB"/>
        </patternFill>
      </fill>
    </dxf>
    <dxf>
      <fill>
        <patternFill>
          <bgColor rgb="FFFBE7C2"/>
        </patternFill>
      </fill>
    </dxf>
    <dxf>
      <fill>
        <patternFill>
          <bgColor rgb="FFFBE7C2"/>
        </patternFill>
      </fill>
    </dxf>
    <dxf>
      <fill>
        <patternFill>
          <bgColor rgb="FFF9D6D3"/>
        </patternFill>
      </fill>
    </dxf>
    <dxf>
      <font>
        <b/>
        <color rgb="FF9B1C14"/>
        <name val="Arial"/>
        <charset val="1"/>
      </font>
      <fill>
        <patternFill>
          <bgColor rgb="FFF9D6D3"/>
        </patternFill>
      </fill>
    </dxf>
    <dxf>
      <fill>
        <patternFill>
          <bgColor rgb="FFFBE7C2"/>
        </patternFill>
      </fill>
    </dxf>
    <dxf>
      <font>
        <b/>
        <color rgb="FF9B1C14"/>
        <name val="Arial"/>
        <charset val="1"/>
      </font>
    </dxf>
    <dxf>
      <font>
        <b/>
        <color rgb="FF9B1C14"/>
        <name val="Arial"/>
        <charset val="1"/>
      </font>
      <fill>
        <patternFill>
          <bgColor rgb="FFF9D6D3"/>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FBE7C2"/>
        </patternFill>
      </fill>
    </dxf>
    <dxf>
      <fill>
        <patternFill>
          <bgColor rgb="FFD5EFDF"/>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D5EFDF"/>
        </patternFill>
      </fill>
    </dxf>
    <dxf>
      <fill>
        <patternFill>
          <bgColor rgb="FFFBE7C2"/>
        </patternFill>
      </fill>
    </dxf>
    <dxf>
      <font>
        <b/>
        <color rgb="FF9B1C14"/>
        <name val="Arial"/>
        <charset val="1"/>
      </font>
      <fill>
        <patternFill>
          <bgColor rgb="FFF9D6D3"/>
        </patternFill>
      </fill>
    </dxf>
    <dxf>
      <fill>
        <patternFill>
          <bgColor rgb="FFD5EFDF"/>
        </patternFill>
      </fill>
    </dxf>
    <dxf>
      <fill>
        <patternFill>
          <bgColor rgb="FFFBE7C2"/>
        </patternFill>
      </fill>
    </dxf>
    <dxf>
      <font>
        <b/>
        <color rgb="FF9B1C14"/>
        <name val="Arial"/>
        <charset val="1"/>
      </font>
      <fill>
        <patternFill>
          <bgColor rgb="FFF9D6D3"/>
        </patternFill>
      </fill>
    </dxf>
    <dxf>
      <fill>
        <patternFill>
          <bgColor rgb="FFD5EFDF"/>
        </patternFill>
      </fill>
    </dxf>
    <dxf>
      <fill>
        <patternFill>
          <bgColor rgb="FFFBE7C2"/>
        </patternFill>
      </fill>
    </dxf>
    <dxf>
      <font>
        <b/>
        <color rgb="FF9B1C14"/>
        <name val="Arial"/>
        <charset val="1"/>
      </font>
      <fill>
        <patternFill>
          <bgColor rgb="FFF9D6D3"/>
        </patternFill>
      </fill>
    </dxf>
    <dxf>
      <font>
        <b/>
        <color rgb="FF9B1C14"/>
        <name val="Arial"/>
        <charset val="1"/>
      </font>
      <fill>
        <patternFill>
          <bgColor rgb="FFF9D6D3"/>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FBE7C2"/>
        </patternFill>
      </fill>
    </dxf>
    <dxf>
      <fill>
        <patternFill>
          <bgColor rgb="FFD5EFDF"/>
        </patternFill>
      </fill>
    </dxf>
    <dxf>
      <font>
        <b/>
        <color rgb="FF9B1C14"/>
        <name val="Arial"/>
        <charset val="1"/>
      </font>
      <fill>
        <patternFill>
          <bgColor rgb="FFF9D6D3"/>
        </patternFill>
      </fill>
    </dxf>
    <dxf>
      <fill>
        <patternFill>
          <bgColor rgb="FFFBE7C2"/>
        </patternFill>
      </fill>
    </dxf>
    <dxf>
      <fill>
        <patternFill>
          <bgColor rgb="FFD5EFDF"/>
        </patternFill>
      </fill>
    </dxf>
    <dxf>
      <fill>
        <patternFill>
          <bgColor rgb="FFF9D6D3"/>
        </patternFill>
      </fill>
    </dxf>
    <dxf>
      <fill>
        <patternFill>
          <bgColor rgb="FFFBE7C2"/>
        </patternFill>
      </fill>
    </dxf>
    <dxf>
      <fill>
        <patternFill>
          <bgColor rgb="FFF9D6D3"/>
        </patternFill>
      </fill>
    </dxf>
    <dxf>
      <fill>
        <patternFill>
          <bgColor rgb="FFF9D6D3"/>
        </patternFill>
      </fill>
    </dxf>
    <dxf>
      <fill>
        <patternFill>
          <bgColor rgb="FFE8EBEE"/>
        </patternFill>
      </fill>
    </dxf>
    <dxf>
      <fill>
        <patternFill>
          <bgColor rgb="FFD5EFDF"/>
        </patternFill>
      </fill>
    </dxf>
    <dxf>
      <fill>
        <patternFill>
          <bgColor rgb="FFD5EFDF"/>
        </patternFill>
      </fill>
    </dxf>
    <dxf>
      <fill>
        <patternFill>
          <bgColor rgb="FFDDE4FB"/>
        </patternFill>
      </fill>
    </dxf>
    <dxf>
      <fill>
        <patternFill>
          <bgColor rgb="FFDDE4FB"/>
        </patternFill>
      </fill>
    </dxf>
    <dxf>
      <fill>
        <patternFill>
          <bgColor rgb="FFFBE7C2"/>
        </patternFill>
      </fill>
    </dxf>
    <dxf>
      <fill>
        <patternFill>
          <bgColor rgb="FFFBE7C2"/>
        </patternFill>
      </fill>
    </dxf>
    <dxf>
      <fill>
        <patternFill>
          <bgColor rgb="FFF9D6D3"/>
        </patternFill>
      </fill>
    </dxf>
    <dxf>
      <fill>
        <patternFill>
          <bgColor rgb="FFF9D6D3"/>
        </patternFill>
      </fill>
    </dxf>
    <dxf>
      <font>
        <b/>
        <color rgb="FF9B1C14"/>
        <name val="Arial"/>
        <charset val="1"/>
      </font>
      <fill>
        <patternFill>
          <bgColor rgb="FFF9D6D3"/>
        </patternFill>
      </fill>
    </dxf>
    <dxf>
      <fill>
        <patternFill>
          <bgColor rgb="FFF9D6D3"/>
        </patternFill>
      </fill>
    </dxf>
    <dxf>
      <fill>
        <patternFill>
          <bgColor rgb="FFF9D6D3"/>
        </patternFill>
      </fill>
    </dxf>
    <dxf>
      <fill>
        <patternFill>
          <bgColor rgb="FFF9D6D3"/>
        </patternFill>
      </fill>
    </dxf>
    <dxf>
      <fill>
        <patternFill>
          <bgColor rgb="FFF9D6D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A15C00"/>
      <rgbColor rgb="FF800080"/>
      <rgbColor rgb="FF008080"/>
      <rgbColor rgb="FFD7E3EC"/>
      <rgbColor rgb="FF808080"/>
      <rgbColor rgb="FF9999FF"/>
      <rgbColor rgb="FF993366"/>
      <rgbColor rgb="FFFFF6D6"/>
      <rgbColor rgb="FFE8EBEE"/>
      <rgbColor rgb="FF660066"/>
      <rgbColor rgb="FFFF8080"/>
      <rgbColor rgb="FF0066CC"/>
      <rgbColor rgb="FFC9D1D9"/>
      <rgbColor rgb="FF000080"/>
      <rgbColor rgb="FFFF00FF"/>
      <rgbColor rgb="FFFFFF00"/>
      <rgbColor rgb="FF00FFFF"/>
      <rgbColor rgb="FF800080"/>
      <rgbColor rgb="FF800000"/>
      <rgbColor rgb="FF008080"/>
      <rgbColor rgb="FF0000FF"/>
      <rgbColor rgb="FF00CCFF"/>
      <rgbColor rgb="FFF2F4F6"/>
      <rgbColor rgb="FFD5EFDF"/>
      <rgbColor rgb="FFFBE7C2"/>
      <rgbColor rgb="FFDDE4FB"/>
      <rgbColor rgb="FFFF99CC"/>
      <rgbColor rgb="FFCC99FF"/>
      <rgbColor rgb="FFF9D6D3"/>
      <rgbColor rgb="FF3366FF"/>
      <rgbColor rgb="FF33CCCC"/>
      <rgbColor rgb="FF99CC00"/>
      <rgbColor rgb="FFFFCC00"/>
      <rgbColor rgb="FFFF9900"/>
      <rgbColor rgb="FFFF6600"/>
      <rgbColor rgb="FF5B6876"/>
      <rgbColor rgb="FF8794A1"/>
      <rgbColor rgb="FF1F3A4D"/>
      <rgbColor rgb="FF339966"/>
      <rgbColor rgb="FF003300"/>
      <rgbColor rgb="FF333300"/>
      <rgbColor rgb="FF9B1C14"/>
      <rgbColor rgb="FF993366"/>
      <rgbColor rgb="FF2E5A78"/>
      <rgbColor rgb="FF1F29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showGridLines="0" zoomScaleNormal="100" workbookViewId="0"/>
  </sheetViews>
  <sheetFormatPr defaultColWidth="8.7109375" defaultRowHeight="15" x14ac:dyDescent="0.25"/>
  <cols>
    <col min="1" max="1" width="26" customWidth="1"/>
    <col min="2" max="2" width="100" customWidth="1"/>
  </cols>
  <sheetData>
    <row r="1" spans="1:2" ht="20.25" x14ac:dyDescent="0.3">
      <c r="A1" s="6" t="s">
        <v>0</v>
      </c>
      <c r="B1" s="7"/>
    </row>
    <row r="2" spans="1:2" x14ac:dyDescent="0.25">
      <c r="A2" s="8" t="s">
        <v>1</v>
      </c>
      <c r="B2" s="7"/>
    </row>
    <row r="3" spans="1:2" x14ac:dyDescent="0.25">
      <c r="A3" s="7"/>
      <c r="B3" s="7"/>
    </row>
    <row r="4" spans="1:2" x14ac:dyDescent="0.25">
      <c r="A4" s="9" t="s">
        <v>2</v>
      </c>
      <c r="B4" s="10" t="s">
        <v>3</v>
      </c>
    </row>
    <row r="5" spans="1:2" x14ac:dyDescent="0.25">
      <c r="A5" s="9" t="s">
        <v>4</v>
      </c>
      <c r="B5" s="11">
        <v>46300</v>
      </c>
    </row>
    <row r="6" spans="1:2" ht="28.5" x14ac:dyDescent="0.25">
      <c r="A6" s="9" t="s">
        <v>5</v>
      </c>
      <c r="B6" s="10" t="s">
        <v>6</v>
      </c>
    </row>
    <row r="7" spans="1:2" x14ac:dyDescent="0.25">
      <c r="A7" s="9" t="s">
        <v>7</v>
      </c>
      <c r="B7" s="10" t="s">
        <v>8</v>
      </c>
    </row>
    <row r="8" spans="1:2" x14ac:dyDescent="0.25">
      <c r="A8" s="7"/>
      <c r="B8" s="7"/>
    </row>
    <row r="9" spans="1:2" x14ac:dyDescent="0.25">
      <c r="A9" s="12" t="s">
        <v>9</v>
      </c>
      <c r="B9" s="13"/>
    </row>
    <row r="10" spans="1:2" ht="42.75" x14ac:dyDescent="0.25">
      <c r="A10" s="14" t="s">
        <v>10</v>
      </c>
      <c r="B10" s="10" t="s">
        <v>11</v>
      </c>
    </row>
    <row r="11" spans="1:2" x14ac:dyDescent="0.25">
      <c r="A11" s="7"/>
      <c r="B11" s="7"/>
    </row>
    <row r="12" spans="1:2" x14ac:dyDescent="0.25">
      <c r="A12" s="12" t="s">
        <v>12</v>
      </c>
      <c r="B12" s="13"/>
    </row>
    <row r="13" spans="1:2" x14ac:dyDescent="0.25">
      <c r="A13" s="14" t="s">
        <v>13</v>
      </c>
      <c r="B13" s="10" t="s">
        <v>14</v>
      </c>
    </row>
    <row r="14" spans="1:2" x14ac:dyDescent="0.25">
      <c r="A14" s="14" t="s">
        <v>15</v>
      </c>
      <c r="B14" s="10" t="s">
        <v>16</v>
      </c>
    </row>
    <row r="15" spans="1:2" ht="28.5" x14ac:dyDescent="0.25">
      <c r="A15" s="14" t="s">
        <v>17</v>
      </c>
      <c r="B15" s="10" t="s">
        <v>18</v>
      </c>
    </row>
    <row r="16" spans="1:2" x14ac:dyDescent="0.25">
      <c r="A16" s="14" t="s">
        <v>19</v>
      </c>
      <c r="B16" s="10" t="s">
        <v>20</v>
      </c>
    </row>
    <row r="17" spans="1:2" x14ac:dyDescent="0.25">
      <c r="A17" s="14" t="s">
        <v>21</v>
      </c>
      <c r="B17" s="10" t="s">
        <v>22</v>
      </c>
    </row>
    <row r="18" spans="1:2" x14ac:dyDescent="0.25">
      <c r="A18" s="14" t="s">
        <v>23</v>
      </c>
      <c r="B18" s="10" t="s">
        <v>24</v>
      </c>
    </row>
    <row r="19" spans="1:2" x14ac:dyDescent="0.25">
      <c r="A19" s="14" t="s">
        <v>25</v>
      </c>
      <c r="B19" s="10" t="s">
        <v>26</v>
      </c>
    </row>
    <row r="20" spans="1:2" x14ac:dyDescent="0.25">
      <c r="A20" s="14" t="s">
        <v>27</v>
      </c>
      <c r="B20" s="10" t="s">
        <v>28</v>
      </c>
    </row>
    <row r="21" spans="1:2" x14ac:dyDescent="0.25">
      <c r="A21" s="14" t="s">
        <v>29</v>
      </c>
      <c r="B21" s="10" t="s">
        <v>30</v>
      </c>
    </row>
    <row r="22" spans="1:2" x14ac:dyDescent="0.25">
      <c r="A22" s="7"/>
      <c r="B22" s="7"/>
    </row>
    <row r="23" spans="1:2" x14ac:dyDescent="0.25">
      <c r="A23" s="12" t="s">
        <v>31</v>
      </c>
      <c r="B23" s="13"/>
    </row>
    <row r="24" spans="1:2" ht="28.5" x14ac:dyDescent="0.25">
      <c r="A24" s="14" t="s">
        <v>32</v>
      </c>
      <c r="B24" s="10" t="s">
        <v>33</v>
      </c>
    </row>
    <row r="25" spans="1:2" x14ac:dyDescent="0.25">
      <c r="A25" s="14" t="s">
        <v>34</v>
      </c>
      <c r="B25" s="10" t="s">
        <v>35</v>
      </c>
    </row>
    <row r="26" spans="1:2" ht="28.5" x14ac:dyDescent="0.25">
      <c r="A26" s="14" t="s">
        <v>36</v>
      </c>
      <c r="B26" s="10" t="s">
        <v>37</v>
      </c>
    </row>
    <row r="27" spans="1:2" ht="28.5" x14ac:dyDescent="0.25">
      <c r="A27" s="14" t="s">
        <v>38</v>
      </c>
      <c r="B27" s="10" t="s">
        <v>39</v>
      </c>
    </row>
    <row r="28" spans="1:2" x14ac:dyDescent="0.25">
      <c r="A28" s="14" t="s">
        <v>40</v>
      </c>
      <c r="B28" s="10" t="s">
        <v>41</v>
      </c>
    </row>
    <row r="29" spans="1:2" x14ac:dyDescent="0.25">
      <c r="A29" s="7"/>
      <c r="B29" s="7"/>
    </row>
    <row r="30" spans="1:2" x14ac:dyDescent="0.25">
      <c r="A30" s="12" t="s">
        <v>42</v>
      </c>
      <c r="B30" s="13"/>
    </row>
    <row r="31" spans="1:2" ht="28.5" x14ac:dyDescent="0.25">
      <c r="A31" s="14" t="s">
        <v>43</v>
      </c>
      <c r="B31" s="10" t="s">
        <v>44</v>
      </c>
    </row>
    <row r="32" spans="1:2" ht="28.5" x14ac:dyDescent="0.25">
      <c r="A32" s="14" t="s">
        <v>45</v>
      </c>
      <c r="B32" s="10" t="s">
        <v>46</v>
      </c>
    </row>
    <row r="33" spans="1:2" ht="28.5" x14ac:dyDescent="0.25">
      <c r="A33" s="14" t="s">
        <v>47</v>
      </c>
      <c r="B33" s="10" t="s">
        <v>48</v>
      </c>
    </row>
    <row r="34" spans="1:2" x14ac:dyDescent="0.25">
      <c r="A34" s="7"/>
      <c r="B34" s="7"/>
    </row>
    <row r="35" spans="1:2" x14ac:dyDescent="0.25">
      <c r="A35" s="12" t="s">
        <v>49</v>
      </c>
      <c r="B35" s="13"/>
    </row>
    <row r="36" spans="1:2" x14ac:dyDescent="0.25">
      <c r="A36" s="14" t="s">
        <v>50</v>
      </c>
      <c r="B36" s="10" t="s">
        <v>51</v>
      </c>
    </row>
    <row r="37" spans="1:2" x14ac:dyDescent="0.25">
      <c r="A37" s="14" t="s">
        <v>52</v>
      </c>
      <c r="B37" s="10" t="s">
        <v>53</v>
      </c>
    </row>
    <row r="38" spans="1:2" x14ac:dyDescent="0.25">
      <c r="A38" s="14" t="s">
        <v>54</v>
      </c>
      <c r="B38" s="10" t="s">
        <v>55</v>
      </c>
    </row>
    <row r="39" spans="1:2" x14ac:dyDescent="0.25">
      <c r="A39" s="7"/>
      <c r="B39" s="7"/>
    </row>
    <row r="40" spans="1:2" x14ac:dyDescent="0.25">
      <c r="A40" s="12" t="s">
        <v>56</v>
      </c>
      <c r="B40" s="13"/>
    </row>
    <row r="41" spans="1:2" ht="28.5" x14ac:dyDescent="0.25">
      <c r="A41" s="14" t="s">
        <v>5</v>
      </c>
      <c r="B41" s="10" t="s">
        <v>57</v>
      </c>
    </row>
    <row r="42" spans="1:2" ht="28.5" x14ac:dyDescent="0.25">
      <c r="A42" s="14" t="s">
        <v>58</v>
      </c>
      <c r="B42" s="10" t="s">
        <v>59</v>
      </c>
    </row>
    <row r="43" spans="1:2" ht="42.75" x14ac:dyDescent="0.25">
      <c r="A43" s="14" t="s">
        <v>60</v>
      </c>
      <c r="B43" s="10" t="s">
        <v>61</v>
      </c>
    </row>
    <row r="44" spans="1:2" ht="28.5" x14ac:dyDescent="0.25">
      <c r="A44" s="14" t="s">
        <v>62</v>
      </c>
      <c r="B44" s="10" t="s">
        <v>63</v>
      </c>
    </row>
    <row r="45" spans="1:2" x14ac:dyDescent="0.25">
      <c r="A45" s="14" t="s">
        <v>64</v>
      </c>
      <c r="B45" s="10" t="s">
        <v>65</v>
      </c>
    </row>
    <row r="46" spans="1:2" x14ac:dyDescent="0.25">
      <c r="A46" s="7"/>
      <c r="B46" s="7"/>
    </row>
    <row r="47" spans="1:2" x14ac:dyDescent="0.25">
      <c r="A47" s="12" t="s">
        <v>66</v>
      </c>
      <c r="B47" s="13"/>
    </row>
    <row r="48" spans="1:2" ht="28.5" x14ac:dyDescent="0.25">
      <c r="A48" s="14" t="s">
        <v>67</v>
      </c>
      <c r="B48" s="10" t="s">
        <v>68</v>
      </c>
    </row>
    <row r="49" spans="1:2" ht="28.5" x14ac:dyDescent="0.25">
      <c r="A49" s="14" t="s">
        <v>69</v>
      </c>
      <c r="B49" s="10" t="s">
        <v>70</v>
      </c>
    </row>
    <row r="50" spans="1:2" x14ac:dyDescent="0.25">
      <c r="A50" s="14" t="s">
        <v>71</v>
      </c>
      <c r="B50" s="10" t="s">
        <v>72</v>
      </c>
    </row>
    <row r="51" spans="1:2" ht="28.5" x14ac:dyDescent="0.25">
      <c r="A51" s="14" t="s">
        <v>73</v>
      </c>
      <c r="B51" s="10" t="s">
        <v>74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showGridLines="0" zoomScaleNormal="100" workbookViewId="0"/>
  </sheetViews>
  <sheetFormatPr defaultColWidth="8.7109375" defaultRowHeight="15" x14ac:dyDescent="0.25"/>
  <cols>
    <col min="1" max="1" width="34" customWidth="1"/>
    <col min="2" max="7" width="18" customWidth="1"/>
  </cols>
  <sheetData>
    <row r="1" spans="1:7" ht="20.25" x14ac:dyDescent="0.3">
      <c r="A1" s="6" t="s">
        <v>13</v>
      </c>
      <c r="B1" s="7"/>
      <c r="C1" s="7"/>
      <c r="D1" s="7"/>
      <c r="E1" s="7"/>
      <c r="F1" s="7"/>
      <c r="G1" s="7"/>
    </row>
    <row r="2" spans="1:7" x14ac:dyDescent="0.25">
      <c r="A2" s="8" t="s">
        <v>75</v>
      </c>
      <c r="B2" s="7"/>
      <c r="C2" s="7"/>
      <c r="D2" s="7"/>
      <c r="E2" s="7"/>
      <c r="F2" s="7"/>
      <c r="G2" s="7"/>
    </row>
    <row r="3" spans="1:7" x14ac:dyDescent="0.25">
      <c r="A3" s="7"/>
      <c r="B3" s="7"/>
      <c r="C3" s="7"/>
      <c r="D3" s="7"/>
      <c r="E3" s="7"/>
      <c r="F3" s="7"/>
      <c r="G3" s="7"/>
    </row>
    <row r="4" spans="1:7" x14ac:dyDescent="0.25">
      <c r="A4" s="15" t="s">
        <v>76</v>
      </c>
      <c r="B4" s="15" t="s">
        <v>77</v>
      </c>
      <c r="C4" s="15" t="s">
        <v>78</v>
      </c>
      <c r="D4" s="15" t="s">
        <v>79</v>
      </c>
      <c r="E4" s="15" t="s">
        <v>80</v>
      </c>
      <c r="F4" s="15" t="s">
        <v>81</v>
      </c>
      <c r="G4" s="15" t="s">
        <v>82</v>
      </c>
    </row>
    <row r="5" spans="1:7" ht="33.75" customHeight="1" x14ac:dyDescent="0.25">
      <c r="A5" s="16">
        <f ca="1">COUNTIFS('RFI Register'!$A$5:$A$104,"&lt;&gt;",'RFI Register'!$H$5:$H$104,"&lt;&gt;Closed*",'RFI Register'!$H$5:$H$104,"&lt;&gt;Cancelled")</f>
        <v>1</v>
      </c>
      <c r="B5" s="16">
        <f>COUNTA('RFI Register'!$A$5:$A$104)</f>
        <v>1</v>
      </c>
      <c r="C5" s="16">
        <f ca="1">SUM('RFI Register'!$I$5:$I$104)</f>
        <v>10</v>
      </c>
      <c r="D5" s="16">
        <f ca="1">SUM('RFI Register'!$J$5:$J$104)</f>
        <v>0</v>
      </c>
      <c r="E5" s="16">
        <f ca="1">SUM('RFI Register'!$K$5:$K$104)</f>
        <v>0</v>
      </c>
      <c r="F5" s="16">
        <f ca="1">SUM('RFI Register'!$L$5:$L$104)</f>
        <v>0</v>
      </c>
      <c r="G5" s="16">
        <f ca="1">SUM('RFI Register'!$M$5:$M$104)</f>
        <v>0</v>
      </c>
    </row>
    <row r="6" spans="1:7" x14ac:dyDescent="0.25">
      <c r="A6" s="7"/>
      <c r="B6" s="7"/>
      <c r="C6" s="7"/>
      <c r="D6" s="7"/>
      <c r="E6" s="7"/>
      <c r="F6" s="7"/>
      <c r="G6" s="7"/>
    </row>
    <row r="7" spans="1:7" ht="15.75" x14ac:dyDescent="0.25">
      <c r="A7" s="17" t="s">
        <v>83</v>
      </c>
      <c r="B7" s="7"/>
      <c r="C7" s="7"/>
      <c r="D7" s="7"/>
      <c r="E7" s="7"/>
      <c r="F7" s="7"/>
      <c r="G7" s="7"/>
    </row>
    <row r="8" spans="1:7" x14ac:dyDescent="0.25">
      <c r="A8" s="18" t="s">
        <v>84</v>
      </c>
      <c r="B8" s="18" t="s">
        <v>85</v>
      </c>
      <c r="C8" s="18" t="s">
        <v>86</v>
      </c>
      <c r="D8" s="18" t="s">
        <v>87</v>
      </c>
      <c r="E8" s="18" t="s">
        <v>80</v>
      </c>
      <c r="F8" s="18" t="s">
        <v>88</v>
      </c>
      <c r="G8" s="18" t="s">
        <v>89</v>
      </c>
    </row>
    <row r="9" spans="1:7" x14ac:dyDescent="0.25">
      <c r="A9" s="19" t="s">
        <v>90</v>
      </c>
      <c r="B9" s="20">
        <f ca="1">IF($A9="","",COUNTIF('RFI Register'!$C$5:$C$104,$A9))</f>
        <v>0</v>
      </c>
      <c r="C9" s="20">
        <f ca="1">IF($A9="","",COUNTIFS('RFI Register'!$C$5:$C$104,$A9,'RFI Register'!$H$5:$H$104,"&lt;&gt;Closed*",'RFI Register'!$H$5:$H$104,"&lt;&gt;Cancelled"))</f>
        <v>0</v>
      </c>
      <c r="D9" s="20">
        <f ca="1">IF($A9="","",SUMIF('RFI Register'!$C$5:$C$104,$A9,'RFI Register'!$I$5:$I$104))</f>
        <v>0</v>
      </c>
      <c r="E9" s="20">
        <f ca="1">IF($A9="","",SUMIF('RFI Register'!$C$5:$C$104,$A9,'RFI Register'!$K$5:$K$104))</f>
        <v>0</v>
      </c>
      <c r="F9" s="20">
        <f ca="1">IF($A9="","",SUMIF('RFI Register'!$C$5:$C$104,$A9,'RFI Register'!$L$5:$L$104))</f>
        <v>0</v>
      </c>
      <c r="G9" s="20">
        <f ca="1">IF($A9="","",SUMIF('RFI Register'!$C$5:$C$104,$A9,'RFI Register'!$M$5:$M$104))</f>
        <v>0</v>
      </c>
    </row>
    <row r="10" spans="1:7" x14ac:dyDescent="0.25">
      <c r="A10" s="19" t="s">
        <v>91</v>
      </c>
      <c r="B10" s="20">
        <f ca="1">IF($A10="","",COUNTIF('RFI Register'!$C$5:$C$104,$A10))</f>
        <v>0</v>
      </c>
      <c r="C10" s="20">
        <f ca="1">IF($A10="","",COUNTIFS('RFI Register'!$C$5:$C$104,$A10,'RFI Register'!$H$5:$H$104,"&lt;&gt;Closed*",'RFI Register'!$H$5:$H$104,"&lt;&gt;Cancelled"))</f>
        <v>0</v>
      </c>
      <c r="D10" s="20">
        <f ca="1">IF($A10="","",SUMIF('RFI Register'!$C$5:$C$104,$A10,'RFI Register'!$I$5:$I$104))</f>
        <v>0</v>
      </c>
      <c r="E10" s="20">
        <f ca="1">IF($A10="","",SUMIF('RFI Register'!$C$5:$C$104,$A10,'RFI Register'!$K$5:$K$104))</f>
        <v>0</v>
      </c>
      <c r="F10" s="20">
        <f ca="1">IF($A10="","",SUMIF('RFI Register'!$C$5:$C$104,$A10,'RFI Register'!$L$5:$L$104))</f>
        <v>0</v>
      </c>
      <c r="G10" s="20">
        <f ca="1">IF($A10="","",SUMIF('RFI Register'!$C$5:$C$104,$A10,'RFI Register'!$M$5:$M$104))</f>
        <v>0</v>
      </c>
    </row>
    <row r="11" spans="1:7" x14ac:dyDescent="0.25">
      <c r="A11" s="19" t="s">
        <v>92</v>
      </c>
      <c r="B11" s="20">
        <f ca="1">IF($A11="","",COUNTIF('RFI Register'!$C$5:$C$104,$A11))</f>
        <v>0</v>
      </c>
      <c r="C11" s="20">
        <f ca="1">IF($A11="","",COUNTIFS('RFI Register'!$C$5:$C$104,$A11,'RFI Register'!$H$5:$H$104,"&lt;&gt;Closed*",'RFI Register'!$H$5:$H$104,"&lt;&gt;Cancelled"))</f>
        <v>0</v>
      </c>
      <c r="D11" s="20">
        <f ca="1">IF($A11="","",SUMIF('RFI Register'!$C$5:$C$104,$A11,'RFI Register'!$I$5:$I$104))</f>
        <v>0</v>
      </c>
      <c r="E11" s="20">
        <f ca="1">IF($A11="","",SUMIF('RFI Register'!$C$5:$C$104,$A11,'RFI Register'!$K$5:$K$104))</f>
        <v>0</v>
      </c>
      <c r="F11" s="20">
        <f ca="1">IF($A11="","",SUMIF('RFI Register'!$C$5:$C$104,$A11,'RFI Register'!$L$5:$L$104))</f>
        <v>0</v>
      </c>
      <c r="G11" s="20">
        <f ca="1">IF($A11="","",SUMIF('RFI Register'!$C$5:$C$104,$A11,'RFI Register'!$M$5:$M$104))</f>
        <v>0</v>
      </c>
    </row>
    <row r="12" spans="1:7" x14ac:dyDescent="0.25">
      <c r="A12" s="19" t="s">
        <v>93</v>
      </c>
      <c r="B12" s="20">
        <f ca="1">IF($A12="","",COUNTIF('RFI Register'!$C$5:$C$104,$A12))</f>
        <v>0</v>
      </c>
      <c r="C12" s="20">
        <f ca="1">IF($A12="","",COUNTIFS('RFI Register'!$C$5:$C$104,$A12,'RFI Register'!$H$5:$H$104,"&lt;&gt;Closed*",'RFI Register'!$H$5:$H$104,"&lt;&gt;Cancelled"))</f>
        <v>0</v>
      </c>
      <c r="D12" s="20">
        <f ca="1">IF($A12="","",SUMIF('RFI Register'!$C$5:$C$104,$A12,'RFI Register'!$I$5:$I$104))</f>
        <v>0</v>
      </c>
      <c r="E12" s="20">
        <f ca="1">IF($A12="","",SUMIF('RFI Register'!$C$5:$C$104,$A12,'RFI Register'!$K$5:$K$104))</f>
        <v>0</v>
      </c>
      <c r="F12" s="20">
        <f ca="1">IF($A12="","",SUMIF('RFI Register'!$C$5:$C$104,$A12,'RFI Register'!$L$5:$L$104))</f>
        <v>0</v>
      </c>
      <c r="G12" s="20">
        <f ca="1">IF($A12="","",SUMIF('RFI Register'!$C$5:$C$104,$A12,'RFI Register'!$M$5:$M$104))</f>
        <v>0</v>
      </c>
    </row>
    <row r="13" spans="1:7" x14ac:dyDescent="0.25">
      <c r="A13" s="19" t="s">
        <v>94</v>
      </c>
      <c r="B13" s="20">
        <f ca="1">IF($A13="","",COUNTIF('RFI Register'!$C$5:$C$104,$A13))</f>
        <v>0</v>
      </c>
      <c r="C13" s="20">
        <f ca="1">IF($A13="","",COUNTIFS('RFI Register'!$C$5:$C$104,$A13,'RFI Register'!$H$5:$H$104,"&lt;&gt;Closed*",'RFI Register'!$H$5:$H$104,"&lt;&gt;Cancelled"))</f>
        <v>0</v>
      </c>
      <c r="D13" s="20">
        <f ca="1">IF($A13="","",SUMIF('RFI Register'!$C$5:$C$104,$A13,'RFI Register'!$I$5:$I$104))</f>
        <v>0</v>
      </c>
      <c r="E13" s="20">
        <f ca="1">IF($A13="","",SUMIF('RFI Register'!$C$5:$C$104,$A13,'RFI Register'!$K$5:$K$104))</f>
        <v>0</v>
      </c>
      <c r="F13" s="20">
        <f ca="1">IF($A13="","",SUMIF('RFI Register'!$C$5:$C$104,$A13,'RFI Register'!$L$5:$L$104))</f>
        <v>0</v>
      </c>
      <c r="G13" s="20">
        <f ca="1">IF($A13="","",SUMIF('RFI Register'!$C$5:$C$104,$A13,'RFI Register'!$M$5:$M$104))</f>
        <v>0</v>
      </c>
    </row>
    <row r="14" spans="1:7" x14ac:dyDescent="0.25">
      <c r="A14" s="19" t="s">
        <v>95</v>
      </c>
      <c r="B14" s="20">
        <f ca="1">IF($A14="","",COUNTIF('RFI Register'!$C$5:$C$104,$A14))</f>
        <v>0</v>
      </c>
      <c r="C14" s="20">
        <f ca="1">IF($A14="","",COUNTIFS('RFI Register'!$C$5:$C$104,$A14,'RFI Register'!$H$5:$H$104,"&lt;&gt;Closed*",'RFI Register'!$H$5:$H$104,"&lt;&gt;Cancelled"))</f>
        <v>0</v>
      </c>
      <c r="D14" s="20">
        <f ca="1">IF($A14="","",SUMIF('RFI Register'!$C$5:$C$104,$A14,'RFI Register'!$I$5:$I$104))</f>
        <v>0</v>
      </c>
      <c r="E14" s="20">
        <f ca="1">IF($A14="","",SUMIF('RFI Register'!$C$5:$C$104,$A14,'RFI Register'!$K$5:$K$104))</f>
        <v>0</v>
      </c>
      <c r="F14" s="20">
        <f ca="1">IF($A14="","",SUMIF('RFI Register'!$C$5:$C$104,$A14,'RFI Register'!$L$5:$L$104))</f>
        <v>0</v>
      </c>
      <c r="G14" s="20">
        <f ca="1">IF($A14="","",SUMIF('RFI Register'!$C$5:$C$104,$A14,'RFI Register'!$M$5:$M$104))</f>
        <v>0</v>
      </c>
    </row>
    <row r="15" spans="1:7" x14ac:dyDescent="0.25">
      <c r="A15" s="19" t="s">
        <v>96</v>
      </c>
      <c r="B15" s="20">
        <f ca="1">IF($A15="","",COUNTIF('RFI Register'!$C$5:$C$104,$A15))</f>
        <v>0</v>
      </c>
      <c r="C15" s="20">
        <f ca="1">IF($A15="","",COUNTIFS('RFI Register'!$C$5:$C$104,$A15,'RFI Register'!$H$5:$H$104,"&lt;&gt;Closed*",'RFI Register'!$H$5:$H$104,"&lt;&gt;Cancelled"))</f>
        <v>0</v>
      </c>
      <c r="D15" s="20">
        <f ca="1">IF($A15="","",SUMIF('RFI Register'!$C$5:$C$104,$A15,'RFI Register'!$I$5:$I$104))</f>
        <v>0</v>
      </c>
      <c r="E15" s="20">
        <f ca="1">IF($A15="","",SUMIF('RFI Register'!$C$5:$C$104,$A15,'RFI Register'!$K$5:$K$104))</f>
        <v>0</v>
      </c>
      <c r="F15" s="20">
        <f ca="1">IF($A15="","",SUMIF('RFI Register'!$C$5:$C$104,$A15,'RFI Register'!$L$5:$L$104))</f>
        <v>0</v>
      </c>
      <c r="G15" s="20">
        <f ca="1">IF($A15="","",SUMIF('RFI Register'!$C$5:$C$104,$A15,'RFI Register'!$M$5:$M$104))</f>
        <v>0</v>
      </c>
    </row>
    <row r="16" spans="1:7" x14ac:dyDescent="0.25">
      <c r="A16" s="19" t="s">
        <v>97</v>
      </c>
      <c r="B16" s="20">
        <f ca="1">IF($A16="","",COUNTIF('RFI Register'!$C$5:$C$104,$A16))</f>
        <v>0</v>
      </c>
      <c r="C16" s="20">
        <f ca="1">IF($A16="","",COUNTIFS('RFI Register'!$C$5:$C$104,$A16,'RFI Register'!$H$5:$H$104,"&lt;&gt;Closed*",'RFI Register'!$H$5:$H$104,"&lt;&gt;Cancelled"))</f>
        <v>0</v>
      </c>
      <c r="D16" s="20">
        <f ca="1">IF($A16="","",SUMIF('RFI Register'!$C$5:$C$104,$A16,'RFI Register'!$I$5:$I$104))</f>
        <v>0</v>
      </c>
      <c r="E16" s="20">
        <f ca="1">IF($A16="","",SUMIF('RFI Register'!$C$5:$C$104,$A16,'RFI Register'!$K$5:$K$104))</f>
        <v>0</v>
      </c>
      <c r="F16" s="20">
        <f ca="1">IF($A16="","",SUMIF('RFI Register'!$C$5:$C$104,$A16,'RFI Register'!$L$5:$L$104))</f>
        <v>0</v>
      </c>
      <c r="G16" s="20">
        <f ca="1">IF($A16="","",SUMIF('RFI Register'!$C$5:$C$104,$A16,'RFI Register'!$M$5:$M$104))</f>
        <v>0</v>
      </c>
    </row>
    <row r="17" spans="1:7" x14ac:dyDescent="0.25">
      <c r="A17" s="19" t="s">
        <v>98</v>
      </c>
      <c r="B17" s="20">
        <f ca="1">IF($A17="","",COUNTIF('RFI Register'!$C$5:$C$104,$A17))</f>
        <v>1</v>
      </c>
      <c r="C17" s="20">
        <f ca="1">IF($A17="","",COUNTIFS('RFI Register'!$C$5:$C$104,$A17,'RFI Register'!$H$5:$H$104,"&lt;&gt;Closed*",'RFI Register'!$H$5:$H$104,"&lt;&gt;Cancelled"))</f>
        <v>1</v>
      </c>
      <c r="D17" s="20">
        <f ca="1">IF($A17="","",SUMIF('RFI Register'!$C$5:$C$104,$A17,'RFI Register'!$I$5:$I$104))</f>
        <v>10</v>
      </c>
      <c r="E17" s="20">
        <f ca="1">IF($A17="","",SUMIF('RFI Register'!$C$5:$C$104,$A17,'RFI Register'!$K$5:$K$104))</f>
        <v>0</v>
      </c>
      <c r="F17" s="20">
        <f ca="1">IF($A17="","",SUMIF('RFI Register'!$C$5:$C$104,$A17,'RFI Register'!$L$5:$L$104))</f>
        <v>0</v>
      </c>
      <c r="G17" s="20">
        <f ca="1">IF($A17="","",SUMIF('RFI Register'!$C$5:$C$104,$A17,'RFI Register'!$M$5:$M$104))</f>
        <v>0</v>
      </c>
    </row>
    <row r="18" spans="1:7" x14ac:dyDescent="0.25">
      <c r="A18" s="19" t="s">
        <v>99</v>
      </c>
      <c r="B18" s="20">
        <f ca="1">IF($A18="","",COUNTIF('RFI Register'!$C$5:$C$104,$A18))</f>
        <v>0</v>
      </c>
      <c r="C18" s="20">
        <f ca="1">IF($A18="","",COUNTIFS('RFI Register'!$C$5:$C$104,$A18,'RFI Register'!$H$5:$H$104,"&lt;&gt;Closed*",'RFI Register'!$H$5:$H$104,"&lt;&gt;Cancelled"))</f>
        <v>0</v>
      </c>
      <c r="D18" s="20">
        <f ca="1">IF($A18="","",SUMIF('RFI Register'!$C$5:$C$104,$A18,'RFI Register'!$I$5:$I$104))</f>
        <v>0</v>
      </c>
      <c r="E18" s="20">
        <f ca="1">IF($A18="","",SUMIF('RFI Register'!$C$5:$C$104,$A18,'RFI Register'!$K$5:$K$104))</f>
        <v>0</v>
      </c>
      <c r="F18" s="20">
        <f ca="1">IF($A18="","",SUMIF('RFI Register'!$C$5:$C$104,$A18,'RFI Register'!$L$5:$L$104))</f>
        <v>0</v>
      </c>
      <c r="G18" s="20">
        <f ca="1">IF($A18="","",SUMIF('RFI Register'!$C$5:$C$104,$A18,'RFI Register'!$M$5:$M$104))</f>
        <v>0</v>
      </c>
    </row>
    <row r="19" spans="1:7" x14ac:dyDescent="0.25">
      <c r="A19" s="19" t="s">
        <v>100</v>
      </c>
      <c r="B19" s="20">
        <f ca="1">IF($A19="","",COUNTIF('RFI Register'!$C$5:$C$104,$A19))</f>
        <v>0</v>
      </c>
      <c r="C19" s="20">
        <f ca="1">IF($A19="","",COUNTIFS('RFI Register'!$C$5:$C$104,$A19,'RFI Register'!$H$5:$H$104,"&lt;&gt;Closed*",'RFI Register'!$H$5:$H$104,"&lt;&gt;Cancelled"))</f>
        <v>0</v>
      </c>
      <c r="D19" s="20">
        <f ca="1">IF($A19="","",SUMIF('RFI Register'!$C$5:$C$104,$A19,'RFI Register'!$I$5:$I$104))</f>
        <v>0</v>
      </c>
      <c r="E19" s="20">
        <f ca="1">IF($A19="","",SUMIF('RFI Register'!$C$5:$C$104,$A19,'RFI Register'!$K$5:$K$104))</f>
        <v>0</v>
      </c>
      <c r="F19" s="20">
        <f ca="1">IF($A19="","",SUMIF('RFI Register'!$C$5:$C$104,$A19,'RFI Register'!$L$5:$L$104))</f>
        <v>0</v>
      </c>
      <c r="G19" s="20">
        <f ca="1">IF($A19="","",SUMIF('RFI Register'!$C$5:$C$104,$A19,'RFI Register'!$M$5:$M$104))</f>
        <v>0</v>
      </c>
    </row>
    <row r="20" spans="1:7" x14ac:dyDescent="0.25">
      <c r="A20" s="19" t="s">
        <v>101</v>
      </c>
      <c r="B20" s="20">
        <f ca="1">IF($A20="","",COUNTIF('RFI Register'!$C$5:$C$104,$A20))</f>
        <v>0</v>
      </c>
      <c r="C20" s="20">
        <f ca="1">IF($A20="","",COUNTIFS('RFI Register'!$C$5:$C$104,$A20,'RFI Register'!$H$5:$H$104,"&lt;&gt;Closed*",'RFI Register'!$H$5:$H$104,"&lt;&gt;Cancelled"))</f>
        <v>0</v>
      </c>
      <c r="D20" s="20">
        <f ca="1">IF($A20="","",SUMIF('RFI Register'!$C$5:$C$104,$A20,'RFI Register'!$I$5:$I$104))</f>
        <v>0</v>
      </c>
      <c r="E20" s="20">
        <f ca="1">IF($A20="","",SUMIF('RFI Register'!$C$5:$C$104,$A20,'RFI Register'!$K$5:$K$104))</f>
        <v>0</v>
      </c>
      <c r="F20" s="20">
        <f ca="1">IF($A20="","",SUMIF('RFI Register'!$C$5:$C$104,$A20,'RFI Register'!$L$5:$L$104))</f>
        <v>0</v>
      </c>
      <c r="G20" s="20">
        <f ca="1">IF($A20="","",SUMIF('RFI Register'!$C$5:$C$104,$A20,'RFI Register'!$M$5:$M$104))</f>
        <v>0</v>
      </c>
    </row>
    <row r="21" spans="1:7" x14ac:dyDescent="0.25">
      <c r="A21" s="19" t="s">
        <v>102</v>
      </c>
      <c r="B21" s="20">
        <f ca="1">IF($A21="","",COUNTIF('RFI Register'!$C$5:$C$104,$A21))</f>
        <v>0</v>
      </c>
      <c r="C21" s="20">
        <f ca="1">IF($A21="","",COUNTIFS('RFI Register'!$C$5:$C$104,$A21,'RFI Register'!$H$5:$H$104,"&lt;&gt;Closed*",'RFI Register'!$H$5:$H$104,"&lt;&gt;Cancelled"))</f>
        <v>0</v>
      </c>
      <c r="D21" s="20">
        <f ca="1">IF($A21="","",SUMIF('RFI Register'!$C$5:$C$104,$A21,'RFI Register'!$I$5:$I$104))</f>
        <v>0</v>
      </c>
      <c r="E21" s="20">
        <f ca="1">IF($A21="","",SUMIF('RFI Register'!$C$5:$C$104,$A21,'RFI Register'!$K$5:$K$104))</f>
        <v>0</v>
      </c>
      <c r="F21" s="20">
        <f ca="1">IF($A21="","",SUMIF('RFI Register'!$C$5:$C$104,$A21,'RFI Register'!$L$5:$L$104))</f>
        <v>0</v>
      </c>
      <c r="G21" s="20">
        <f ca="1">IF($A21="","",SUMIF('RFI Register'!$C$5:$C$104,$A21,'RFI Register'!$M$5:$M$104))</f>
        <v>0</v>
      </c>
    </row>
    <row r="22" spans="1:7" x14ac:dyDescent="0.25">
      <c r="A22" s="19" t="s">
        <v>103</v>
      </c>
      <c r="B22" s="20">
        <f ca="1">IF($A22="","",COUNTIF('RFI Register'!$C$5:$C$104,$A22))</f>
        <v>0</v>
      </c>
      <c r="C22" s="20">
        <f ca="1">IF($A22="","",COUNTIFS('RFI Register'!$C$5:$C$104,$A22,'RFI Register'!$H$5:$H$104,"&lt;&gt;Closed*",'RFI Register'!$H$5:$H$104,"&lt;&gt;Cancelled"))</f>
        <v>0</v>
      </c>
      <c r="D22" s="20">
        <f ca="1">IF($A22="","",SUMIF('RFI Register'!$C$5:$C$104,$A22,'RFI Register'!$I$5:$I$104))</f>
        <v>0</v>
      </c>
      <c r="E22" s="20">
        <f ca="1">IF($A22="","",SUMIF('RFI Register'!$C$5:$C$104,$A22,'RFI Register'!$K$5:$K$104))</f>
        <v>0</v>
      </c>
      <c r="F22" s="20">
        <f ca="1">IF($A22="","",SUMIF('RFI Register'!$C$5:$C$104,$A22,'RFI Register'!$L$5:$L$104))</f>
        <v>0</v>
      </c>
      <c r="G22" s="20">
        <f ca="1">IF($A22="","",SUMIF('RFI Register'!$C$5:$C$104,$A22,'RFI Register'!$M$5:$M$104))</f>
        <v>0</v>
      </c>
    </row>
    <row r="23" spans="1:7" x14ac:dyDescent="0.25">
      <c r="A23" s="7"/>
      <c r="B23" s="7"/>
      <c r="C23" s="7"/>
      <c r="D23" s="7"/>
      <c r="E23" s="7"/>
      <c r="F23" s="7"/>
      <c r="G23" s="7"/>
    </row>
    <row r="24" spans="1:7" ht="15.75" x14ac:dyDescent="0.25">
      <c r="A24" s="17" t="s">
        <v>104</v>
      </c>
      <c r="B24" s="7"/>
      <c r="C24" s="7"/>
      <c r="D24" s="7"/>
      <c r="E24" s="7"/>
      <c r="F24" s="7"/>
      <c r="G24" s="7"/>
    </row>
    <row r="25" spans="1:7" x14ac:dyDescent="0.25">
      <c r="A25" s="18" t="s">
        <v>105</v>
      </c>
      <c r="B25" s="18" t="s">
        <v>85</v>
      </c>
      <c r="C25" s="18" t="s">
        <v>86</v>
      </c>
      <c r="D25" s="18" t="s">
        <v>87</v>
      </c>
      <c r="E25" s="18" t="s">
        <v>80</v>
      </c>
      <c r="F25" s="18" t="s">
        <v>88</v>
      </c>
      <c r="G25" s="18" t="s">
        <v>89</v>
      </c>
    </row>
    <row r="26" spans="1:7" x14ac:dyDescent="0.25">
      <c r="A26" s="19" t="str">
        <f>IF(Projects!$B$5="","",Projects!$B$5)</f>
        <v>Seven Angels BESS</v>
      </c>
      <c r="B26" s="20">
        <f ca="1">IF($A26="","",COUNTIF('RFI Register'!$B$5:$B$104,$A26))</f>
        <v>0</v>
      </c>
      <c r="C26" s="20">
        <f ca="1">IF($A26="","",COUNTIFS('RFI Register'!$B$5:$B$104,$A26,'RFI Register'!$H$5:$H$104,"&lt;&gt;Closed*",'RFI Register'!$H$5:$H$104,"&lt;&gt;Cancelled"))</f>
        <v>0</v>
      </c>
      <c r="D26" s="20">
        <f ca="1">IF($A26="","",SUMIF('RFI Register'!$B$5:$B$104,$A26,'RFI Register'!$I$5:$I$104))</f>
        <v>0</v>
      </c>
      <c r="E26" s="20">
        <f ca="1">IF($A26="","",SUMIF('RFI Register'!$B$5:$B$104,$A26,'RFI Register'!$K$5:$K$104))</f>
        <v>0</v>
      </c>
      <c r="F26" s="20">
        <f ca="1">IF($A26="","",SUMIF('RFI Register'!$B$5:$B$104,$A26,'RFI Register'!$L$5:$L$104))</f>
        <v>0</v>
      </c>
      <c r="G26" s="20">
        <f ca="1">IF($A26="","",SUMIF('RFI Register'!$B$5:$B$104,$A26,'RFI Register'!$M$5:$M$104))</f>
        <v>0</v>
      </c>
    </row>
    <row r="27" spans="1:7" x14ac:dyDescent="0.25">
      <c r="A27" s="19" t="str">
        <f>IF(Projects!$B$6="","",Projects!$B$6)</f>
        <v>Project B (placeholder - rename)</v>
      </c>
      <c r="B27" s="20">
        <f ca="1">IF($A27="","",COUNTIF('RFI Register'!$B$5:$B$104,$A27))</f>
        <v>0</v>
      </c>
      <c r="C27" s="20">
        <f ca="1">IF($A27="","",COUNTIFS('RFI Register'!$B$5:$B$104,$A27,'RFI Register'!$H$5:$H$104,"&lt;&gt;Closed*",'RFI Register'!$H$5:$H$104,"&lt;&gt;Cancelled"))</f>
        <v>0</v>
      </c>
      <c r="D27" s="20">
        <f ca="1">IF($A27="","",SUMIF('RFI Register'!$B$5:$B$104,$A27,'RFI Register'!$I$5:$I$104))</f>
        <v>0</v>
      </c>
      <c r="E27" s="20">
        <f ca="1">IF($A27="","",SUMIF('RFI Register'!$B$5:$B$104,$A27,'RFI Register'!$K$5:$K$104))</f>
        <v>0</v>
      </c>
      <c r="F27" s="20">
        <f ca="1">IF($A27="","",SUMIF('RFI Register'!$B$5:$B$104,$A27,'RFI Register'!$L$5:$L$104))</f>
        <v>0</v>
      </c>
      <c r="G27" s="20">
        <f ca="1">IF($A27="","",SUMIF('RFI Register'!$B$5:$B$104,$A27,'RFI Register'!$M$5:$M$104))</f>
        <v>0</v>
      </c>
    </row>
    <row r="28" spans="1:7" x14ac:dyDescent="0.25">
      <c r="A28" s="19" t="str">
        <f>IF(Projects!$B$7="","",Projects!$B$7)</f>
        <v>Project C (placeholder - rename)</v>
      </c>
      <c r="B28" s="20">
        <f ca="1">IF($A28="","",COUNTIF('RFI Register'!$B$5:$B$104,$A28))</f>
        <v>0</v>
      </c>
      <c r="C28" s="20">
        <f ca="1">IF($A28="","",COUNTIFS('RFI Register'!$B$5:$B$104,$A28,'RFI Register'!$H$5:$H$104,"&lt;&gt;Closed*",'RFI Register'!$H$5:$H$104,"&lt;&gt;Cancelled"))</f>
        <v>0</v>
      </c>
      <c r="D28" s="20">
        <f ca="1">IF($A28="","",SUMIF('RFI Register'!$B$5:$B$104,$A28,'RFI Register'!$I$5:$I$104))</f>
        <v>0</v>
      </c>
      <c r="E28" s="20">
        <f ca="1">IF($A28="","",SUMIF('RFI Register'!$B$5:$B$104,$A28,'RFI Register'!$K$5:$K$104))</f>
        <v>0</v>
      </c>
      <c r="F28" s="20">
        <f ca="1">IF($A28="","",SUMIF('RFI Register'!$B$5:$B$104,$A28,'RFI Register'!$L$5:$L$104))</f>
        <v>0</v>
      </c>
      <c r="G28" s="20">
        <f ca="1">IF($A28="","",SUMIF('RFI Register'!$B$5:$B$104,$A28,'RFI Register'!$M$5:$M$104))</f>
        <v>0</v>
      </c>
    </row>
    <row r="29" spans="1:7" x14ac:dyDescent="0.25">
      <c r="A29" s="19" t="str">
        <f>IF(Projects!$B$8="","",Projects!$B$8)</f>
        <v/>
      </c>
      <c r="B29" s="20" t="str">
        <f>IF($A29="","",COUNTIF('RFI Register'!$B$5:$B$104,$A29))</f>
        <v/>
      </c>
      <c r="C29" s="20" t="str">
        <f>IF($A29="","",COUNTIFS('RFI Register'!$B$5:$B$104,$A29,'RFI Register'!$H$5:$H$104,"&lt;&gt;Closed*",'RFI Register'!$H$5:$H$104,"&lt;&gt;Cancelled"))</f>
        <v/>
      </c>
      <c r="D29" s="20" t="str">
        <f>IF($A29="","",SUMIF('RFI Register'!$B$5:$B$104,$A29,'RFI Register'!$I$5:$I$104))</f>
        <v/>
      </c>
      <c r="E29" s="20" t="str">
        <f>IF($A29="","",SUMIF('RFI Register'!$B$5:$B$104,$A29,'RFI Register'!$K$5:$K$104))</f>
        <v/>
      </c>
      <c r="F29" s="20" t="str">
        <f>IF($A29="","",SUMIF('RFI Register'!$B$5:$B$104,$A29,'RFI Register'!$L$5:$L$104))</f>
        <v/>
      </c>
      <c r="G29" s="20" t="str">
        <f>IF($A29="","",SUMIF('RFI Register'!$B$5:$B$104,$A29,'RFI Register'!$M$5:$M$104))</f>
        <v/>
      </c>
    </row>
    <row r="30" spans="1:7" x14ac:dyDescent="0.25">
      <c r="A30" s="19" t="str">
        <f>IF(Projects!$B$9="","",Projects!$B$9)</f>
        <v/>
      </c>
      <c r="B30" s="20" t="str">
        <f>IF($A30="","",COUNTIF('RFI Register'!$B$5:$B$104,$A30))</f>
        <v/>
      </c>
      <c r="C30" s="20" t="str">
        <f>IF($A30="","",COUNTIFS('RFI Register'!$B$5:$B$104,$A30,'RFI Register'!$H$5:$H$104,"&lt;&gt;Closed*",'RFI Register'!$H$5:$H$104,"&lt;&gt;Cancelled"))</f>
        <v/>
      </c>
      <c r="D30" s="20" t="str">
        <f>IF($A30="","",SUMIF('RFI Register'!$B$5:$B$104,$A30,'RFI Register'!$I$5:$I$104))</f>
        <v/>
      </c>
      <c r="E30" s="20" t="str">
        <f>IF($A30="","",SUMIF('RFI Register'!$B$5:$B$104,$A30,'RFI Register'!$K$5:$K$104))</f>
        <v/>
      </c>
      <c r="F30" s="20" t="str">
        <f>IF($A30="","",SUMIF('RFI Register'!$B$5:$B$104,$A30,'RFI Register'!$L$5:$L$104))</f>
        <v/>
      </c>
      <c r="G30" s="20" t="str">
        <f>IF($A30="","",SUMIF('RFI Register'!$B$5:$B$104,$A30,'RFI Register'!$M$5:$M$104))</f>
        <v/>
      </c>
    </row>
    <row r="31" spans="1:7" x14ac:dyDescent="0.25">
      <c r="A31" s="19" t="str">
        <f>IF(Projects!$B$10="","",Projects!$B$10)</f>
        <v/>
      </c>
      <c r="B31" s="20" t="str">
        <f>IF($A31="","",COUNTIF('RFI Register'!$B$5:$B$104,$A31))</f>
        <v/>
      </c>
      <c r="C31" s="20" t="str">
        <f>IF($A31="","",COUNTIFS('RFI Register'!$B$5:$B$104,$A31,'RFI Register'!$H$5:$H$104,"&lt;&gt;Closed*",'RFI Register'!$H$5:$H$104,"&lt;&gt;Cancelled"))</f>
        <v/>
      </c>
      <c r="D31" s="20" t="str">
        <f>IF($A31="","",SUMIF('RFI Register'!$B$5:$B$104,$A31,'RFI Register'!$I$5:$I$104))</f>
        <v/>
      </c>
      <c r="E31" s="20" t="str">
        <f>IF($A31="","",SUMIF('RFI Register'!$B$5:$B$104,$A31,'RFI Register'!$K$5:$K$104))</f>
        <v/>
      </c>
      <c r="F31" s="20" t="str">
        <f>IF($A31="","",SUMIF('RFI Register'!$B$5:$B$104,$A31,'RFI Register'!$L$5:$L$104))</f>
        <v/>
      </c>
      <c r="G31" s="20" t="str">
        <f>IF($A31="","",SUMIF('RFI Register'!$B$5:$B$104,$A31,'RFI Register'!$M$5:$M$104))</f>
        <v/>
      </c>
    </row>
    <row r="32" spans="1:7" x14ac:dyDescent="0.25">
      <c r="A32" s="19" t="str">
        <f>IF(Projects!$B$11="","",Projects!$B$11)</f>
        <v/>
      </c>
      <c r="B32" s="20" t="str">
        <f>IF($A32="","",COUNTIF('RFI Register'!$B$5:$B$104,$A32))</f>
        <v/>
      </c>
      <c r="C32" s="20" t="str">
        <f>IF($A32="","",COUNTIFS('RFI Register'!$B$5:$B$104,$A32,'RFI Register'!$H$5:$H$104,"&lt;&gt;Closed*",'RFI Register'!$H$5:$H$104,"&lt;&gt;Cancelled"))</f>
        <v/>
      </c>
      <c r="D32" s="20" t="str">
        <f>IF($A32="","",SUMIF('RFI Register'!$B$5:$B$104,$A32,'RFI Register'!$I$5:$I$104))</f>
        <v/>
      </c>
      <c r="E32" s="20" t="str">
        <f>IF($A32="","",SUMIF('RFI Register'!$B$5:$B$104,$A32,'RFI Register'!$K$5:$K$104))</f>
        <v/>
      </c>
      <c r="F32" s="20" t="str">
        <f>IF($A32="","",SUMIF('RFI Register'!$B$5:$B$104,$A32,'RFI Register'!$L$5:$L$104))</f>
        <v/>
      </c>
      <c r="G32" s="20" t="str">
        <f>IF($A32="","",SUMIF('RFI Register'!$B$5:$B$104,$A32,'RFI Register'!$M$5:$M$104))</f>
        <v/>
      </c>
    </row>
    <row r="33" spans="1:7" x14ac:dyDescent="0.25">
      <c r="A33" s="19" t="str">
        <f>IF(Projects!$B$12="","",Projects!$B$12)</f>
        <v/>
      </c>
      <c r="B33" s="20" t="str">
        <f>IF($A33="","",COUNTIF('RFI Register'!$B$5:$B$104,$A33))</f>
        <v/>
      </c>
      <c r="C33" s="20" t="str">
        <f>IF($A33="","",COUNTIFS('RFI Register'!$B$5:$B$104,$A33,'RFI Register'!$H$5:$H$104,"&lt;&gt;Closed*",'RFI Register'!$H$5:$H$104,"&lt;&gt;Cancelled"))</f>
        <v/>
      </c>
      <c r="D33" s="20" t="str">
        <f>IF($A33="","",SUMIF('RFI Register'!$B$5:$B$104,$A33,'RFI Register'!$I$5:$I$104))</f>
        <v/>
      </c>
      <c r="E33" s="20" t="str">
        <f>IF($A33="","",SUMIF('RFI Register'!$B$5:$B$104,$A33,'RFI Register'!$K$5:$K$104))</f>
        <v/>
      </c>
      <c r="F33" s="20" t="str">
        <f>IF($A33="","",SUMIF('RFI Register'!$B$5:$B$104,$A33,'RFI Register'!$L$5:$L$104))</f>
        <v/>
      </c>
      <c r="G33" s="20" t="str">
        <f>IF($A33="","",SUMIF('RFI Register'!$B$5:$B$104,$A33,'RFI Register'!$M$5:$M$104))</f>
        <v/>
      </c>
    </row>
    <row r="34" spans="1:7" x14ac:dyDescent="0.25">
      <c r="A34" s="19" t="str">
        <f>IF(Projects!$B$13="","",Projects!$B$13)</f>
        <v/>
      </c>
      <c r="B34" s="20" t="str">
        <f>IF($A34="","",COUNTIF('RFI Register'!$B$5:$B$104,$A34))</f>
        <v/>
      </c>
      <c r="C34" s="20" t="str">
        <f>IF($A34="","",COUNTIFS('RFI Register'!$B$5:$B$104,$A34,'RFI Register'!$H$5:$H$104,"&lt;&gt;Closed*",'RFI Register'!$H$5:$H$104,"&lt;&gt;Cancelled"))</f>
        <v/>
      </c>
      <c r="D34" s="20" t="str">
        <f>IF($A34="","",SUMIF('RFI Register'!$B$5:$B$104,$A34,'RFI Register'!$I$5:$I$104))</f>
        <v/>
      </c>
      <c r="E34" s="20" t="str">
        <f>IF($A34="","",SUMIF('RFI Register'!$B$5:$B$104,$A34,'RFI Register'!$K$5:$K$104))</f>
        <v/>
      </c>
      <c r="F34" s="20" t="str">
        <f>IF($A34="","",SUMIF('RFI Register'!$B$5:$B$104,$A34,'RFI Register'!$L$5:$L$104))</f>
        <v/>
      </c>
      <c r="G34" s="20" t="str">
        <f>IF($A34="","",SUMIF('RFI Register'!$B$5:$B$104,$A34,'RFI Register'!$M$5:$M$104))</f>
        <v/>
      </c>
    </row>
    <row r="35" spans="1:7" x14ac:dyDescent="0.25">
      <c r="A35" s="19" t="str">
        <f>IF(Projects!$B$14="","",Projects!$B$14)</f>
        <v/>
      </c>
      <c r="B35" s="20" t="str">
        <f>IF($A35="","",COUNTIF('RFI Register'!$B$5:$B$104,$A35))</f>
        <v/>
      </c>
      <c r="C35" s="20" t="str">
        <f>IF($A35="","",COUNTIFS('RFI Register'!$B$5:$B$104,$A35,'RFI Register'!$H$5:$H$104,"&lt;&gt;Closed*",'RFI Register'!$H$5:$H$104,"&lt;&gt;Cancelled"))</f>
        <v/>
      </c>
      <c r="D35" s="20" t="str">
        <f>IF($A35="","",SUMIF('RFI Register'!$B$5:$B$104,$A35,'RFI Register'!$I$5:$I$104))</f>
        <v/>
      </c>
      <c r="E35" s="20" t="str">
        <f>IF($A35="","",SUMIF('RFI Register'!$B$5:$B$104,$A35,'RFI Register'!$K$5:$K$104))</f>
        <v/>
      </c>
      <c r="F35" s="20" t="str">
        <f>IF($A35="","",SUMIF('RFI Register'!$B$5:$B$104,$A35,'RFI Register'!$L$5:$L$104))</f>
        <v/>
      </c>
      <c r="G35" s="20" t="str">
        <f>IF($A35="","",SUMIF('RFI Register'!$B$5:$B$104,$A35,'RFI Register'!$M$5:$M$104))</f>
        <v/>
      </c>
    </row>
    <row r="36" spans="1:7" x14ac:dyDescent="0.25">
      <c r="A36" s="19" t="str">
        <f>IF(Projects!$B$15="","",Projects!$B$15)</f>
        <v/>
      </c>
      <c r="B36" s="20" t="str">
        <f>IF($A36="","",COUNTIF('RFI Register'!$B$5:$B$104,$A36))</f>
        <v/>
      </c>
      <c r="C36" s="20" t="str">
        <f>IF($A36="","",COUNTIFS('RFI Register'!$B$5:$B$104,$A36,'RFI Register'!$H$5:$H$104,"&lt;&gt;Closed*",'RFI Register'!$H$5:$H$104,"&lt;&gt;Cancelled"))</f>
        <v/>
      </c>
      <c r="D36" s="20" t="str">
        <f>IF($A36="","",SUMIF('RFI Register'!$B$5:$B$104,$A36,'RFI Register'!$I$5:$I$104))</f>
        <v/>
      </c>
      <c r="E36" s="20" t="str">
        <f>IF($A36="","",SUMIF('RFI Register'!$B$5:$B$104,$A36,'RFI Register'!$K$5:$K$104))</f>
        <v/>
      </c>
      <c r="F36" s="20" t="str">
        <f>IF($A36="","",SUMIF('RFI Register'!$B$5:$B$104,$A36,'RFI Register'!$L$5:$L$104))</f>
        <v/>
      </c>
      <c r="G36" s="20" t="str">
        <f>IF($A36="","",SUMIF('RFI Register'!$B$5:$B$104,$A36,'RFI Register'!$M$5:$M$104))</f>
        <v/>
      </c>
    </row>
    <row r="37" spans="1:7" x14ac:dyDescent="0.25">
      <c r="A37" s="19" t="str">
        <f>IF(Projects!$B$16="","",Projects!$B$16)</f>
        <v/>
      </c>
      <c r="B37" s="20" t="str">
        <f>IF($A37="","",COUNTIF('RFI Register'!$B$5:$B$104,$A37))</f>
        <v/>
      </c>
      <c r="C37" s="20" t="str">
        <f>IF($A37="","",COUNTIFS('RFI Register'!$B$5:$B$104,$A37,'RFI Register'!$H$5:$H$104,"&lt;&gt;Closed*",'RFI Register'!$H$5:$H$104,"&lt;&gt;Cancelled"))</f>
        <v/>
      </c>
      <c r="D37" s="20" t="str">
        <f>IF($A37="","",SUMIF('RFI Register'!$B$5:$B$104,$A37,'RFI Register'!$I$5:$I$104))</f>
        <v/>
      </c>
      <c r="E37" s="20" t="str">
        <f>IF($A37="","",SUMIF('RFI Register'!$B$5:$B$104,$A37,'RFI Register'!$K$5:$K$104))</f>
        <v/>
      </c>
      <c r="F37" s="20" t="str">
        <f>IF($A37="","",SUMIF('RFI Register'!$B$5:$B$104,$A37,'RFI Register'!$L$5:$L$104))</f>
        <v/>
      </c>
      <c r="G37" s="20" t="str">
        <f>IF($A37="","",SUMIF('RFI Register'!$B$5:$B$104,$A37,'RFI Register'!$M$5:$M$104))</f>
        <v/>
      </c>
    </row>
    <row r="38" spans="1:7" x14ac:dyDescent="0.25">
      <c r="A38" s="19" t="str">
        <f>IF(Projects!$B$17="","",Projects!$B$17)</f>
        <v/>
      </c>
      <c r="B38" s="20" t="str">
        <f>IF($A38="","",COUNTIF('RFI Register'!$B$5:$B$104,$A38))</f>
        <v/>
      </c>
      <c r="C38" s="20" t="str">
        <f>IF($A38="","",COUNTIFS('RFI Register'!$B$5:$B$104,$A38,'RFI Register'!$H$5:$H$104,"&lt;&gt;Closed*",'RFI Register'!$H$5:$H$104,"&lt;&gt;Cancelled"))</f>
        <v/>
      </c>
      <c r="D38" s="20" t="str">
        <f>IF($A38="","",SUMIF('RFI Register'!$B$5:$B$104,$A38,'RFI Register'!$I$5:$I$104))</f>
        <v/>
      </c>
      <c r="E38" s="20" t="str">
        <f>IF($A38="","",SUMIF('RFI Register'!$B$5:$B$104,$A38,'RFI Register'!$K$5:$K$104))</f>
        <v/>
      </c>
      <c r="F38" s="20" t="str">
        <f>IF($A38="","",SUMIF('RFI Register'!$B$5:$B$104,$A38,'RFI Register'!$L$5:$L$104))</f>
        <v/>
      </c>
      <c r="G38" s="20" t="str">
        <f>IF($A38="","",SUMIF('RFI Register'!$B$5:$B$104,$A38,'RFI Register'!$M$5:$M$104))</f>
        <v/>
      </c>
    </row>
    <row r="39" spans="1:7" x14ac:dyDescent="0.25">
      <c r="A39" s="19" t="str">
        <f>IF(Projects!$B$18="","",Projects!$B$18)</f>
        <v/>
      </c>
      <c r="B39" s="20" t="str">
        <f>IF($A39="","",COUNTIF('RFI Register'!$B$5:$B$104,$A39))</f>
        <v/>
      </c>
      <c r="C39" s="20" t="str">
        <f>IF($A39="","",COUNTIFS('RFI Register'!$B$5:$B$104,$A39,'RFI Register'!$H$5:$H$104,"&lt;&gt;Closed*",'RFI Register'!$H$5:$H$104,"&lt;&gt;Cancelled"))</f>
        <v/>
      </c>
      <c r="D39" s="20" t="str">
        <f>IF($A39="","",SUMIF('RFI Register'!$B$5:$B$104,$A39,'RFI Register'!$I$5:$I$104))</f>
        <v/>
      </c>
      <c r="E39" s="20" t="str">
        <f>IF($A39="","",SUMIF('RFI Register'!$B$5:$B$104,$A39,'RFI Register'!$K$5:$K$104))</f>
        <v/>
      </c>
      <c r="F39" s="20" t="str">
        <f>IF($A39="","",SUMIF('RFI Register'!$B$5:$B$104,$A39,'RFI Register'!$L$5:$L$104))</f>
        <v/>
      </c>
      <c r="G39" s="20" t="str">
        <f>IF($A39="","",SUMIF('RFI Register'!$B$5:$B$104,$A39,'RFI Register'!$M$5:$M$104))</f>
        <v/>
      </c>
    </row>
    <row r="40" spans="1:7" x14ac:dyDescent="0.25">
      <c r="A40" s="19" t="str">
        <f>IF(Projects!$B$19="","",Projects!$B$19)</f>
        <v/>
      </c>
      <c r="B40" s="20" t="str">
        <f>IF($A40="","",COUNTIF('RFI Register'!$B$5:$B$104,$A40))</f>
        <v/>
      </c>
      <c r="C40" s="20" t="str">
        <f>IF($A40="","",COUNTIFS('RFI Register'!$B$5:$B$104,$A40,'RFI Register'!$H$5:$H$104,"&lt;&gt;Closed*",'RFI Register'!$H$5:$H$104,"&lt;&gt;Cancelled"))</f>
        <v/>
      </c>
      <c r="D40" s="20" t="str">
        <f>IF($A40="","",SUMIF('RFI Register'!$B$5:$B$104,$A40,'RFI Register'!$I$5:$I$104))</f>
        <v/>
      </c>
      <c r="E40" s="20" t="str">
        <f>IF($A40="","",SUMIF('RFI Register'!$B$5:$B$104,$A40,'RFI Register'!$K$5:$K$104))</f>
        <v/>
      </c>
      <c r="F40" s="20" t="str">
        <f>IF($A40="","",SUMIF('RFI Register'!$B$5:$B$104,$A40,'RFI Register'!$L$5:$L$104))</f>
        <v/>
      </c>
      <c r="G40" s="20" t="str">
        <f>IF($A40="","",SUMIF('RFI Register'!$B$5:$B$104,$A40,'RFI Register'!$M$5:$M$104))</f>
        <v/>
      </c>
    </row>
  </sheetData>
  <conditionalFormatting sqref="F5:G5">
    <cfRule type="cellIs" dxfId="95" priority="2" operator="greaterThan">
      <formula>0</formula>
    </cfRule>
  </conditionalFormatting>
  <conditionalFormatting sqref="F9:G22">
    <cfRule type="cellIs" dxfId="94" priority="4" operator="greaterThan">
      <formula>0</formula>
    </cfRule>
  </conditionalFormatting>
  <conditionalFormatting sqref="F26:G40">
    <cfRule type="cellIs" dxfId="93" priority="5" operator="greater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6" customWidth="1"/>
    <col min="2" max="2" width="28" customWidth="1"/>
    <col min="3" max="3" width="22" customWidth="1"/>
    <col min="4" max="4" width="36" customWidth="1"/>
    <col min="5" max="5" width="18" customWidth="1"/>
    <col min="6" max="7" width="12" customWidth="1"/>
    <col min="8" max="8" width="22" customWidth="1"/>
    <col min="9" max="9" width="10" customWidth="1"/>
    <col min="10" max="10" width="9" customWidth="1"/>
    <col min="11" max="12" width="10" customWidth="1"/>
    <col min="13" max="14" width="9" customWidth="1"/>
    <col min="15" max="15" width="30" customWidth="1"/>
    <col min="16" max="16" width="36" customWidth="1"/>
  </cols>
  <sheetData>
    <row r="1" spans="1:16" ht="20.25" x14ac:dyDescent="0.3">
      <c r="A1" s="6" t="s">
        <v>15</v>
      </c>
      <c r="B1" s="7"/>
      <c r="C1" s="7"/>
      <c r="D1" s="7"/>
      <c r="E1" s="7"/>
      <c r="F1" s="7"/>
      <c r="G1" s="7"/>
      <c r="H1" s="7"/>
      <c r="I1" s="7"/>
      <c r="J1" s="7"/>
      <c r="K1" s="7"/>
      <c r="L1" s="7"/>
      <c r="M1" s="7"/>
      <c r="N1" s="7"/>
      <c r="O1" s="7"/>
      <c r="P1" s="7"/>
    </row>
    <row r="2" spans="1:16" x14ac:dyDescent="0.25">
      <c r="A2" s="8" t="s">
        <v>106</v>
      </c>
      <c r="B2" s="7"/>
      <c r="C2" s="7"/>
      <c r="D2" s="7"/>
      <c r="E2" s="7"/>
      <c r="F2" s="7"/>
      <c r="G2" s="7"/>
      <c r="H2" s="7"/>
      <c r="I2" s="7"/>
      <c r="J2" s="7"/>
      <c r="K2" s="7"/>
      <c r="L2" s="7"/>
      <c r="M2" s="7"/>
      <c r="N2" s="7"/>
      <c r="O2" s="7"/>
      <c r="P2" s="7"/>
    </row>
    <row r="3" spans="1:16" x14ac:dyDescent="0.25">
      <c r="A3" s="7"/>
      <c r="B3" s="7"/>
      <c r="C3" s="7"/>
      <c r="D3" s="7"/>
      <c r="E3" s="7"/>
      <c r="F3" s="7"/>
      <c r="G3" s="7"/>
      <c r="H3" s="7"/>
      <c r="I3" s="7"/>
      <c r="J3" s="7"/>
      <c r="K3" s="7"/>
      <c r="L3" s="7"/>
      <c r="M3" s="7"/>
      <c r="N3" s="7"/>
      <c r="O3" s="7"/>
      <c r="P3" s="7"/>
    </row>
    <row r="4" spans="1:16" ht="38.25" x14ac:dyDescent="0.25">
      <c r="A4" s="18" t="s">
        <v>107</v>
      </c>
      <c r="B4" s="18" t="s">
        <v>105</v>
      </c>
      <c r="C4" s="18" t="s">
        <v>84</v>
      </c>
      <c r="D4" s="18" t="s">
        <v>108</v>
      </c>
      <c r="E4" s="18" t="s">
        <v>109</v>
      </c>
      <c r="F4" s="18" t="s">
        <v>110</v>
      </c>
      <c r="G4" s="18" t="s">
        <v>111</v>
      </c>
      <c r="H4" s="18" t="s">
        <v>112</v>
      </c>
      <c r="I4" s="18" t="s">
        <v>87</v>
      </c>
      <c r="J4" s="18" t="s">
        <v>113</v>
      </c>
      <c r="K4" s="18" t="s">
        <v>80</v>
      </c>
      <c r="L4" s="18" t="s">
        <v>88</v>
      </c>
      <c r="M4" s="18" t="s">
        <v>114</v>
      </c>
      <c r="N4" s="18" t="s">
        <v>115</v>
      </c>
      <c r="O4" s="18" t="s">
        <v>116</v>
      </c>
      <c r="P4" s="18" t="s">
        <v>117</v>
      </c>
    </row>
    <row r="5" spans="1:16" x14ac:dyDescent="0.25">
      <c r="A5" s="21" t="s">
        <v>17</v>
      </c>
      <c r="B5" s="22" t="str">
        <f t="shared" ref="B5:B36" ca="1" si="0">IF($A5="","",IFERROR(INDIRECT("'"&amp;$A5&amp;"'!C4")&amp;"","Tab not found"))</f>
        <v>Project A (placeholder - rename)</v>
      </c>
      <c r="C5" s="22" t="str">
        <f t="shared" ref="C5:C36" ca="1" si="1">IF($A5="","",IFERROR(INDIRECT("'"&amp;$A5&amp;"'!C5")&amp;"","Tab not found"))</f>
        <v>BESS Equipment</v>
      </c>
      <c r="D5" s="22" t="str">
        <f t="shared" ref="D5:D36" ca="1" si="2">IF($A5="","",IFERROR(INDIRECT("'"&amp;$A5&amp;"'!C6")&amp;"","Tab not found"))</f>
        <v>EXAMPLE - BESS equipment RFI (repurpose or delete)</v>
      </c>
      <c r="E5" s="22" t="str">
        <f t="shared" ref="E5:E36" ca="1" si="3">IF($A5="","",IFERROR(INDIRECT("'"&amp;$A5&amp;"'!C7")&amp;"","Tab not found"))</f>
        <v>Jason Knedlhans</v>
      </c>
      <c r="F5" s="23" t="str">
        <f t="shared" ref="F5:F36" ca="1" si="4">IF($A5="","",IFERROR(IF(INDIRECT("'"&amp;$A5&amp;"'!C8")="","",INDIRECT("'"&amp;$A5&amp;"'!C8")),"Tab not found"))</f>
        <v/>
      </c>
      <c r="G5" s="23" t="str">
        <f t="shared" ref="G5:G36" ca="1" si="5">IF($A5="","",IFERROR(IF(INDIRECT("'"&amp;$A5&amp;"'!C9")="","",INDIRECT("'"&amp;$A5&amp;"'!C9")),"Tab not found"))</f>
        <v/>
      </c>
      <c r="H5" s="22" t="str">
        <f t="shared" ref="H5:H36" ca="1" si="6">IF($A5="","",IFERROR(INDIRECT("'"&amp;$A5&amp;"'!C10")&amp;"","Tab not found"))</f>
        <v>Planning</v>
      </c>
      <c r="I5" s="24">
        <f t="shared" ref="I5:I36" ca="1" si="7">IF($A5="","",IFERROR(IF(INDIRECT("'"&amp;$A5&amp;"'!I3")="","",INDIRECT("'"&amp;$A5&amp;"'!I3")+0),"Tab not found"))</f>
        <v>10</v>
      </c>
      <c r="J5" s="24">
        <f t="shared" ref="J5:J36" ca="1" si="8">IF($A5="","",IFERROR(IF(INDIRECT("'"&amp;$A5&amp;"'!I4")="","",INDIRECT("'"&amp;$A5&amp;"'!I4")+0),"Tab not found"))</f>
        <v>0</v>
      </c>
      <c r="K5" s="24">
        <f t="shared" ref="K5:K36" ca="1" si="9">IF($A5="","",IFERROR(IF(INDIRECT("'"&amp;$A5&amp;"'!I5")="","",INDIRECT("'"&amp;$A5&amp;"'!I5")+0),"Tab not found"))</f>
        <v>0</v>
      </c>
      <c r="L5" s="24">
        <f t="shared" ref="L5:L36" ca="1" si="10">IF($A5="","",IFERROR(IF(INDIRECT("'"&amp;$A5&amp;"'!I7")="","",INDIRECT("'"&amp;$A5&amp;"'!I7")+0),"Tab not found"))</f>
        <v>0</v>
      </c>
      <c r="M5" s="24">
        <f t="shared" ref="M5:M36" ca="1" si="11">IF($A5="","",IFERROR(IF(INDIRECT("'"&amp;$A5&amp;"'!I9")="","",INDIRECT("'"&amp;$A5&amp;"'!I9")+0),"Tab not found"))</f>
        <v>0</v>
      </c>
      <c r="N5" s="24" t="str">
        <f t="shared" ref="N5:N36" ca="1" si="12">IF($A5="","",IFERROR(IF(INDIRECT("'"&amp;$A5&amp;"'!I10")="","",INDIRECT("'"&amp;$A5&amp;"'!I10")+0),"Tab not found"))</f>
        <v/>
      </c>
      <c r="O5" s="21"/>
      <c r="P5" s="21" t="s">
        <v>118</v>
      </c>
    </row>
    <row r="6" spans="1:16" x14ac:dyDescent="0.25">
      <c r="A6" s="21"/>
      <c r="B6" s="22" t="str">
        <f t="shared" ca="1" si="0"/>
        <v/>
      </c>
      <c r="C6" s="22" t="str">
        <f t="shared" ca="1" si="1"/>
        <v/>
      </c>
      <c r="D6" s="22" t="str">
        <f t="shared" ca="1" si="2"/>
        <v/>
      </c>
      <c r="E6" s="22" t="str">
        <f t="shared" ca="1" si="3"/>
        <v/>
      </c>
      <c r="F6" s="23" t="str">
        <f t="shared" ca="1" si="4"/>
        <v/>
      </c>
      <c r="G6" s="23" t="str">
        <f t="shared" ca="1" si="5"/>
        <v/>
      </c>
      <c r="H6" s="22" t="str">
        <f t="shared" ca="1" si="6"/>
        <v/>
      </c>
      <c r="I6" s="24" t="str">
        <f t="shared" ca="1" si="7"/>
        <v/>
      </c>
      <c r="J6" s="24" t="str">
        <f t="shared" ca="1" si="8"/>
        <v/>
      </c>
      <c r="K6" s="24" t="str">
        <f t="shared" ca="1" si="9"/>
        <v/>
      </c>
      <c r="L6" s="24" t="str">
        <f t="shared" ca="1" si="10"/>
        <v/>
      </c>
      <c r="M6" s="24" t="str">
        <f t="shared" ca="1" si="11"/>
        <v/>
      </c>
      <c r="N6" s="24" t="str">
        <f t="shared" ca="1" si="12"/>
        <v/>
      </c>
      <c r="O6" s="21"/>
      <c r="P6" s="21"/>
    </row>
    <row r="7" spans="1:16" x14ac:dyDescent="0.25">
      <c r="A7" s="21"/>
      <c r="B7" s="22" t="str">
        <f t="shared" ca="1" si="0"/>
        <v/>
      </c>
      <c r="C7" s="22" t="str">
        <f t="shared" ca="1" si="1"/>
        <v/>
      </c>
      <c r="D7" s="22" t="str">
        <f t="shared" ca="1" si="2"/>
        <v/>
      </c>
      <c r="E7" s="22" t="str">
        <f t="shared" ca="1" si="3"/>
        <v/>
      </c>
      <c r="F7" s="23" t="str">
        <f t="shared" ca="1" si="4"/>
        <v/>
      </c>
      <c r="G7" s="23" t="str">
        <f t="shared" ca="1" si="5"/>
        <v/>
      </c>
      <c r="H7" s="22" t="str">
        <f t="shared" ca="1" si="6"/>
        <v/>
      </c>
      <c r="I7" s="24" t="str">
        <f t="shared" ca="1" si="7"/>
        <v/>
      </c>
      <c r="J7" s="24" t="str">
        <f t="shared" ca="1" si="8"/>
        <v/>
      </c>
      <c r="K7" s="24" t="str">
        <f t="shared" ca="1" si="9"/>
        <v/>
      </c>
      <c r="L7" s="24" t="str">
        <f t="shared" ca="1" si="10"/>
        <v/>
      </c>
      <c r="M7" s="24" t="str">
        <f t="shared" ca="1" si="11"/>
        <v/>
      </c>
      <c r="N7" s="24" t="str">
        <f t="shared" ca="1" si="12"/>
        <v/>
      </c>
      <c r="O7" s="21"/>
      <c r="P7" s="21"/>
    </row>
    <row r="8" spans="1:16" x14ac:dyDescent="0.25">
      <c r="A8" s="21"/>
      <c r="B8" s="22" t="str">
        <f t="shared" ca="1" si="0"/>
        <v/>
      </c>
      <c r="C8" s="22" t="str">
        <f t="shared" ca="1" si="1"/>
        <v/>
      </c>
      <c r="D8" s="22" t="str">
        <f t="shared" ca="1" si="2"/>
        <v/>
      </c>
      <c r="E8" s="22" t="str">
        <f t="shared" ca="1" si="3"/>
        <v/>
      </c>
      <c r="F8" s="23" t="str">
        <f t="shared" ca="1" si="4"/>
        <v/>
      </c>
      <c r="G8" s="23" t="str">
        <f t="shared" ca="1" si="5"/>
        <v/>
      </c>
      <c r="H8" s="22" t="str">
        <f t="shared" ca="1" si="6"/>
        <v/>
      </c>
      <c r="I8" s="24" t="str">
        <f t="shared" ca="1" si="7"/>
        <v/>
      </c>
      <c r="J8" s="24" t="str">
        <f t="shared" ca="1" si="8"/>
        <v/>
      </c>
      <c r="K8" s="24" t="str">
        <f t="shared" ca="1" si="9"/>
        <v/>
      </c>
      <c r="L8" s="24" t="str">
        <f t="shared" ca="1" si="10"/>
        <v/>
      </c>
      <c r="M8" s="24" t="str">
        <f t="shared" ca="1" si="11"/>
        <v/>
      </c>
      <c r="N8" s="24" t="str">
        <f t="shared" ca="1" si="12"/>
        <v/>
      </c>
      <c r="O8" s="21"/>
      <c r="P8" s="21"/>
    </row>
    <row r="9" spans="1:16" x14ac:dyDescent="0.25">
      <c r="A9" s="21"/>
      <c r="B9" s="22" t="str">
        <f t="shared" ca="1" si="0"/>
        <v/>
      </c>
      <c r="C9" s="22" t="str">
        <f t="shared" ca="1" si="1"/>
        <v/>
      </c>
      <c r="D9" s="22" t="str">
        <f t="shared" ca="1" si="2"/>
        <v/>
      </c>
      <c r="E9" s="22" t="str">
        <f t="shared" ca="1" si="3"/>
        <v/>
      </c>
      <c r="F9" s="23" t="str">
        <f t="shared" ca="1" si="4"/>
        <v/>
      </c>
      <c r="G9" s="23" t="str">
        <f t="shared" ca="1" si="5"/>
        <v/>
      </c>
      <c r="H9" s="22" t="str">
        <f t="shared" ca="1" si="6"/>
        <v/>
      </c>
      <c r="I9" s="24" t="str">
        <f t="shared" ca="1" si="7"/>
        <v/>
      </c>
      <c r="J9" s="24" t="str">
        <f t="shared" ca="1" si="8"/>
        <v/>
      </c>
      <c r="K9" s="24" t="str">
        <f t="shared" ca="1" si="9"/>
        <v/>
      </c>
      <c r="L9" s="24" t="str">
        <f t="shared" ca="1" si="10"/>
        <v/>
      </c>
      <c r="M9" s="24" t="str">
        <f t="shared" ca="1" si="11"/>
        <v/>
      </c>
      <c r="N9" s="24" t="str">
        <f t="shared" ca="1" si="12"/>
        <v/>
      </c>
      <c r="O9" s="21"/>
      <c r="P9" s="21"/>
    </row>
    <row r="10" spans="1:16" x14ac:dyDescent="0.25">
      <c r="A10" s="21"/>
      <c r="B10" s="22" t="str">
        <f t="shared" ca="1" si="0"/>
        <v/>
      </c>
      <c r="C10" s="22" t="str">
        <f t="shared" ca="1" si="1"/>
        <v/>
      </c>
      <c r="D10" s="22" t="str">
        <f t="shared" ca="1" si="2"/>
        <v/>
      </c>
      <c r="E10" s="22" t="str">
        <f t="shared" ca="1" si="3"/>
        <v/>
      </c>
      <c r="F10" s="23" t="str">
        <f t="shared" ca="1" si="4"/>
        <v/>
      </c>
      <c r="G10" s="23" t="str">
        <f t="shared" ca="1" si="5"/>
        <v/>
      </c>
      <c r="H10" s="22" t="str">
        <f t="shared" ca="1" si="6"/>
        <v/>
      </c>
      <c r="I10" s="24" t="str">
        <f t="shared" ca="1" si="7"/>
        <v/>
      </c>
      <c r="J10" s="24" t="str">
        <f t="shared" ca="1" si="8"/>
        <v/>
      </c>
      <c r="K10" s="24" t="str">
        <f t="shared" ca="1" si="9"/>
        <v/>
      </c>
      <c r="L10" s="24" t="str">
        <f t="shared" ca="1" si="10"/>
        <v/>
      </c>
      <c r="M10" s="24" t="str">
        <f t="shared" ca="1" si="11"/>
        <v/>
      </c>
      <c r="N10" s="24" t="str">
        <f t="shared" ca="1" si="12"/>
        <v/>
      </c>
      <c r="O10" s="21"/>
      <c r="P10" s="21"/>
    </row>
    <row r="11" spans="1:16" x14ac:dyDescent="0.25">
      <c r="A11" s="21"/>
      <c r="B11" s="22" t="str">
        <f t="shared" ca="1" si="0"/>
        <v/>
      </c>
      <c r="C11" s="22" t="str">
        <f t="shared" ca="1" si="1"/>
        <v/>
      </c>
      <c r="D11" s="22" t="str">
        <f t="shared" ca="1" si="2"/>
        <v/>
      </c>
      <c r="E11" s="22" t="str">
        <f t="shared" ca="1" si="3"/>
        <v/>
      </c>
      <c r="F11" s="23" t="str">
        <f t="shared" ca="1" si="4"/>
        <v/>
      </c>
      <c r="G11" s="23" t="str">
        <f t="shared" ca="1" si="5"/>
        <v/>
      </c>
      <c r="H11" s="22" t="str">
        <f t="shared" ca="1" si="6"/>
        <v/>
      </c>
      <c r="I11" s="24" t="str">
        <f t="shared" ca="1" si="7"/>
        <v/>
      </c>
      <c r="J11" s="24" t="str">
        <f t="shared" ca="1" si="8"/>
        <v/>
      </c>
      <c r="K11" s="24" t="str">
        <f t="shared" ca="1" si="9"/>
        <v/>
      </c>
      <c r="L11" s="24" t="str">
        <f t="shared" ca="1" si="10"/>
        <v/>
      </c>
      <c r="M11" s="24" t="str">
        <f t="shared" ca="1" si="11"/>
        <v/>
      </c>
      <c r="N11" s="24" t="str">
        <f t="shared" ca="1" si="12"/>
        <v/>
      </c>
      <c r="O11" s="21"/>
      <c r="P11" s="21"/>
    </row>
    <row r="12" spans="1:16" x14ac:dyDescent="0.25">
      <c r="A12" s="21"/>
      <c r="B12" s="22" t="str">
        <f t="shared" ca="1" si="0"/>
        <v/>
      </c>
      <c r="C12" s="22" t="str">
        <f t="shared" ca="1" si="1"/>
        <v/>
      </c>
      <c r="D12" s="22" t="str">
        <f t="shared" ca="1" si="2"/>
        <v/>
      </c>
      <c r="E12" s="22" t="str">
        <f t="shared" ca="1" si="3"/>
        <v/>
      </c>
      <c r="F12" s="23" t="str">
        <f t="shared" ca="1" si="4"/>
        <v/>
      </c>
      <c r="G12" s="23" t="str">
        <f t="shared" ca="1" si="5"/>
        <v/>
      </c>
      <c r="H12" s="22" t="str">
        <f t="shared" ca="1" si="6"/>
        <v/>
      </c>
      <c r="I12" s="24" t="str">
        <f t="shared" ca="1" si="7"/>
        <v/>
      </c>
      <c r="J12" s="24" t="str">
        <f t="shared" ca="1" si="8"/>
        <v/>
      </c>
      <c r="K12" s="24" t="str">
        <f t="shared" ca="1" si="9"/>
        <v/>
      </c>
      <c r="L12" s="24" t="str">
        <f t="shared" ca="1" si="10"/>
        <v/>
      </c>
      <c r="M12" s="24" t="str">
        <f t="shared" ca="1" si="11"/>
        <v/>
      </c>
      <c r="N12" s="24" t="str">
        <f t="shared" ca="1" si="12"/>
        <v/>
      </c>
      <c r="O12" s="21"/>
      <c r="P12" s="21"/>
    </row>
    <row r="13" spans="1:16" x14ac:dyDescent="0.25">
      <c r="A13" s="21"/>
      <c r="B13" s="22" t="str">
        <f t="shared" ca="1" si="0"/>
        <v/>
      </c>
      <c r="C13" s="22" t="str">
        <f t="shared" ca="1" si="1"/>
        <v/>
      </c>
      <c r="D13" s="22" t="str">
        <f t="shared" ca="1" si="2"/>
        <v/>
      </c>
      <c r="E13" s="22" t="str">
        <f t="shared" ca="1" si="3"/>
        <v/>
      </c>
      <c r="F13" s="23" t="str">
        <f t="shared" ca="1" si="4"/>
        <v/>
      </c>
      <c r="G13" s="23" t="str">
        <f t="shared" ca="1" si="5"/>
        <v/>
      </c>
      <c r="H13" s="22" t="str">
        <f t="shared" ca="1" si="6"/>
        <v/>
      </c>
      <c r="I13" s="24" t="str">
        <f t="shared" ca="1" si="7"/>
        <v/>
      </c>
      <c r="J13" s="24" t="str">
        <f t="shared" ca="1" si="8"/>
        <v/>
      </c>
      <c r="K13" s="24" t="str">
        <f t="shared" ca="1" si="9"/>
        <v/>
      </c>
      <c r="L13" s="24" t="str">
        <f t="shared" ca="1" si="10"/>
        <v/>
      </c>
      <c r="M13" s="24" t="str">
        <f t="shared" ca="1" si="11"/>
        <v/>
      </c>
      <c r="N13" s="24" t="str">
        <f t="shared" ca="1" si="12"/>
        <v/>
      </c>
      <c r="O13" s="21"/>
      <c r="P13" s="21"/>
    </row>
    <row r="14" spans="1:16" x14ac:dyDescent="0.25">
      <c r="A14" s="21"/>
      <c r="B14" s="22" t="str">
        <f t="shared" ca="1" si="0"/>
        <v/>
      </c>
      <c r="C14" s="22" t="str">
        <f t="shared" ca="1" si="1"/>
        <v/>
      </c>
      <c r="D14" s="22" t="str">
        <f t="shared" ca="1" si="2"/>
        <v/>
      </c>
      <c r="E14" s="22" t="str">
        <f t="shared" ca="1" si="3"/>
        <v/>
      </c>
      <c r="F14" s="23" t="str">
        <f t="shared" ca="1" si="4"/>
        <v/>
      </c>
      <c r="G14" s="23" t="str">
        <f t="shared" ca="1" si="5"/>
        <v/>
      </c>
      <c r="H14" s="22" t="str">
        <f t="shared" ca="1" si="6"/>
        <v/>
      </c>
      <c r="I14" s="24" t="str">
        <f t="shared" ca="1" si="7"/>
        <v/>
      </c>
      <c r="J14" s="24" t="str">
        <f t="shared" ca="1" si="8"/>
        <v/>
      </c>
      <c r="K14" s="24" t="str">
        <f t="shared" ca="1" si="9"/>
        <v/>
      </c>
      <c r="L14" s="24" t="str">
        <f t="shared" ca="1" si="10"/>
        <v/>
      </c>
      <c r="M14" s="24" t="str">
        <f t="shared" ca="1" si="11"/>
        <v/>
      </c>
      <c r="N14" s="24" t="str">
        <f t="shared" ca="1" si="12"/>
        <v/>
      </c>
      <c r="O14" s="21"/>
      <c r="P14" s="21"/>
    </row>
    <row r="15" spans="1:16" x14ac:dyDescent="0.25">
      <c r="A15" s="21"/>
      <c r="B15" s="22" t="str">
        <f t="shared" ca="1" si="0"/>
        <v/>
      </c>
      <c r="C15" s="22" t="str">
        <f t="shared" ca="1" si="1"/>
        <v/>
      </c>
      <c r="D15" s="22" t="str">
        <f t="shared" ca="1" si="2"/>
        <v/>
      </c>
      <c r="E15" s="22" t="str">
        <f t="shared" ca="1" si="3"/>
        <v/>
      </c>
      <c r="F15" s="23" t="str">
        <f t="shared" ca="1" si="4"/>
        <v/>
      </c>
      <c r="G15" s="23" t="str">
        <f t="shared" ca="1" si="5"/>
        <v/>
      </c>
      <c r="H15" s="22" t="str">
        <f t="shared" ca="1" si="6"/>
        <v/>
      </c>
      <c r="I15" s="24" t="str">
        <f t="shared" ca="1" si="7"/>
        <v/>
      </c>
      <c r="J15" s="24" t="str">
        <f t="shared" ca="1" si="8"/>
        <v/>
      </c>
      <c r="K15" s="24" t="str">
        <f t="shared" ca="1" si="9"/>
        <v/>
      </c>
      <c r="L15" s="24" t="str">
        <f t="shared" ca="1" si="10"/>
        <v/>
      </c>
      <c r="M15" s="24" t="str">
        <f t="shared" ca="1" si="11"/>
        <v/>
      </c>
      <c r="N15" s="24" t="str">
        <f t="shared" ca="1" si="12"/>
        <v/>
      </c>
      <c r="O15" s="21"/>
      <c r="P15" s="21"/>
    </row>
    <row r="16" spans="1:16" x14ac:dyDescent="0.25">
      <c r="A16" s="21"/>
      <c r="B16" s="22" t="str">
        <f t="shared" ca="1" si="0"/>
        <v/>
      </c>
      <c r="C16" s="22" t="str">
        <f t="shared" ca="1" si="1"/>
        <v/>
      </c>
      <c r="D16" s="22" t="str">
        <f t="shared" ca="1" si="2"/>
        <v/>
      </c>
      <c r="E16" s="22" t="str">
        <f t="shared" ca="1" si="3"/>
        <v/>
      </c>
      <c r="F16" s="23" t="str">
        <f t="shared" ca="1" si="4"/>
        <v/>
      </c>
      <c r="G16" s="23" t="str">
        <f t="shared" ca="1" si="5"/>
        <v/>
      </c>
      <c r="H16" s="22" t="str">
        <f t="shared" ca="1" si="6"/>
        <v/>
      </c>
      <c r="I16" s="24" t="str">
        <f t="shared" ca="1" si="7"/>
        <v/>
      </c>
      <c r="J16" s="24" t="str">
        <f t="shared" ca="1" si="8"/>
        <v/>
      </c>
      <c r="K16" s="24" t="str">
        <f t="shared" ca="1" si="9"/>
        <v/>
      </c>
      <c r="L16" s="24" t="str">
        <f t="shared" ca="1" si="10"/>
        <v/>
      </c>
      <c r="M16" s="24" t="str">
        <f t="shared" ca="1" si="11"/>
        <v/>
      </c>
      <c r="N16" s="24" t="str">
        <f t="shared" ca="1" si="12"/>
        <v/>
      </c>
      <c r="O16" s="21"/>
      <c r="P16" s="21"/>
    </row>
    <row r="17" spans="1:16" x14ac:dyDescent="0.25">
      <c r="A17" s="21"/>
      <c r="B17" s="22" t="str">
        <f t="shared" ca="1" si="0"/>
        <v/>
      </c>
      <c r="C17" s="22" t="str">
        <f t="shared" ca="1" si="1"/>
        <v/>
      </c>
      <c r="D17" s="22" t="str">
        <f t="shared" ca="1" si="2"/>
        <v/>
      </c>
      <c r="E17" s="22" t="str">
        <f t="shared" ca="1" si="3"/>
        <v/>
      </c>
      <c r="F17" s="23" t="str">
        <f t="shared" ca="1" si="4"/>
        <v/>
      </c>
      <c r="G17" s="23" t="str">
        <f t="shared" ca="1" si="5"/>
        <v/>
      </c>
      <c r="H17" s="22" t="str">
        <f t="shared" ca="1" si="6"/>
        <v/>
      </c>
      <c r="I17" s="24" t="str">
        <f t="shared" ca="1" si="7"/>
        <v/>
      </c>
      <c r="J17" s="24" t="str">
        <f t="shared" ca="1" si="8"/>
        <v/>
      </c>
      <c r="K17" s="24" t="str">
        <f t="shared" ca="1" si="9"/>
        <v/>
      </c>
      <c r="L17" s="24" t="str">
        <f t="shared" ca="1" si="10"/>
        <v/>
      </c>
      <c r="M17" s="24" t="str">
        <f t="shared" ca="1" si="11"/>
        <v/>
      </c>
      <c r="N17" s="24" t="str">
        <f t="shared" ca="1" si="12"/>
        <v/>
      </c>
      <c r="O17" s="21"/>
      <c r="P17" s="21"/>
    </row>
    <row r="18" spans="1:16" x14ac:dyDescent="0.25">
      <c r="A18" s="21"/>
      <c r="B18" s="22" t="str">
        <f t="shared" ca="1" si="0"/>
        <v/>
      </c>
      <c r="C18" s="22" t="str">
        <f t="shared" ca="1" si="1"/>
        <v/>
      </c>
      <c r="D18" s="22" t="str">
        <f t="shared" ca="1" si="2"/>
        <v/>
      </c>
      <c r="E18" s="22" t="str">
        <f t="shared" ca="1" si="3"/>
        <v/>
      </c>
      <c r="F18" s="23" t="str">
        <f t="shared" ca="1" si="4"/>
        <v/>
      </c>
      <c r="G18" s="23" t="str">
        <f t="shared" ca="1" si="5"/>
        <v/>
      </c>
      <c r="H18" s="22" t="str">
        <f t="shared" ca="1" si="6"/>
        <v/>
      </c>
      <c r="I18" s="24" t="str">
        <f t="shared" ca="1" si="7"/>
        <v/>
      </c>
      <c r="J18" s="24" t="str">
        <f t="shared" ca="1" si="8"/>
        <v/>
      </c>
      <c r="K18" s="24" t="str">
        <f t="shared" ca="1" si="9"/>
        <v/>
      </c>
      <c r="L18" s="24" t="str">
        <f t="shared" ca="1" si="10"/>
        <v/>
      </c>
      <c r="M18" s="24" t="str">
        <f t="shared" ca="1" si="11"/>
        <v/>
      </c>
      <c r="N18" s="24" t="str">
        <f t="shared" ca="1" si="12"/>
        <v/>
      </c>
      <c r="O18" s="21"/>
      <c r="P18" s="21"/>
    </row>
    <row r="19" spans="1:16" x14ac:dyDescent="0.25">
      <c r="A19" s="21"/>
      <c r="B19" s="22" t="str">
        <f t="shared" ca="1" si="0"/>
        <v/>
      </c>
      <c r="C19" s="22" t="str">
        <f t="shared" ca="1" si="1"/>
        <v/>
      </c>
      <c r="D19" s="22" t="str">
        <f t="shared" ca="1" si="2"/>
        <v/>
      </c>
      <c r="E19" s="22" t="str">
        <f t="shared" ca="1" si="3"/>
        <v/>
      </c>
      <c r="F19" s="23" t="str">
        <f t="shared" ca="1" si="4"/>
        <v/>
      </c>
      <c r="G19" s="23" t="str">
        <f t="shared" ca="1" si="5"/>
        <v/>
      </c>
      <c r="H19" s="22" t="str">
        <f t="shared" ca="1" si="6"/>
        <v/>
      </c>
      <c r="I19" s="24" t="str">
        <f t="shared" ca="1" si="7"/>
        <v/>
      </c>
      <c r="J19" s="24" t="str">
        <f t="shared" ca="1" si="8"/>
        <v/>
      </c>
      <c r="K19" s="24" t="str">
        <f t="shared" ca="1" si="9"/>
        <v/>
      </c>
      <c r="L19" s="24" t="str">
        <f t="shared" ca="1" si="10"/>
        <v/>
      </c>
      <c r="M19" s="24" t="str">
        <f t="shared" ca="1" si="11"/>
        <v/>
      </c>
      <c r="N19" s="24" t="str">
        <f t="shared" ca="1" si="12"/>
        <v/>
      </c>
      <c r="O19" s="21"/>
      <c r="P19" s="21"/>
    </row>
    <row r="20" spans="1:16" x14ac:dyDescent="0.25">
      <c r="A20" s="21"/>
      <c r="B20" s="22" t="str">
        <f t="shared" ca="1" si="0"/>
        <v/>
      </c>
      <c r="C20" s="22" t="str">
        <f t="shared" ca="1" si="1"/>
        <v/>
      </c>
      <c r="D20" s="22" t="str">
        <f t="shared" ca="1" si="2"/>
        <v/>
      </c>
      <c r="E20" s="22" t="str">
        <f t="shared" ca="1" si="3"/>
        <v/>
      </c>
      <c r="F20" s="23" t="str">
        <f t="shared" ca="1" si="4"/>
        <v/>
      </c>
      <c r="G20" s="23" t="str">
        <f t="shared" ca="1" si="5"/>
        <v/>
      </c>
      <c r="H20" s="22" t="str">
        <f t="shared" ca="1" si="6"/>
        <v/>
      </c>
      <c r="I20" s="24" t="str">
        <f t="shared" ca="1" si="7"/>
        <v/>
      </c>
      <c r="J20" s="24" t="str">
        <f t="shared" ca="1" si="8"/>
        <v/>
      </c>
      <c r="K20" s="24" t="str">
        <f t="shared" ca="1" si="9"/>
        <v/>
      </c>
      <c r="L20" s="24" t="str">
        <f t="shared" ca="1" si="10"/>
        <v/>
      </c>
      <c r="M20" s="24" t="str">
        <f t="shared" ca="1" si="11"/>
        <v/>
      </c>
      <c r="N20" s="24" t="str">
        <f t="shared" ca="1" si="12"/>
        <v/>
      </c>
      <c r="O20" s="21"/>
      <c r="P20" s="21"/>
    </row>
    <row r="21" spans="1:16" x14ac:dyDescent="0.25">
      <c r="A21" s="21"/>
      <c r="B21" s="22" t="str">
        <f t="shared" ca="1" si="0"/>
        <v/>
      </c>
      <c r="C21" s="22" t="str">
        <f t="shared" ca="1" si="1"/>
        <v/>
      </c>
      <c r="D21" s="22" t="str">
        <f t="shared" ca="1" si="2"/>
        <v/>
      </c>
      <c r="E21" s="22" t="str">
        <f t="shared" ca="1" si="3"/>
        <v/>
      </c>
      <c r="F21" s="23" t="str">
        <f t="shared" ca="1" si="4"/>
        <v/>
      </c>
      <c r="G21" s="23" t="str">
        <f t="shared" ca="1" si="5"/>
        <v/>
      </c>
      <c r="H21" s="22" t="str">
        <f t="shared" ca="1" si="6"/>
        <v/>
      </c>
      <c r="I21" s="24" t="str">
        <f t="shared" ca="1" si="7"/>
        <v/>
      </c>
      <c r="J21" s="24" t="str">
        <f t="shared" ca="1" si="8"/>
        <v/>
      </c>
      <c r="K21" s="24" t="str">
        <f t="shared" ca="1" si="9"/>
        <v/>
      </c>
      <c r="L21" s="24" t="str">
        <f t="shared" ca="1" si="10"/>
        <v/>
      </c>
      <c r="M21" s="24" t="str">
        <f t="shared" ca="1" si="11"/>
        <v/>
      </c>
      <c r="N21" s="24" t="str">
        <f t="shared" ca="1" si="12"/>
        <v/>
      </c>
      <c r="O21" s="21"/>
      <c r="P21" s="21"/>
    </row>
    <row r="22" spans="1:16" x14ac:dyDescent="0.25">
      <c r="A22" s="21"/>
      <c r="B22" s="22" t="str">
        <f t="shared" ca="1" si="0"/>
        <v/>
      </c>
      <c r="C22" s="22" t="str">
        <f t="shared" ca="1" si="1"/>
        <v/>
      </c>
      <c r="D22" s="22" t="str">
        <f t="shared" ca="1" si="2"/>
        <v/>
      </c>
      <c r="E22" s="22" t="str">
        <f t="shared" ca="1" si="3"/>
        <v/>
      </c>
      <c r="F22" s="23" t="str">
        <f t="shared" ca="1" si="4"/>
        <v/>
      </c>
      <c r="G22" s="23" t="str">
        <f t="shared" ca="1" si="5"/>
        <v/>
      </c>
      <c r="H22" s="22" t="str">
        <f t="shared" ca="1" si="6"/>
        <v/>
      </c>
      <c r="I22" s="24" t="str">
        <f t="shared" ca="1" si="7"/>
        <v/>
      </c>
      <c r="J22" s="24" t="str">
        <f t="shared" ca="1" si="8"/>
        <v/>
      </c>
      <c r="K22" s="24" t="str">
        <f t="shared" ca="1" si="9"/>
        <v/>
      </c>
      <c r="L22" s="24" t="str">
        <f t="shared" ca="1" si="10"/>
        <v/>
      </c>
      <c r="M22" s="24" t="str">
        <f t="shared" ca="1" si="11"/>
        <v/>
      </c>
      <c r="N22" s="24" t="str">
        <f t="shared" ca="1" si="12"/>
        <v/>
      </c>
      <c r="O22" s="21"/>
      <c r="P22" s="21"/>
    </row>
    <row r="23" spans="1:16" x14ac:dyDescent="0.25">
      <c r="A23" s="21"/>
      <c r="B23" s="22" t="str">
        <f t="shared" ca="1" si="0"/>
        <v/>
      </c>
      <c r="C23" s="22" t="str">
        <f t="shared" ca="1" si="1"/>
        <v/>
      </c>
      <c r="D23" s="22" t="str">
        <f t="shared" ca="1" si="2"/>
        <v/>
      </c>
      <c r="E23" s="22" t="str">
        <f t="shared" ca="1" si="3"/>
        <v/>
      </c>
      <c r="F23" s="23" t="str">
        <f t="shared" ca="1" si="4"/>
        <v/>
      </c>
      <c r="G23" s="23" t="str">
        <f t="shared" ca="1" si="5"/>
        <v/>
      </c>
      <c r="H23" s="22" t="str">
        <f t="shared" ca="1" si="6"/>
        <v/>
      </c>
      <c r="I23" s="24" t="str">
        <f t="shared" ca="1" si="7"/>
        <v/>
      </c>
      <c r="J23" s="24" t="str">
        <f t="shared" ca="1" si="8"/>
        <v/>
      </c>
      <c r="K23" s="24" t="str">
        <f t="shared" ca="1" si="9"/>
        <v/>
      </c>
      <c r="L23" s="24" t="str">
        <f t="shared" ca="1" si="10"/>
        <v/>
      </c>
      <c r="M23" s="24" t="str">
        <f t="shared" ca="1" si="11"/>
        <v/>
      </c>
      <c r="N23" s="24" t="str">
        <f t="shared" ca="1" si="12"/>
        <v/>
      </c>
      <c r="O23" s="21"/>
      <c r="P23" s="21"/>
    </row>
    <row r="24" spans="1:16" x14ac:dyDescent="0.25">
      <c r="A24" s="21"/>
      <c r="B24" s="22" t="str">
        <f t="shared" ca="1" si="0"/>
        <v/>
      </c>
      <c r="C24" s="22" t="str">
        <f t="shared" ca="1" si="1"/>
        <v/>
      </c>
      <c r="D24" s="22" t="str">
        <f t="shared" ca="1" si="2"/>
        <v/>
      </c>
      <c r="E24" s="22" t="str">
        <f t="shared" ca="1" si="3"/>
        <v/>
      </c>
      <c r="F24" s="23" t="str">
        <f t="shared" ca="1" si="4"/>
        <v/>
      </c>
      <c r="G24" s="23" t="str">
        <f t="shared" ca="1" si="5"/>
        <v/>
      </c>
      <c r="H24" s="22" t="str">
        <f t="shared" ca="1" si="6"/>
        <v/>
      </c>
      <c r="I24" s="24" t="str">
        <f t="shared" ca="1" si="7"/>
        <v/>
      </c>
      <c r="J24" s="24" t="str">
        <f t="shared" ca="1" si="8"/>
        <v/>
      </c>
      <c r="K24" s="24" t="str">
        <f t="shared" ca="1" si="9"/>
        <v/>
      </c>
      <c r="L24" s="24" t="str">
        <f t="shared" ca="1" si="10"/>
        <v/>
      </c>
      <c r="M24" s="24" t="str">
        <f t="shared" ca="1" si="11"/>
        <v/>
      </c>
      <c r="N24" s="24" t="str">
        <f t="shared" ca="1" si="12"/>
        <v/>
      </c>
      <c r="O24" s="21"/>
      <c r="P24" s="21"/>
    </row>
    <row r="25" spans="1:16" x14ac:dyDescent="0.25">
      <c r="A25" s="21"/>
      <c r="B25" s="22" t="str">
        <f t="shared" ca="1" si="0"/>
        <v/>
      </c>
      <c r="C25" s="22" t="str">
        <f t="shared" ca="1" si="1"/>
        <v/>
      </c>
      <c r="D25" s="22" t="str">
        <f t="shared" ca="1" si="2"/>
        <v/>
      </c>
      <c r="E25" s="22" t="str">
        <f t="shared" ca="1" si="3"/>
        <v/>
      </c>
      <c r="F25" s="23" t="str">
        <f t="shared" ca="1" si="4"/>
        <v/>
      </c>
      <c r="G25" s="23" t="str">
        <f t="shared" ca="1" si="5"/>
        <v/>
      </c>
      <c r="H25" s="22" t="str">
        <f t="shared" ca="1" si="6"/>
        <v/>
      </c>
      <c r="I25" s="24" t="str">
        <f t="shared" ca="1" si="7"/>
        <v/>
      </c>
      <c r="J25" s="24" t="str">
        <f t="shared" ca="1" si="8"/>
        <v/>
      </c>
      <c r="K25" s="24" t="str">
        <f t="shared" ca="1" si="9"/>
        <v/>
      </c>
      <c r="L25" s="24" t="str">
        <f t="shared" ca="1" si="10"/>
        <v/>
      </c>
      <c r="M25" s="24" t="str">
        <f t="shared" ca="1" si="11"/>
        <v/>
      </c>
      <c r="N25" s="24" t="str">
        <f t="shared" ca="1" si="12"/>
        <v/>
      </c>
      <c r="O25" s="21"/>
      <c r="P25" s="21"/>
    </row>
    <row r="26" spans="1:16" x14ac:dyDescent="0.25">
      <c r="A26" s="21"/>
      <c r="B26" s="22" t="str">
        <f t="shared" ca="1" si="0"/>
        <v/>
      </c>
      <c r="C26" s="22" t="str">
        <f t="shared" ca="1" si="1"/>
        <v/>
      </c>
      <c r="D26" s="22" t="str">
        <f t="shared" ca="1" si="2"/>
        <v/>
      </c>
      <c r="E26" s="22" t="str">
        <f t="shared" ca="1" si="3"/>
        <v/>
      </c>
      <c r="F26" s="23" t="str">
        <f t="shared" ca="1" si="4"/>
        <v/>
      </c>
      <c r="G26" s="23" t="str">
        <f t="shared" ca="1" si="5"/>
        <v/>
      </c>
      <c r="H26" s="22" t="str">
        <f t="shared" ca="1" si="6"/>
        <v/>
      </c>
      <c r="I26" s="24" t="str">
        <f t="shared" ca="1" si="7"/>
        <v/>
      </c>
      <c r="J26" s="24" t="str">
        <f t="shared" ca="1" si="8"/>
        <v/>
      </c>
      <c r="K26" s="24" t="str">
        <f t="shared" ca="1" si="9"/>
        <v/>
      </c>
      <c r="L26" s="24" t="str">
        <f t="shared" ca="1" si="10"/>
        <v/>
      </c>
      <c r="M26" s="24" t="str">
        <f t="shared" ca="1" si="11"/>
        <v/>
      </c>
      <c r="N26" s="24" t="str">
        <f t="shared" ca="1" si="12"/>
        <v/>
      </c>
      <c r="O26" s="21"/>
      <c r="P26" s="21"/>
    </row>
    <row r="27" spans="1:16" x14ac:dyDescent="0.25">
      <c r="A27" s="21"/>
      <c r="B27" s="22" t="str">
        <f t="shared" ca="1" si="0"/>
        <v/>
      </c>
      <c r="C27" s="22" t="str">
        <f t="shared" ca="1" si="1"/>
        <v/>
      </c>
      <c r="D27" s="22" t="str">
        <f t="shared" ca="1" si="2"/>
        <v/>
      </c>
      <c r="E27" s="22" t="str">
        <f t="shared" ca="1" si="3"/>
        <v/>
      </c>
      <c r="F27" s="23" t="str">
        <f t="shared" ca="1" si="4"/>
        <v/>
      </c>
      <c r="G27" s="23" t="str">
        <f t="shared" ca="1" si="5"/>
        <v/>
      </c>
      <c r="H27" s="22" t="str">
        <f t="shared" ca="1" si="6"/>
        <v/>
      </c>
      <c r="I27" s="24" t="str">
        <f t="shared" ca="1" si="7"/>
        <v/>
      </c>
      <c r="J27" s="24" t="str">
        <f t="shared" ca="1" si="8"/>
        <v/>
      </c>
      <c r="K27" s="24" t="str">
        <f t="shared" ca="1" si="9"/>
        <v/>
      </c>
      <c r="L27" s="24" t="str">
        <f t="shared" ca="1" si="10"/>
        <v/>
      </c>
      <c r="M27" s="24" t="str">
        <f t="shared" ca="1" si="11"/>
        <v/>
      </c>
      <c r="N27" s="24" t="str">
        <f t="shared" ca="1" si="12"/>
        <v/>
      </c>
      <c r="O27" s="21"/>
      <c r="P27" s="21"/>
    </row>
    <row r="28" spans="1:16" x14ac:dyDescent="0.25">
      <c r="A28" s="21"/>
      <c r="B28" s="22" t="str">
        <f t="shared" ca="1" si="0"/>
        <v/>
      </c>
      <c r="C28" s="22" t="str">
        <f t="shared" ca="1" si="1"/>
        <v/>
      </c>
      <c r="D28" s="22" t="str">
        <f t="shared" ca="1" si="2"/>
        <v/>
      </c>
      <c r="E28" s="22" t="str">
        <f t="shared" ca="1" si="3"/>
        <v/>
      </c>
      <c r="F28" s="23" t="str">
        <f t="shared" ca="1" si="4"/>
        <v/>
      </c>
      <c r="G28" s="23" t="str">
        <f t="shared" ca="1" si="5"/>
        <v/>
      </c>
      <c r="H28" s="22" t="str">
        <f t="shared" ca="1" si="6"/>
        <v/>
      </c>
      <c r="I28" s="24" t="str">
        <f t="shared" ca="1" si="7"/>
        <v/>
      </c>
      <c r="J28" s="24" t="str">
        <f t="shared" ca="1" si="8"/>
        <v/>
      </c>
      <c r="K28" s="24" t="str">
        <f t="shared" ca="1" si="9"/>
        <v/>
      </c>
      <c r="L28" s="24" t="str">
        <f t="shared" ca="1" si="10"/>
        <v/>
      </c>
      <c r="M28" s="24" t="str">
        <f t="shared" ca="1" si="11"/>
        <v/>
      </c>
      <c r="N28" s="24" t="str">
        <f t="shared" ca="1" si="12"/>
        <v/>
      </c>
      <c r="O28" s="21"/>
      <c r="P28" s="21"/>
    </row>
    <row r="29" spans="1:16" x14ac:dyDescent="0.25">
      <c r="A29" s="21"/>
      <c r="B29" s="22" t="str">
        <f t="shared" ca="1" si="0"/>
        <v/>
      </c>
      <c r="C29" s="22" t="str">
        <f t="shared" ca="1" si="1"/>
        <v/>
      </c>
      <c r="D29" s="22" t="str">
        <f t="shared" ca="1" si="2"/>
        <v/>
      </c>
      <c r="E29" s="22" t="str">
        <f t="shared" ca="1" si="3"/>
        <v/>
      </c>
      <c r="F29" s="23" t="str">
        <f t="shared" ca="1" si="4"/>
        <v/>
      </c>
      <c r="G29" s="23" t="str">
        <f t="shared" ca="1" si="5"/>
        <v/>
      </c>
      <c r="H29" s="22" t="str">
        <f t="shared" ca="1" si="6"/>
        <v/>
      </c>
      <c r="I29" s="24" t="str">
        <f t="shared" ca="1" si="7"/>
        <v/>
      </c>
      <c r="J29" s="24" t="str">
        <f t="shared" ca="1" si="8"/>
        <v/>
      </c>
      <c r="K29" s="24" t="str">
        <f t="shared" ca="1" si="9"/>
        <v/>
      </c>
      <c r="L29" s="24" t="str">
        <f t="shared" ca="1" si="10"/>
        <v/>
      </c>
      <c r="M29" s="24" t="str">
        <f t="shared" ca="1" si="11"/>
        <v/>
      </c>
      <c r="N29" s="24" t="str">
        <f t="shared" ca="1" si="12"/>
        <v/>
      </c>
      <c r="O29" s="21"/>
      <c r="P29" s="21"/>
    </row>
    <row r="30" spans="1:16" x14ac:dyDescent="0.25">
      <c r="A30" s="21"/>
      <c r="B30" s="22" t="str">
        <f t="shared" ca="1" si="0"/>
        <v/>
      </c>
      <c r="C30" s="22" t="str">
        <f t="shared" ca="1" si="1"/>
        <v/>
      </c>
      <c r="D30" s="22" t="str">
        <f t="shared" ca="1" si="2"/>
        <v/>
      </c>
      <c r="E30" s="22" t="str">
        <f t="shared" ca="1" si="3"/>
        <v/>
      </c>
      <c r="F30" s="23" t="str">
        <f t="shared" ca="1" si="4"/>
        <v/>
      </c>
      <c r="G30" s="23" t="str">
        <f t="shared" ca="1" si="5"/>
        <v/>
      </c>
      <c r="H30" s="22" t="str">
        <f t="shared" ca="1" si="6"/>
        <v/>
      </c>
      <c r="I30" s="24" t="str">
        <f t="shared" ca="1" si="7"/>
        <v/>
      </c>
      <c r="J30" s="24" t="str">
        <f t="shared" ca="1" si="8"/>
        <v/>
      </c>
      <c r="K30" s="24" t="str">
        <f t="shared" ca="1" si="9"/>
        <v/>
      </c>
      <c r="L30" s="24" t="str">
        <f t="shared" ca="1" si="10"/>
        <v/>
      </c>
      <c r="M30" s="24" t="str">
        <f t="shared" ca="1" si="11"/>
        <v/>
      </c>
      <c r="N30" s="24" t="str">
        <f t="shared" ca="1" si="12"/>
        <v/>
      </c>
      <c r="O30" s="21"/>
      <c r="P30" s="21"/>
    </row>
    <row r="31" spans="1:16" x14ac:dyDescent="0.25">
      <c r="A31" s="21"/>
      <c r="B31" s="22" t="str">
        <f t="shared" ca="1" si="0"/>
        <v/>
      </c>
      <c r="C31" s="22" t="str">
        <f t="shared" ca="1" si="1"/>
        <v/>
      </c>
      <c r="D31" s="22" t="str">
        <f t="shared" ca="1" si="2"/>
        <v/>
      </c>
      <c r="E31" s="22" t="str">
        <f t="shared" ca="1" si="3"/>
        <v/>
      </c>
      <c r="F31" s="23" t="str">
        <f t="shared" ca="1" si="4"/>
        <v/>
      </c>
      <c r="G31" s="23" t="str">
        <f t="shared" ca="1" si="5"/>
        <v/>
      </c>
      <c r="H31" s="22" t="str">
        <f t="shared" ca="1" si="6"/>
        <v/>
      </c>
      <c r="I31" s="24" t="str">
        <f t="shared" ca="1" si="7"/>
        <v/>
      </c>
      <c r="J31" s="24" t="str">
        <f t="shared" ca="1" si="8"/>
        <v/>
      </c>
      <c r="K31" s="24" t="str">
        <f t="shared" ca="1" si="9"/>
        <v/>
      </c>
      <c r="L31" s="24" t="str">
        <f t="shared" ca="1" si="10"/>
        <v/>
      </c>
      <c r="M31" s="24" t="str">
        <f t="shared" ca="1" si="11"/>
        <v/>
      </c>
      <c r="N31" s="24" t="str">
        <f t="shared" ca="1" si="12"/>
        <v/>
      </c>
      <c r="O31" s="21"/>
      <c r="P31" s="21"/>
    </row>
    <row r="32" spans="1:16" x14ac:dyDescent="0.25">
      <c r="A32" s="21"/>
      <c r="B32" s="22" t="str">
        <f t="shared" ca="1" si="0"/>
        <v/>
      </c>
      <c r="C32" s="22" t="str">
        <f t="shared" ca="1" si="1"/>
        <v/>
      </c>
      <c r="D32" s="22" t="str">
        <f t="shared" ca="1" si="2"/>
        <v/>
      </c>
      <c r="E32" s="22" t="str">
        <f t="shared" ca="1" si="3"/>
        <v/>
      </c>
      <c r="F32" s="23" t="str">
        <f t="shared" ca="1" si="4"/>
        <v/>
      </c>
      <c r="G32" s="23" t="str">
        <f t="shared" ca="1" si="5"/>
        <v/>
      </c>
      <c r="H32" s="22" t="str">
        <f t="shared" ca="1" si="6"/>
        <v/>
      </c>
      <c r="I32" s="24" t="str">
        <f t="shared" ca="1" si="7"/>
        <v/>
      </c>
      <c r="J32" s="24" t="str">
        <f t="shared" ca="1" si="8"/>
        <v/>
      </c>
      <c r="K32" s="24" t="str">
        <f t="shared" ca="1" si="9"/>
        <v/>
      </c>
      <c r="L32" s="24" t="str">
        <f t="shared" ca="1" si="10"/>
        <v/>
      </c>
      <c r="M32" s="24" t="str">
        <f t="shared" ca="1" si="11"/>
        <v/>
      </c>
      <c r="N32" s="24" t="str">
        <f t="shared" ca="1" si="12"/>
        <v/>
      </c>
      <c r="O32" s="21"/>
      <c r="P32" s="21"/>
    </row>
    <row r="33" spans="1:16" x14ac:dyDescent="0.25">
      <c r="A33" s="21"/>
      <c r="B33" s="22" t="str">
        <f t="shared" ca="1" si="0"/>
        <v/>
      </c>
      <c r="C33" s="22" t="str">
        <f t="shared" ca="1" si="1"/>
        <v/>
      </c>
      <c r="D33" s="22" t="str">
        <f t="shared" ca="1" si="2"/>
        <v/>
      </c>
      <c r="E33" s="22" t="str">
        <f t="shared" ca="1" si="3"/>
        <v/>
      </c>
      <c r="F33" s="23" t="str">
        <f t="shared" ca="1" si="4"/>
        <v/>
      </c>
      <c r="G33" s="23" t="str">
        <f t="shared" ca="1" si="5"/>
        <v/>
      </c>
      <c r="H33" s="22" t="str">
        <f t="shared" ca="1" si="6"/>
        <v/>
      </c>
      <c r="I33" s="24" t="str">
        <f t="shared" ca="1" si="7"/>
        <v/>
      </c>
      <c r="J33" s="24" t="str">
        <f t="shared" ca="1" si="8"/>
        <v/>
      </c>
      <c r="K33" s="24" t="str">
        <f t="shared" ca="1" si="9"/>
        <v/>
      </c>
      <c r="L33" s="24" t="str">
        <f t="shared" ca="1" si="10"/>
        <v/>
      </c>
      <c r="M33" s="24" t="str">
        <f t="shared" ca="1" si="11"/>
        <v/>
      </c>
      <c r="N33" s="24" t="str">
        <f t="shared" ca="1" si="12"/>
        <v/>
      </c>
      <c r="O33" s="21"/>
      <c r="P33" s="21"/>
    </row>
    <row r="34" spans="1:16" x14ac:dyDescent="0.25">
      <c r="A34" s="21"/>
      <c r="B34" s="22" t="str">
        <f t="shared" ca="1" si="0"/>
        <v/>
      </c>
      <c r="C34" s="22" t="str">
        <f t="shared" ca="1" si="1"/>
        <v/>
      </c>
      <c r="D34" s="22" t="str">
        <f t="shared" ca="1" si="2"/>
        <v/>
      </c>
      <c r="E34" s="22" t="str">
        <f t="shared" ca="1" si="3"/>
        <v/>
      </c>
      <c r="F34" s="23" t="str">
        <f t="shared" ca="1" si="4"/>
        <v/>
      </c>
      <c r="G34" s="23" t="str">
        <f t="shared" ca="1" si="5"/>
        <v/>
      </c>
      <c r="H34" s="22" t="str">
        <f t="shared" ca="1" si="6"/>
        <v/>
      </c>
      <c r="I34" s="24" t="str">
        <f t="shared" ca="1" si="7"/>
        <v/>
      </c>
      <c r="J34" s="24" t="str">
        <f t="shared" ca="1" si="8"/>
        <v/>
      </c>
      <c r="K34" s="24" t="str">
        <f t="shared" ca="1" si="9"/>
        <v/>
      </c>
      <c r="L34" s="24" t="str">
        <f t="shared" ca="1" si="10"/>
        <v/>
      </c>
      <c r="M34" s="24" t="str">
        <f t="shared" ca="1" si="11"/>
        <v/>
      </c>
      <c r="N34" s="24" t="str">
        <f t="shared" ca="1" si="12"/>
        <v/>
      </c>
      <c r="O34" s="21"/>
      <c r="P34" s="21"/>
    </row>
    <row r="35" spans="1:16" x14ac:dyDescent="0.25">
      <c r="A35" s="21"/>
      <c r="B35" s="22" t="str">
        <f t="shared" ca="1" si="0"/>
        <v/>
      </c>
      <c r="C35" s="22" t="str">
        <f t="shared" ca="1" si="1"/>
        <v/>
      </c>
      <c r="D35" s="22" t="str">
        <f t="shared" ca="1" si="2"/>
        <v/>
      </c>
      <c r="E35" s="22" t="str">
        <f t="shared" ca="1" si="3"/>
        <v/>
      </c>
      <c r="F35" s="23" t="str">
        <f t="shared" ca="1" si="4"/>
        <v/>
      </c>
      <c r="G35" s="23" t="str">
        <f t="shared" ca="1" si="5"/>
        <v/>
      </c>
      <c r="H35" s="22" t="str">
        <f t="shared" ca="1" si="6"/>
        <v/>
      </c>
      <c r="I35" s="24" t="str">
        <f t="shared" ca="1" si="7"/>
        <v/>
      </c>
      <c r="J35" s="24" t="str">
        <f t="shared" ca="1" si="8"/>
        <v/>
      </c>
      <c r="K35" s="24" t="str">
        <f t="shared" ca="1" si="9"/>
        <v/>
      </c>
      <c r="L35" s="24" t="str">
        <f t="shared" ca="1" si="10"/>
        <v/>
      </c>
      <c r="M35" s="24" t="str">
        <f t="shared" ca="1" si="11"/>
        <v/>
      </c>
      <c r="N35" s="24" t="str">
        <f t="shared" ca="1" si="12"/>
        <v/>
      </c>
      <c r="O35" s="21"/>
      <c r="P35" s="21"/>
    </row>
    <row r="36" spans="1:16" x14ac:dyDescent="0.25">
      <c r="A36" s="21"/>
      <c r="B36" s="22" t="str">
        <f t="shared" ca="1" si="0"/>
        <v/>
      </c>
      <c r="C36" s="22" t="str">
        <f t="shared" ca="1" si="1"/>
        <v/>
      </c>
      <c r="D36" s="22" t="str">
        <f t="shared" ca="1" si="2"/>
        <v/>
      </c>
      <c r="E36" s="22" t="str">
        <f t="shared" ca="1" si="3"/>
        <v/>
      </c>
      <c r="F36" s="23" t="str">
        <f t="shared" ca="1" si="4"/>
        <v/>
      </c>
      <c r="G36" s="23" t="str">
        <f t="shared" ca="1" si="5"/>
        <v/>
      </c>
      <c r="H36" s="22" t="str">
        <f t="shared" ca="1" si="6"/>
        <v/>
      </c>
      <c r="I36" s="24" t="str">
        <f t="shared" ca="1" si="7"/>
        <v/>
      </c>
      <c r="J36" s="24" t="str">
        <f t="shared" ca="1" si="8"/>
        <v/>
      </c>
      <c r="K36" s="24" t="str">
        <f t="shared" ca="1" si="9"/>
        <v/>
      </c>
      <c r="L36" s="24" t="str">
        <f t="shared" ca="1" si="10"/>
        <v/>
      </c>
      <c r="M36" s="24" t="str">
        <f t="shared" ca="1" si="11"/>
        <v/>
      </c>
      <c r="N36" s="24" t="str">
        <f t="shared" ca="1" si="12"/>
        <v/>
      </c>
      <c r="O36" s="21"/>
      <c r="P36" s="21"/>
    </row>
    <row r="37" spans="1:16" x14ac:dyDescent="0.25">
      <c r="A37" s="21"/>
      <c r="B37" s="22" t="str">
        <f t="shared" ref="B37:B68" ca="1" si="13">IF($A37="","",IFERROR(INDIRECT("'"&amp;$A37&amp;"'!C4")&amp;"","Tab not found"))</f>
        <v/>
      </c>
      <c r="C37" s="22" t="str">
        <f t="shared" ref="C37:C68" ca="1" si="14">IF($A37="","",IFERROR(INDIRECT("'"&amp;$A37&amp;"'!C5")&amp;"","Tab not found"))</f>
        <v/>
      </c>
      <c r="D37" s="22" t="str">
        <f t="shared" ref="D37:D68" ca="1" si="15">IF($A37="","",IFERROR(INDIRECT("'"&amp;$A37&amp;"'!C6")&amp;"","Tab not found"))</f>
        <v/>
      </c>
      <c r="E37" s="22" t="str">
        <f t="shared" ref="E37:E68" ca="1" si="16">IF($A37="","",IFERROR(INDIRECT("'"&amp;$A37&amp;"'!C7")&amp;"","Tab not found"))</f>
        <v/>
      </c>
      <c r="F37" s="23" t="str">
        <f t="shared" ref="F37:F68" ca="1" si="17">IF($A37="","",IFERROR(IF(INDIRECT("'"&amp;$A37&amp;"'!C8")="","",INDIRECT("'"&amp;$A37&amp;"'!C8")),"Tab not found"))</f>
        <v/>
      </c>
      <c r="G37" s="23" t="str">
        <f t="shared" ref="G37:G68" ca="1" si="18">IF($A37="","",IFERROR(IF(INDIRECT("'"&amp;$A37&amp;"'!C9")="","",INDIRECT("'"&amp;$A37&amp;"'!C9")),"Tab not found"))</f>
        <v/>
      </c>
      <c r="H37" s="22" t="str">
        <f t="shared" ref="H37:H68" ca="1" si="19">IF($A37="","",IFERROR(INDIRECT("'"&amp;$A37&amp;"'!C10")&amp;"","Tab not found"))</f>
        <v/>
      </c>
      <c r="I37" s="24" t="str">
        <f t="shared" ref="I37:I68" ca="1" si="20">IF($A37="","",IFERROR(IF(INDIRECT("'"&amp;$A37&amp;"'!I3")="","",INDIRECT("'"&amp;$A37&amp;"'!I3")+0),"Tab not found"))</f>
        <v/>
      </c>
      <c r="J37" s="24" t="str">
        <f t="shared" ref="J37:J68" ca="1" si="21">IF($A37="","",IFERROR(IF(INDIRECT("'"&amp;$A37&amp;"'!I4")="","",INDIRECT("'"&amp;$A37&amp;"'!I4")+0),"Tab not found"))</f>
        <v/>
      </c>
      <c r="K37" s="24" t="str">
        <f t="shared" ref="K37:K68" ca="1" si="22">IF($A37="","",IFERROR(IF(INDIRECT("'"&amp;$A37&amp;"'!I5")="","",INDIRECT("'"&amp;$A37&amp;"'!I5")+0),"Tab not found"))</f>
        <v/>
      </c>
      <c r="L37" s="24" t="str">
        <f t="shared" ref="L37:L68" ca="1" si="23">IF($A37="","",IFERROR(IF(INDIRECT("'"&amp;$A37&amp;"'!I7")="","",INDIRECT("'"&amp;$A37&amp;"'!I7")+0),"Tab not found"))</f>
        <v/>
      </c>
      <c r="M37" s="24" t="str">
        <f t="shared" ref="M37:M68" ca="1" si="24">IF($A37="","",IFERROR(IF(INDIRECT("'"&amp;$A37&amp;"'!I9")="","",INDIRECT("'"&amp;$A37&amp;"'!I9")+0),"Tab not found"))</f>
        <v/>
      </c>
      <c r="N37" s="24" t="str">
        <f t="shared" ref="N37:N68" ca="1" si="25">IF($A37="","",IFERROR(IF(INDIRECT("'"&amp;$A37&amp;"'!I10")="","",INDIRECT("'"&amp;$A37&amp;"'!I10")+0),"Tab not found"))</f>
        <v/>
      </c>
      <c r="O37" s="21"/>
      <c r="P37" s="21"/>
    </row>
    <row r="38" spans="1:16" x14ac:dyDescent="0.25">
      <c r="A38" s="21"/>
      <c r="B38" s="22" t="str">
        <f t="shared" ca="1" si="13"/>
        <v/>
      </c>
      <c r="C38" s="22" t="str">
        <f t="shared" ca="1" si="14"/>
        <v/>
      </c>
      <c r="D38" s="22" t="str">
        <f t="shared" ca="1" si="15"/>
        <v/>
      </c>
      <c r="E38" s="22" t="str">
        <f t="shared" ca="1" si="16"/>
        <v/>
      </c>
      <c r="F38" s="23" t="str">
        <f t="shared" ca="1" si="17"/>
        <v/>
      </c>
      <c r="G38" s="23" t="str">
        <f t="shared" ca="1" si="18"/>
        <v/>
      </c>
      <c r="H38" s="22" t="str">
        <f t="shared" ca="1" si="19"/>
        <v/>
      </c>
      <c r="I38" s="24" t="str">
        <f t="shared" ca="1" si="20"/>
        <v/>
      </c>
      <c r="J38" s="24" t="str">
        <f t="shared" ca="1" si="21"/>
        <v/>
      </c>
      <c r="K38" s="24" t="str">
        <f t="shared" ca="1" si="22"/>
        <v/>
      </c>
      <c r="L38" s="24" t="str">
        <f t="shared" ca="1" si="23"/>
        <v/>
      </c>
      <c r="M38" s="24" t="str">
        <f t="shared" ca="1" si="24"/>
        <v/>
      </c>
      <c r="N38" s="24" t="str">
        <f t="shared" ca="1" si="25"/>
        <v/>
      </c>
      <c r="O38" s="21"/>
      <c r="P38" s="21"/>
    </row>
    <row r="39" spans="1:16" x14ac:dyDescent="0.25">
      <c r="A39" s="21"/>
      <c r="B39" s="22" t="str">
        <f t="shared" ca="1" si="13"/>
        <v/>
      </c>
      <c r="C39" s="22" t="str">
        <f t="shared" ca="1" si="14"/>
        <v/>
      </c>
      <c r="D39" s="22" t="str">
        <f t="shared" ca="1" si="15"/>
        <v/>
      </c>
      <c r="E39" s="22" t="str">
        <f t="shared" ca="1" si="16"/>
        <v/>
      </c>
      <c r="F39" s="23" t="str">
        <f t="shared" ca="1" si="17"/>
        <v/>
      </c>
      <c r="G39" s="23" t="str">
        <f t="shared" ca="1" si="18"/>
        <v/>
      </c>
      <c r="H39" s="22" t="str">
        <f t="shared" ca="1" si="19"/>
        <v/>
      </c>
      <c r="I39" s="24" t="str">
        <f t="shared" ca="1" si="20"/>
        <v/>
      </c>
      <c r="J39" s="24" t="str">
        <f t="shared" ca="1" si="21"/>
        <v/>
      </c>
      <c r="K39" s="24" t="str">
        <f t="shared" ca="1" si="22"/>
        <v/>
      </c>
      <c r="L39" s="24" t="str">
        <f t="shared" ca="1" si="23"/>
        <v/>
      </c>
      <c r="M39" s="24" t="str">
        <f t="shared" ca="1" si="24"/>
        <v/>
      </c>
      <c r="N39" s="24" t="str">
        <f t="shared" ca="1" si="25"/>
        <v/>
      </c>
      <c r="O39" s="21"/>
      <c r="P39" s="21"/>
    </row>
    <row r="40" spans="1:16" x14ac:dyDescent="0.25">
      <c r="A40" s="21"/>
      <c r="B40" s="22" t="str">
        <f t="shared" ca="1" si="13"/>
        <v/>
      </c>
      <c r="C40" s="22" t="str">
        <f t="shared" ca="1" si="14"/>
        <v/>
      </c>
      <c r="D40" s="22" t="str">
        <f t="shared" ca="1" si="15"/>
        <v/>
      </c>
      <c r="E40" s="22" t="str">
        <f t="shared" ca="1" si="16"/>
        <v/>
      </c>
      <c r="F40" s="23" t="str">
        <f t="shared" ca="1" si="17"/>
        <v/>
      </c>
      <c r="G40" s="23" t="str">
        <f t="shared" ca="1" si="18"/>
        <v/>
      </c>
      <c r="H40" s="22" t="str">
        <f t="shared" ca="1" si="19"/>
        <v/>
      </c>
      <c r="I40" s="24" t="str">
        <f t="shared" ca="1" si="20"/>
        <v/>
      </c>
      <c r="J40" s="24" t="str">
        <f t="shared" ca="1" si="21"/>
        <v/>
      </c>
      <c r="K40" s="24" t="str">
        <f t="shared" ca="1" si="22"/>
        <v/>
      </c>
      <c r="L40" s="24" t="str">
        <f t="shared" ca="1" si="23"/>
        <v/>
      </c>
      <c r="M40" s="24" t="str">
        <f t="shared" ca="1" si="24"/>
        <v/>
      </c>
      <c r="N40" s="24" t="str">
        <f t="shared" ca="1" si="25"/>
        <v/>
      </c>
      <c r="O40" s="21"/>
      <c r="P40" s="21"/>
    </row>
    <row r="41" spans="1:16" x14ac:dyDescent="0.25">
      <c r="A41" s="21"/>
      <c r="B41" s="22" t="str">
        <f t="shared" ca="1" si="13"/>
        <v/>
      </c>
      <c r="C41" s="22" t="str">
        <f t="shared" ca="1" si="14"/>
        <v/>
      </c>
      <c r="D41" s="22" t="str">
        <f t="shared" ca="1" si="15"/>
        <v/>
      </c>
      <c r="E41" s="22" t="str">
        <f t="shared" ca="1" si="16"/>
        <v/>
      </c>
      <c r="F41" s="23" t="str">
        <f t="shared" ca="1" si="17"/>
        <v/>
      </c>
      <c r="G41" s="23" t="str">
        <f t="shared" ca="1" si="18"/>
        <v/>
      </c>
      <c r="H41" s="22" t="str">
        <f t="shared" ca="1" si="19"/>
        <v/>
      </c>
      <c r="I41" s="24" t="str">
        <f t="shared" ca="1" si="20"/>
        <v/>
      </c>
      <c r="J41" s="24" t="str">
        <f t="shared" ca="1" si="21"/>
        <v/>
      </c>
      <c r="K41" s="24" t="str">
        <f t="shared" ca="1" si="22"/>
        <v/>
      </c>
      <c r="L41" s="24" t="str">
        <f t="shared" ca="1" si="23"/>
        <v/>
      </c>
      <c r="M41" s="24" t="str">
        <f t="shared" ca="1" si="24"/>
        <v/>
      </c>
      <c r="N41" s="24" t="str">
        <f t="shared" ca="1" si="25"/>
        <v/>
      </c>
      <c r="O41" s="21"/>
      <c r="P41" s="21"/>
    </row>
    <row r="42" spans="1:16" x14ac:dyDescent="0.25">
      <c r="A42" s="21"/>
      <c r="B42" s="22" t="str">
        <f t="shared" ca="1" si="13"/>
        <v/>
      </c>
      <c r="C42" s="22" t="str">
        <f t="shared" ca="1" si="14"/>
        <v/>
      </c>
      <c r="D42" s="22" t="str">
        <f t="shared" ca="1" si="15"/>
        <v/>
      </c>
      <c r="E42" s="22" t="str">
        <f t="shared" ca="1" si="16"/>
        <v/>
      </c>
      <c r="F42" s="23" t="str">
        <f t="shared" ca="1" si="17"/>
        <v/>
      </c>
      <c r="G42" s="23" t="str">
        <f t="shared" ca="1" si="18"/>
        <v/>
      </c>
      <c r="H42" s="22" t="str">
        <f t="shared" ca="1" si="19"/>
        <v/>
      </c>
      <c r="I42" s="24" t="str">
        <f t="shared" ca="1" si="20"/>
        <v/>
      </c>
      <c r="J42" s="24" t="str">
        <f t="shared" ca="1" si="21"/>
        <v/>
      </c>
      <c r="K42" s="24" t="str">
        <f t="shared" ca="1" si="22"/>
        <v/>
      </c>
      <c r="L42" s="24" t="str">
        <f t="shared" ca="1" si="23"/>
        <v/>
      </c>
      <c r="M42" s="24" t="str">
        <f t="shared" ca="1" si="24"/>
        <v/>
      </c>
      <c r="N42" s="24" t="str">
        <f t="shared" ca="1" si="25"/>
        <v/>
      </c>
      <c r="O42" s="21"/>
      <c r="P42" s="21"/>
    </row>
    <row r="43" spans="1:16" x14ac:dyDescent="0.25">
      <c r="A43" s="21"/>
      <c r="B43" s="22" t="str">
        <f t="shared" ca="1" si="13"/>
        <v/>
      </c>
      <c r="C43" s="22" t="str">
        <f t="shared" ca="1" si="14"/>
        <v/>
      </c>
      <c r="D43" s="22" t="str">
        <f t="shared" ca="1" si="15"/>
        <v/>
      </c>
      <c r="E43" s="22" t="str">
        <f t="shared" ca="1" si="16"/>
        <v/>
      </c>
      <c r="F43" s="23" t="str">
        <f t="shared" ca="1" si="17"/>
        <v/>
      </c>
      <c r="G43" s="23" t="str">
        <f t="shared" ca="1" si="18"/>
        <v/>
      </c>
      <c r="H43" s="22" t="str">
        <f t="shared" ca="1" si="19"/>
        <v/>
      </c>
      <c r="I43" s="24" t="str">
        <f t="shared" ca="1" si="20"/>
        <v/>
      </c>
      <c r="J43" s="24" t="str">
        <f t="shared" ca="1" si="21"/>
        <v/>
      </c>
      <c r="K43" s="24" t="str">
        <f t="shared" ca="1" si="22"/>
        <v/>
      </c>
      <c r="L43" s="24" t="str">
        <f t="shared" ca="1" si="23"/>
        <v/>
      </c>
      <c r="M43" s="24" t="str">
        <f t="shared" ca="1" si="24"/>
        <v/>
      </c>
      <c r="N43" s="24" t="str">
        <f t="shared" ca="1" si="25"/>
        <v/>
      </c>
      <c r="O43" s="21"/>
      <c r="P43" s="21"/>
    </row>
    <row r="44" spans="1:16" x14ac:dyDescent="0.25">
      <c r="A44" s="21"/>
      <c r="B44" s="22" t="str">
        <f t="shared" ca="1" si="13"/>
        <v/>
      </c>
      <c r="C44" s="22" t="str">
        <f t="shared" ca="1" si="14"/>
        <v/>
      </c>
      <c r="D44" s="22" t="str">
        <f t="shared" ca="1" si="15"/>
        <v/>
      </c>
      <c r="E44" s="22" t="str">
        <f t="shared" ca="1" si="16"/>
        <v/>
      </c>
      <c r="F44" s="23" t="str">
        <f t="shared" ca="1" si="17"/>
        <v/>
      </c>
      <c r="G44" s="23" t="str">
        <f t="shared" ca="1" si="18"/>
        <v/>
      </c>
      <c r="H44" s="22" t="str">
        <f t="shared" ca="1" si="19"/>
        <v/>
      </c>
      <c r="I44" s="24" t="str">
        <f t="shared" ca="1" si="20"/>
        <v/>
      </c>
      <c r="J44" s="24" t="str">
        <f t="shared" ca="1" si="21"/>
        <v/>
      </c>
      <c r="K44" s="24" t="str">
        <f t="shared" ca="1" si="22"/>
        <v/>
      </c>
      <c r="L44" s="24" t="str">
        <f t="shared" ca="1" si="23"/>
        <v/>
      </c>
      <c r="M44" s="24" t="str">
        <f t="shared" ca="1" si="24"/>
        <v/>
      </c>
      <c r="N44" s="24" t="str">
        <f t="shared" ca="1" si="25"/>
        <v/>
      </c>
      <c r="O44" s="21"/>
      <c r="P44" s="21"/>
    </row>
    <row r="45" spans="1:16" x14ac:dyDescent="0.25">
      <c r="A45" s="21"/>
      <c r="B45" s="22" t="str">
        <f t="shared" ca="1" si="13"/>
        <v/>
      </c>
      <c r="C45" s="22" t="str">
        <f t="shared" ca="1" si="14"/>
        <v/>
      </c>
      <c r="D45" s="22" t="str">
        <f t="shared" ca="1" si="15"/>
        <v/>
      </c>
      <c r="E45" s="22" t="str">
        <f t="shared" ca="1" si="16"/>
        <v/>
      </c>
      <c r="F45" s="23" t="str">
        <f t="shared" ca="1" si="17"/>
        <v/>
      </c>
      <c r="G45" s="23" t="str">
        <f t="shared" ca="1" si="18"/>
        <v/>
      </c>
      <c r="H45" s="22" t="str">
        <f t="shared" ca="1" si="19"/>
        <v/>
      </c>
      <c r="I45" s="24" t="str">
        <f t="shared" ca="1" si="20"/>
        <v/>
      </c>
      <c r="J45" s="24" t="str">
        <f t="shared" ca="1" si="21"/>
        <v/>
      </c>
      <c r="K45" s="24" t="str">
        <f t="shared" ca="1" si="22"/>
        <v/>
      </c>
      <c r="L45" s="24" t="str">
        <f t="shared" ca="1" si="23"/>
        <v/>
      </c>
      <c r="M45" s="24" t="str">
        <f t="shared" ca="1" si="24"/>
        <v/>
      </c>
      <c r="N45" s="24" t="str">
        <f t="shared" ca="1" si="25"/>
        <v/>
      </c>
      <c r="O45" s="21"/>
      <c r="P45" s="21"/>
    </row>
    <row r="46" spans="1:16" x14ac:dyDescent="0.25">
      <c r="A46" s="21"/>
      <c r="B46" s="22" t="str">
        <f t="shared" ca="1" si="13"/>
        <v/>
      </c>
      <c r="C46" s="22" t="str">
        <f t="shared" ca="1" si="14"/>
        <v/>
      </c>
      <c r="D46" s="22" t="str">
        <f t="shared" ca="1" si="15"/>
        <v/>
      </c>
      <c r="E46" s="22" t="str">
        <f t="shared" ca="1" si="16"/>
        <v/>
      </c>
      <c r="F46" s="23" t="str">
        <f t="shared" ca="1" si="17"/>
        <v/>
      </c>
      <c r="G46" s="23" t="str">
        <f t="shared" ca="1" si="18"/>
        <v/>
      </c>
      <c r="H46" s="22" t="str">
        <f t="shared" ca="1" si="19"/>
        <v/>
      </c>
      <c r="I46" s="24" t="str">
        <f t="shared" ca="1" si="20"/>
        <v/>
      </c>
      <c r="J46" s="24" t="str">
        <f t="shared" ca="1" si="21"/>
        <v/>
      </c>
      <c r="K46" s="24" t="str">
        <f t="shared" ca="1" si="22"/>
        <v/>
      </c>
      <c r="L46" s="24" t="str">
        <f t="shared" ca="1" si="23"/>
        <v/>
      </c>
      <c r="M46" s="24" t="str">
        <f t="shared" ca="1" si="24"/>
        <v/>
      </c>
      <c r="N46" s="24" t="str">
        <f t="shared" ca="1" si="25"/>
        <v/>
      </c>
      <c r="O46" s="21"/>
      <c r="P46" s="21"/>
    </row>
    <row r="47" spans="1:16" x14ac:dyDescent="0.25">
      <c r="A47" s="21"/>
      <c r="B47" s="22" t="str">
        <f t="shared" ca="1" si="13"/>
        <v/>
      </c>
      <c r="C47" s="22" t="str">
        <f t="shared" ca="1" si="14"/>
        <v/>
      </c>
      <c r="D47" s="22" t="str">
        <f t="shared" ca="1" si="15"/>
        <v/>
      </c>
      <c r="E47" s="22" t="str">
        <f t="shared" ca="1" si="16"/>
        <v/>
      </c>
      <c r="F47" s="23" t="str">
        <f t="shared" ca="1" si="17"/>
        <v/>
      </c>
      <c r="G47" s="23" t="str">
        <f t="shared" ca="1" si="18"/>
        <v/>
      </c>
      <c r="H47" s="22" t="str">
        <f t="shared" ca="1" si="19"/>
        <v/>
      </c>
      <c r="I47" s="24" t="str">
        <f t="shared" ca="1" si="20"/>
        <v/>
      </c>
      <c r="J47" s="24" t="str">
        <f t="shared" ca="1" si="21"/>
        <v/>
      </c>
      <c r="K47" s="24" t="str">
        <f t="shared" ca="1" si="22"/>
        <v/>
      </c>
      <c r="L47" s="24" t="str">
        <f t="shared" ca="1" si="23"/>
        <v/>
      </c>
      <c r="M47" s="24" t="str">
        <f t="shared" ca="1" si="24"/>
        <v/>
      </c>
      <c r="N47" s="24" t="str">
        <f t="shared" ca="1" si="25"/>
        <v/>
      </c>
      <c r="O47" s="21"/>
      <c r="P47" s="21"/>
    </row>
    <row r="48" spans="1:16" x14ac:dyDescent="0.25">
      <c r="A48" s="21"/>
      <c r="B48" s="22" t="str">
        <f t="shared" ca="1" si="13"/>
        <v/>
      </c>
      <c r="C48" s="22" t="str">
        <f t="shared" ca="1" si="14"/>
        <v/>
      </c>
      <c r="D48" s="22" t="str">
        <f t="shared" ca="1" si="15"/>
        <v/>
      </c>
      <c r="E48" s="22" t="str">
        <f t="shared" ca="1" si="16"/>
        <v/>
      </c>
      <c r="F48" s="23" t="str">
        <f t="shared" ca="1" si="17"/>
        <v/>
      </c>
      <c r="G48" s="23" t="str">
        <f t="shared" ca="1" si="18"/>
        <v/>
      </c>
      <c r="H48" s="22" t="str">
        <f t="shared" ca="1" si="19"/>
        <v/>
      </c>
      <c r="I48" s="24" t="str">
        <f t="shared" ca="1" si="20"/>
        <v/>
      </c>
      <c r="J48" s="24" t="str">
        <f t="shared" ca="1" si="21"/>
        <v/>
      </c>
      <c r="K48" s="24" t="str">
        <f t="shared" ca="1" si="22"/>
        <v/>
      </c>
      <c r="L48" s="24" t="str">
        <f t="shared" ca="1" si="23"/>
        <v/>
      </c>
      <c r="M48" s="24" t="str">
        <f t="shared" ca="1" si="24"/>
        <v/>
      </c>
      <c r="N48" s="24" t="str">
        <f t="shared" ca="1" si="25"/>
        <v/>
      </c>
      <c r="O48" s="21"/>
      <c r="P48" s="21"/>
    </row>
    <row r="49" spans="1:16" x14ac:dyDescent="0.25">
      <c r="A49" s="21"/>
      <c r="B49" s="22" t="str">
        <f t="shared" ca="1" si="13"/>
        <v/>
      </c>
      <c r="C49" s="22" t="str">
        <f t="shared" ca="1" si="14"/>
        <v/>
      </c>
      <c r="D49" s="22" t="str">
        <f t="shared" ca="1" si="15"/>
        <v/>
      </c>
      <c r="E49" s="22" t="str">
        <f t="shared" ca="1" si="16"/>
        <v/>
      </c>
      <c r="F49" s="23" t="str">
        <f t="shared" ca="1" si="17"/>
        <v/>
      </c>
      <c r="G49" s="23" t="str">
        <f t="shared" ca="1" si="18"/>
        <v/>
      </c>
      <c r="H49" s="22" t="str">
        <f t="shared" ca="1" si="19"/>
        <v/>
      </c>
      <c r="I49" s="24" t="str">
        <f t="shared" ca="1" si="20"/>
        <v/>
      </c>
      <c r="J49" s="24" t="str">
        <f t="shared" ca="1" si="21"/>
        <v/>
      </c>
      <c r="K49" s="24" t="str">
        <f t="shared" ca="1" si="22"/>
        <v/>
      </c>
      <c r="L49" s="24" t="str">
        <f t="shared" ca="1" si="23"/>
        <v/>
      </c>
      <c r="M49" s="24" t="str">
        <f t="shared" ca="1" si="24"/>
        <v/>
      </c>
      <c r="N49" s="24" t="str">
        <f t="shared" ca="1" si="25"/>
        <v/>
      </c>
      <c r="O49" s="21"/>
      <c r="P49" s="21"/>
    </row>
    <row r="50" spans="1:16" x14ac:dyDescent="0.25">
      <c r="A50" s="21"/>
      <c r="B50" s="22" t="str">
        <f t="shared" ca="1" si="13"/>
        <v/>
      </c>
      <c r="C50" s="22" t="str">
        <f t="shared" ca="1" si="14"/>
        <v/>
      </c>
      <c r="D50" s="22" t="str">
        <f t="shared" ca="1" si="15"/>
        <v/>
      </c>
      <c r="E50" s="22" t="str">
        <f t="shared" ca="1" si="16"/>
        <v/>
      </c>
      <c r="F50" s="23" t="str">
        <f t="shared" ca="1" si="17"/>
        <v/>
      </c>
      <c r="G50" s="23" t="str">
        <f t="shared" ca="1" si="18"/>
        <v/>
      </c>
      <c r="H50" s="22" t="str">
        <f t="shared" ca="1" si="19"/>
        <v/>
      </c>
      <c r="I50" s="24" t="str">
        <f t="shared" ca="1" si="20"/>
        <v/>
      </c>
      <c r="J50" s="24" t="str">
        <f t="shared" ca="1" si="21"/>
        <v/>
      </c>
      <c r="K50" s="24" t="str">
        <f t="shared" ca="1" si="22"/>
        <v/>
      </c>
      <c r="L50" s="24" t="str">
        <f t="shared" ca="1" si="23"/>
        <v/>
      </c>
      <c r="M50" s="24" t="str">
        <f t="shared" ca="1" si="24"/>
        <v/>
      </c>
      <c r="N50" s="24" t="str">
        <f t="shared" ca="1" si="25"/>
        <v/>
      </c>
      <c r="O50" s="21"/>
      <c r="P50" s="21"/>
    </row>
    <row r="51" spans="1:16" x14ac:dyDescent="0.25">
      <c r="A51" s="21"/>
      <c r="B51" s="22" t="str">
        <f t="shared" ca="1" si="13"/>
        <v/>
      </c>
      <c r="C51" s="22" t="str">
        <f t="shared" ca="1" si="14"/>
        <v/>
      </c>
      <c r="D51" s="22" t="str">
        <f t="shared" ca="1" si="15"/>
        <v/>
      </c>
      <c r="E51" s="22" t="str">
        <f t="shared" ca="1" si="16"/>
        <v/>
      </c>
      <c r="F51" s="23" t="str">
        <f t="shared" ca="1" si="17"/>
        <v/>
      </c>
      <c r="G51" s="23" t="str">
        <f t="shared" ca="1" si="18"/>
        <v/>
      </c>
      <c r="H51" s="22" t="str">
        <f t="shared" ca="1" si="19"/>
        <v/>
      </c>
      <c r="I51" s="24" t="str">
        <f t="shared" ca="1" si="20"/>
        <v/>
      </c>
      <c r="J51" s="24" t="str">
        <f t="shared" ca="1" si="21"/>
        <v/>
      </c>
      <c r="K51" s="24" t="str">
        <f t="shared" ca="1" si="22"/>
        <v/>
      </c>
      <c r="L51" s="24" t="str">
        <f t="shared" ca="1" si="23"/>
        <v/>
      </c>
      <c r="M51" s="24" t="str">
        <f t="shared" ca="1" si="24"/>
        <v/>
      </c>
      <c r="N51" s="24" t="str">
        <f t="shared" ca="1" si="25"/>
        <v/>
      </c>
      <c r="O51" s="21"/>
      <c r="P51" s="21"/>
    </row>
    <row r="52" spans="1:16" x14ac:dyDescent="0.25">
      <c r="A52" s="21"/>
      <c r="B52" s="22" t="str">
        <f t="shared" ca="1" si="13"/>
        <v/>
      </c>
      <c r="C52" s="22" t="str">
        <f t="shared" ca="1" si="14"/>
        <v/>
      </c>
      <c r="D52" s="22" t="str">
        <f t="shared" ca="1" si="15"/>
        <v/>
      </c>
      <c r="E52" s="22" t="str">
        <f t="shared" ca="1" si="16"/>
        <v/>
      </c>
      <c r="F52" s="23" t="str">
        <f t="shared" ca="1" si="17"/>
        <v/>
      </c>
      <c r="G52" s="23" t="str">
        <f t="shared" ca="1" si="18"/>
        <v/>
      </c>
      <c r="H52" s="22" t="str">
        <f t="shared" ca="1" si="19"/>
        <v/>
      </c>
      <c r="I52" s="24" t="str">
        <f t="shared" ca="1" si="20"/>
        <v/>
      </c>
      <c r="J52" s="24" t="str">
        <f t="shared" ca="1" si="21"/>
        <v/>
      </c>
      <c r="K52" s="24" t="str">
        <f t="shared" ca="1" si="22"/>
        <v/>
      </c>
      <c r="L52" s="24" t="str">
        <f t="shared" ca="1" si="23"/>
        <v/>
      </c>
      <c r="M52" s="24" t="str">
        <f t="shared" ca="1" si="24"/>
        <v/>
      </c>
      <c r="N52" s="24" t="str">
        <f t="shared" ca="1" si="25"/>
        <v/>
      </c>
      <c r="O52" s="21"/>
      <c r="P52" s="21"/>
    </row>
    <row r="53" spans="1:16" x14ac:dyDescent="0.25">
      <c r="A53" s="21"/>
      <c r="B53" s="22" t="str">
        <f t="shared" ca="1" si="13"/>
        <v/>
      </c>
      <c r="C53" s="22" t="str">
        <f t="shared" ca="1" si="14"/>
        <v/>
      </c>
      <c r="D53" s="22" t="str">
        <f t="shared" ca="1" si="15"/>
        <v/>
      </c>
      <c r="E53" s="22" t="str">
        <f t="shared" ca="1" si="16"/>
        <v/>
      </c>
      <c r="F53" s="23" t="str">
        <f t="shared" ca="1" si="17"/>
        <v/>
      </c>
      <c r="G53" s="23" t="str">
        <f t="shared" ca="1" si="18"/>
        <v/>
      </c>
      <c r="H53" s="22" t="str">
        <f t="shared" ca="1" si="19"/>
        <v/>
      </c>
      <c r="I53" s="24" t="str">
        <f t="shared" ca="1" si="20"/>
        <v/>
      </c>
      <c r="J53" s="24" t="str">
        <f t="shared" ca="1" si="21"/>
        <v/>
      </c>
      <c r="K53" s="24" t="str">
        <f t="shared" ca="1" si="22"/>
        <v/>
      </c>
      <c r="L53" s="24" t="str">
        <f t="shared" ca="1" si="23"/>
        <v/>
      </c>
      <c r="M53" s="24" t="str">
        <f t="shared" ca="1" si="24"/>
        <v/>
      </c>
      <c r="N53" s="24" t="str">
        <f t="shared" ca="1" si="25"/>
        <v/>
      </c>
      <c r="O53" s="21"/>
      <c r="P53" s="21"/>
    </row>
    <row r="54" spans="1:16" x14ac:dyDescent="0.25">
      <c r="A54" s="21"/>
      <c r="B54" s="22" t="str">
        <f t="shared" ca="1" si="13"/>
        <v/>
      </c>
      <c r="C54" s="22" t="str">
        <f t="shared" ca="1" si="14"/>
        <v/>
      </c>
      <c r="D54" s="22" t="str">
        <f t="shared" ca="1" si="15"/>
        <v/>
      </c>
      <c r="E54" s="22" t="str">
        <f t="shared" ca="1" si="16"/>
        <v/>
      </c>
      <c r="F54" s="23" t="str">
        <f t="shared" ca="1" si="17"/>
        <v/>
      </c>
      <c r="G54" s="23" t="str">
        <f t="shared" ca="1" si="18"/>
        <v/>
      </c>
      <c r="H54" s="22" t="str">
        <f t="shared" ca="1" si="19"/>
        <v/>
      </c>
      <c r="I54" s="24" t="str">
        <f t="shared" ca="1" si="20"/>
        <v/>
      </c>
      <c r="J54" s="24" t="str">
        <f t="shared" ca="1" si="21"/>
        <v/>
      </c>
      <c r="K54" s="24" t="str">
        <f t="shared" ca="1" si="22"/>
        <v/>
      </c>
      <c r="L54" s="24" t="str">
        <f t="shared" ca="1" si="23"/>
        <v/>
      </c>
      <c r="M54" s="24" t="str">
        <f t="shared" ca="1" si="24"/>
        <v/>
      </c>
      <c r="N54" s="24" t="str">
        <f t="shared" ca="1" si="25"/>
        <v/>
      </c>
      <c r="O54" s="21"/>
      <c r="P54" s="21"/>
    </row>
    <row r="55" spans="1:16" x14ac:dyDescent="0.25">
      <c r="A55" s="21"/>
      <c r="B55" s="22" t="str">
        <f t="shared" ca="1" si="13"/>
        <v/>
      </c>
      <c r="C55" s="22" t="str">
        <f t="shared" ca="1" si="14"/>
        <v/>
      </c>
      <c r="D55" s="22" t="str">
        <f t="shared" ca="1" si="15"/>
        <v/>
      </c>
      <c r="E55" s="22" t="str">
        <f t="shared" ca="1" si="16"/>
        <v/>
      </c>
      <c r="F55" s="23" t="str">
        <f t="shared" ca="1" si="17"/>
        <v/>
      </c>
      <c r="G55" s="23" t="str">
        <f t="shared" ca="1" si="18"/>
        <v/>
      </c>
      <c r="H55" s="22" t="str">
        <f t="shared" ca="1" si="19"/>
        <v/>
      </c>
      <c r="I55" s="24" t="str">
        <f t="shared" ca="1" si="20"/>
        <v/>
      </c>
      <c r="J55" s="24" t="str">
        <f t="shared" ca="1" si="21"/>
        <v/>
      </c>
      <c r="K55" s="24" t="str">
        <f t="shared" ca="1" si="22"/>
        <v/>
      </c>
      <c r="L55" s="24" t="str">
        <f t="shared" ca="1" si="23"/>
        <v/>
      </c>
      <c r="M55" s="24" t="str">
        <f t="shared" ca="1" si="24"/>
        <v/>
      </c>
      <c r="N55" s="24" t="str">
        <f t="shared" ca="1" si="25"/>
        <v/>
      </c>
      <c r="O55" s="21"/>
      <c r="P55" s="21"/>
    </row>
    <row r="56" spans="1:16" x14ac:dyDescent="0.25">
      <c r="A56" s="21"/>
      <c r="B56" s="22" t="str">
        <f t="shared" ca="1" si="13"/>
        <v/>
      </c>
      <c r="C56" s="22" t="str">
        <f t="shared" ca="1" si="14"/>
        <v/>
      </c>
      <c r="D56" s="22" t="str">
        <f t="shared" ca="1" si="15"/>
        <v/>
      </c>
      <c r="E56" s="22" t="str">
        <f t="shared" ca="1" si="16"/>
        <v/>
      </c>
      <c r="F56" s="23" t="str">
        <f t="shared" ca="1" si="17"/>
        <v/>
      </c>
      <c r="G56" s="23" t="str">
        <f t="shared" ca="1" si="18"/>
        <v/>
      </c>
      <c r="H56" s="22" t="str">
        <f t="shared" ca="1" si="19"/>
        <v/>
      </c>
      <c r="I56" s="24" t="str">
        <f t="shared" ca="1" si="20"/>
        <v/>
      </c>
      <c r="J56" s="24" t="str">
        <f t="shared" ca="1" si="21"/>
        <v/>
      </c>
      <c r="K56" s="24" t="str">
        <f t="shared" ca="1" si="22"/>
        <v/>
      </c>
      <c r="L56" s="24" t="str">
        <f t="shared" ca="1" si="23"/>
        <v/>
      </c>
      <c r="M56" s="24" t="str">
        <f t="shared" ca="1" si="24"/>
        <v/>
      </c>
      <c r="N56" s="24" t="str">
        <f t="shared" ca="1" si="25"/>
        <v/>
      </c>
      <c r="O56" s="21"/>
      <c r="P56" s="21"/>
    </row>
    <row r="57" spans="1:16" x14ac:dyDescent="0.25">
      <c r="A57" s="21"/>
      <c r="B57" s="22" t="str">
        <f t="shared" ca="1" si="13"/>
        <v/>
      </c>
      <c r="C57" s="22" t="str">
        <f t="shared" ca="1" si="14"/>
        <v/>
      </c>
      <c r="D57" s="22" t="str">
        <f t="shared" ca="1" si="15"/>
        <v/>
      </c>
      <c r="E57" s="22" t="str">
        <f t="shared" ca="1" si="16"/>
        <v/>
      </c>
      <c r="F57" s="23" t="str">
        <f t="shared" ca="1" si="17"/>
        <v/>
      </c>
      <c r="G57" s="23" t="str">
        <f t="shared" ca="1" si="18"/>
        <v/>
      </c>
      <c r="H57" s="22" t="str">
        <f t="shared" ca="1" si="19"/>
        <v/>
      </c>
      <c r="I57" s="24" t="str">
        <f t="shared" ca="1" si="20"/>
        <v/>
      </c>
      <c r="J57" s="24" t="str">
        <f t="shared" ca="1" si="21"/>
        <v/>
      </c>
      <c r="K57" s="24" t="str">
        <f t="shared" ca="1" si="22"/>
        <v/>
      </c>
      <c r="L57" s="24" t="str">
        <f t="shared" ca="1" si="23"/>
        <v/>
      </c>
      <c r="M57" s="24" t="str">
        <f t="shared" ca="1" si="24"/>
        <v/>
      </c>
      <c r="N57" s="24" t="str">
        <f t="shared" ca="1" si="25"/>
        <v/>
      </c>
      <c r="O57" s="21"/>
      <c r="P57" s="21"/>
    </row>
    <row r="58" spans="1:16" x14ac:dyDescent="0.25">
      <c r="A58" s="21"/>
      <c r="B58" s="22" t="str">
        <f t="shared" ca="1" si="13"/>
        <v/>
      </c>
      <c r="C58" s="22" t="str">
        <f t="shared" ca="1" si="14"/>
        <v/>
      </c>
      <c r="D58" s="22" t="str">
        <f t="shared" ca="1" si="15"/>
        <v/>
      </c>
      <c r="E58" s="22" t="str">
        <f t="shared" ca="1" si="16"/>
        <v/>
      </c>
      <c r="F58" s="23" t="str">
        <f t="shared" ca="1" si="17"/>
        <v/>
      </c>
      <c r="G58" s="23" t="str">
        <f t="shared" ca="1" si="18"/>
        <v/>
      </c>
      <c r="H58" s="22" t="str">
        <f t="shared" ca="1" si="19"/>
        <v/>
      </c>
      <c r="I58" s="24" t="str">
        <f t="shared" ca="1" si="20"/>
        <v/>
      </c>
      <c r="J58" s="24" t="str">
        <f t="shared" ca="1" si="21"/>
        <v/>
      </c>
      <c r="K58" s="24" t="str">
        <f t="shared" ca="1" si="22"/>
        <v/>
      </c>
      <c r="L58" s="24" t="str">
        <f t="shared" ca="1" si="23"/>
        <v/>
      </c>
      <c r="M58" s="24" t="str">
        <f t="shared" ca="1" si="24"/>
        <v/>
      </c>
      <c r="N58" s="24" t="str">
        <f t="shared" ca="1" si="25"/>
        <v/>
      </c>
      <c r="O58" s="21"/>
      <c r="P58" s="21"/>
    </row>
    <row r="59" spans="1:16" x14ac:dyDescent="0.25">
      <c r="A59" s="21"/>
      <c r="B59" s="22" t="str">
        <f t="shared" ca="1" si="13"/>
        <v/>
      </c>
      <c r="C59" s="22" t="str">
        <f t="shared" ca="1" si="14"/>
        <v/>
      </c>
      <c r="D59" s="22" t="str">
        <f t="shared" ca="1" si="15"/>
        <v/>
      </c>
      <c r="E59" s="22" t="str">
        <f t="shared" ca="1" si="16"/>
        <v/>
      </c>
      <c r="F59" s="23" t="str">
        <f t="shared" ca="1" si="17"/>
        <v/>
      </c>
      <c r="G59" s="23" t="str">
        <f t="shared" ca="1" si="18"/>
        <v/>
      </c>
      <c r="H59" s="22" t="str">
        <f t="shared" ca="1" si="19"/>
        <v/>
      </c>
      <c r="I59" s="24" t="str">
        <f t="shared" ca="1" si="20"/>
        <v/>
      </c>
      <c r="J59" s="24" t="str">
        <f t="shared" ca="1" si="21"/>
        <v/>
      </c>
      <c r="K59" s="24" t="str">
        <f t="shared" ca="1" si="22"/>
        <v/>
      </c>
      <c r="L59" s="24" t="str">
        <f t="shared" ca="1" si="23"/>
        <v/>
      </c>
      <c r="M59" s="24" t="str">
        <f t="shared" ca="1" si="24"/>
        <v/>
      </c>
      <c r="N59" s="24" t="str">
        <f t="shared" ca="1" si="25"/>
        <v/>
      </c>
      <c r="O59" s="21"/>
      <c r="P59" s="21"/>
    </row>
    <row r="60" spans="1:16" x14ac:dyDescent="0.25">
      <c r="A60" s="21"/>
      <c r="B60" s="22" t="str">
        <f t="shared" ca="1" si="13"/>
        <v/>
      </c>
      <c r="C60" s="22" t="str">
        <f t="shared" ca="1" si="14"/>
        <v/>
      </c>
      <c r="D60" s="22" t="str">
        <f t="shared" ca="1" si="15"/>
        <v/>
      </c>
      <c r="E60" s="22" t="str">
        <f t="shared" ca="1" si="16"/>
        <v/>
      </c>
      <c r="F60" s="23" t="str">
        <f t="shared" ca="1" si="17"/>
        <v/>
      </c>
      <c r="G60" s="23" t="str">
        <f t="shared" ca="1" si="18"/>
        <v/>
      </c>
      <c r="H60" s="22" t="str">
        <f t="shared" ca="1" si="19"/>
        <v/>
      </c>
      <c r="I60" s="24" t="str">
        <f t="shared" ca="1" si="20"/>
        <v/>
      </c>
      <c r="J60" s="24" t="str">
        <f t="shared" ca="1" si="21"/>
        <v/>
      </c>
      <c r="K60" s="24" t="str">
        <f t="shared" ca="1" si="22"/>
        <v/>
      </c>
      <c r="L60" s="24" t="str">
        <f t="shared" ca="1" si="23"/>
        <v/>
      </c>
      <c r="M60" s="24" t="str">
        <f t="shared" ca="1" si="24"/>
        <v/>
      </c>
      <c r="N60" s="24" t="str">
        <f t="shared" ca="1" si="25"/>
        <v/>
      </c>
      <c r="O60" s="21"/>
      <c r="P60" s="21"/>
    </row>
    <row r="61" spans="1:16" x14ac:dyDescent="0.25">
      <c r="A61" s="21"/>
      <c r="B61" s="22" t="str">
        <f t="shared" ca="1" si="13"/>
        <v/>
      </c>
      <c r="C61" s="22" t="str">
        <f t="shared" ca="1" si="14"/>
        <v/>
      </c>
      <c r="D61" s="22" t="str">
        <f t="shared" ca="1" si="15"/>
        <v/>
      </c>
      <c r="E61" s="22" t="str">
        <f t="shared" ca="1" si="16"/>
        <v/>
      </c>
      <c r="F61" s="23" t="str">
        <f t="shared" ca="1" si="17"/>
        <v/>
      </c>
      <c r="G61" s="23" t="str">
        <f t="shared" ca="1" si="18"/>
        <v/>
      </c>
      <c r="H61" s="22" t="str">
        <f t="shared" ca="1" si="19"/>
        <v/>
      </c>
      <c r="I61" s="24" t="str">
        <f t="shared" ca="1" si="20"/>
        <v/>
      </c>
      <c r="J61" s="24" t="str">
        <f t="shared" ca="1" si="21"/>
        <v/>
      </c>
      <c r="K61" s="24" t="str">
        <f t="shared" ca="1" si="22"/>
        <v/>
      </c>
      <c r="L61" s="24" t="str">
        <f t="shared" ca="1" si="23"/>
        <v/>
      </c>
      <c r="M61" s="24" t="str">
        <f t="shared" ca="1" si="24"/>
        <v/>
      </c>
      <c r="N61" s="24" t="str">
        <f t="shared" ca="1" si="25"/>
        <v/>
      </c>
      <c r="O61" s="21"/>
      <c r="P61" s="21"/>
    </row>
    <row r="62" spans="1:16" x14ac:dyDescent="0.25">
      <c r="A62" s="21"/>
      <c r="B62" s="22" t="str">
        <f t="shared" ca="1" si="13"/>
        <v/>
      </c>
      <c r="C62" s="22" t="str">
        <f t="shared" ca="1" si="14"/>
        <v/>
      </c>
      <c r="D62" s="22" t="str">
        <f t="shared" ca="1" si="15"/>
        <v/>
      </c>
      <c r="E62" s="22" t="str">
        <f t="shared" ca="1" si="16"/>
        <v/>
      </c>
      <c r="F62" s="23" t="str">
        <f t="shared" ca="1" si="17"/>
        <v/>
      </c>
      <c r="G62" s="23" t="str">
        <f t="shared" ca="1" si="18"/>
        <v/>
      </c>
      <c r="H62" s="22" t="str">
        <f t="shared" ca="1" si="19"/>
        <v/>
      </c>
      <c r="I62" s="24" t="str">
        <f t="shared" ca="1" si="20"/>
        <v/>
      </c>
      <c r="J62" s="24" t="str">
        <f t="shared" ca="1" si="21"/>
        <v/>
      </c>
      <c r="K62" s="24" t="str">
        <f t="shared" ca="1" si="22"/>
        <v/>
      </c>
      <c r="L62" s="24" t="str">
        <f t="shared" ca="1" si="23"/>
        <v/>
      </c>
      <c r="M62" s="24" t="str">
        <f t="shared" ca="1" si="24"/>
        <v/>
      </c>
      <c r="N62" s="24" t="str">
        <f t="shared" ca="1" si="25"/>
        <v/>
      </c>
      <c r="O62" s="21"/>
      <c r="P62" s="21"/>
    </row>
    <row r="63" spans="1:16" x14ac:dyDescent="0.25">
      <c r="A63" s="21"/>
      <c r="B63" s="22" t="str">
        <f t="shared" ca="1" si="13"/>
        <v/>
      </c>
      <c r="C63" s="22" t="str">
        <f t="shared" ca="1" si="14"/>
        <v/>
      </c>
      <c r="D63" s="22" t="str">
        <f t="shared" ca="1" si="15"/>
        <v/>
      </c>
      <c r="E63" s="22" t="str">
        <f t="shared" ca="1" si="16"/>
        <v/>
      </c>
      <c r="F63" s="23" t="str">
        <f t="shared" ca="1" si="17"/>
        <v/>
      </c>
      <c r="G63" s="23" t="str">
        <f t="shared" ca="1" si="18"/>
        <v/>
      </c>
      <c r="H63" s="22" t="str">
        <f t="shared" ca="1" si="19"/>
        <v/>
      </c>
      <c r="I63" s="24" t="str">
        <f t="shared" ca="1" si="20"/>
        <v/>
      </c>
      <c r="J63" s="24" t="str">
        <f t="shared" ca="1" si="21"/>
        <v/>
      </c>
      <c r="K63" s="24" t="str">
        <f t="shared" ca="1" si="22"/>
        <v/>
      </c>
      <c r="L63" s="24" t="str">
        <f t="shared" ca="1" si="23"/>
        <v/>
      </c>
      <c r="M63" s="24" t="str">
        <f t="shared" ca="1" si="24"/>
        <v/>
      </c>
      <c r="N63" s="24" t="str">
        <f t="shared" ca="1" si="25"/>
        <v/>
      </c>
      <c r="O63" s="21"/>
      <c r="P63" s="21"/>
    </row>
    <row r="64" spans="1:16" x14ac:dyDescent="0.25">
      <c r="A64" s="21"/>
      <c r="B64" s="22" t="str">
        <f t="shared" ca="1" si="13"/>
        <v/>
      </c>
      <c r="C64" s="22" t="str">
        <f t="shared" ca="1" si="14"/>
        <v/>
      </c>
      <c r="D64" s="22" t="str">
        <f t="shared" ca="1" si="15"/>
        <v/>
      </c>
      <c r="E64" s="22" t="str">
        <f t="shared" ca="1" si="16"/>
        <v/>
      </c>
      <c r="F64" s="23" t="str">
        <f t="shared" ca="1" si="17"/>
        <v/>
      </c>
      <c r="G64" s="23" t="str">
        <f t="shared" ca="1" si="18"/>
        <v/>
      </c>
      <c r="H64" s="22" t="str">
        <f t="shared" ca="1" si="19"/>
        <v/>
      </c>
      <c r="I64" s="24" t="str">
        <f t="shared" ca="1" si="20"/>
        <v/>
      </c>
      <c r="J64" s="24" t="str">
        <f t="shared" ca="1" si="21"/>
        <v/>
      </c>
      <c r="K64" s="24" t="str">
        <f t="shared" ca="1" si="22"/>
        <v/>
      </c>
      <c r="L64" s="24" t="str">
        <f t="shared" ca="1" si="23"/>
        <v/>
      </c>
      <c r="M64" s="24" t="str">
        <f t="shared" ca="1" si="24"/>
        <v/>
      </c>
      <c r="N64" s="24" t="str">
        <f t="shared" ca="1" si="25"/>
        <v/>
      </c>
      <c r="O64" s="21"/>
      <c r="P64" s="21"/>
    </row>
    <row r="65" spans="1:16" x14ac:dyDescent="0.25">
      <c r="A65" s="21"/>
      <c r="B65" s="22" t="str">
        <f t="shared" ca="1" si="13"/>
        <v/>
      </c>
      <c r="C65" s="22" t="str">
        <f t="shared" ca="1" si="14"/>
        <v/>
      </c>
      <c r="D65" s="22" t="str">
        <f t="shared" ca="1" si="15"/>
        <v/>
      </c>
      <c r="E65" s="22" t="str">
        <f t="shared" ca="1" si="16"/>
        <v/>
      </c>
      <c r="F65" s="23" t="str">
        <f t="shared" ca="1" si="17"/>
        <v/>
      </c>
      <c r="G65" s="23" t="str">
        <f t="shared" ca="1" si="18"/>
        <v/>
      </c>
      <c r="H65" s="22" t="str">
        <f t="shared" ca="1" si="19"/>
        <v/>
      </c>
      <c r="I65" s="24" t="str">
        <f t="shared" ca="1" si="20"/>
        <v/>
      </c>
      <c r="J65" s="24" t="str">
        <f t="shared" ca="1" si="21"/>
        <v/>
      </c>
      <c r="K65" s="24" t="str">
        <f t="shared" ca="1" si="22"/>
        <v/>
      </c>
      <c r="L65" s="24" t="str">
        <f t="shared" ca="1" si="23"/>
        <v/>
      </c>
      <c r="M65" s="24" t="str">
        <f t="shared" ca="1" si="24"/>
        <v/>
      </c>
      <c r="N65" s="24" t="str">
        <f t="shared" ca="1" si="25"/>
        <v/>
      </c>
      <c r="O65" s="21"/>
      <c r="P65" s="21"/>
    </row>
    <row r="66" spans="1:16" x14ac:dyDescent="0.25">
      <c r="A66" s="21"/>
      <c r="B66" s="22" t="str">
        <f t="shared" ca="1" si="13"/>
        <v/>
      </c>
      <c r="C66" s="22" t="str">
        <f t="shared" ca="1" si="14"/>
        <v/>
      </c>
      <c r="D66" s="22" t="str">
        <f t="shared" ca="1" si="15"/>
        <v/>
      </c>
      <c r="E66" s="22" t="str">
        <f t="shared" ca="1" si="16"/>
        <v/>
      </c>
      <c r="F66" s="23" t="str">
        <f t="shared" ca="1" si="17"/>
        <v/>
      </c>
      <c r="G66" s="23" t="str">
        <f t="shared" ca="1" si="18"/>
        <v/>
      </c>
      <c r="H66" s="22" t="str">
        <f t="shared" ca="1" si="19"/>
        <v/>
      </c>
      <c r="I66" s="24" t="str">
        <f t="shared" ca="1" si="20"/>
        <v/>
      </c>
      <c r="J66" s="24" t="str">
        <f t="shared" ca="1" si="21"/>
        <v/>
      </c>
      <c r="K66" s="24" t="str">
        <f t="shared" ca="1" si="22"/>
        <v/>
      </c>
      <c r="L66" s="24" t="str">
        <f t="shared" ca="1" si="23"/>
        <v/>
      </c>
      <c r="M66" s="24" t="str">
        <f t="shared" ca="1" si="24"/>
        <v/>
      </c>
      <c r="N66" s="24" t="str">
        <f t="shared" ca="1" si="25"/>
        <v/>
      </c>
      <c r="O66" s="21"/>
      <c r="P66" s="21"/>
    </row>
    <row r="67" spans="1:16" x14ac:dyDescent="0.25">
      <c r="A67" s="21"/>
      <c r="B67" s="22" t="str">
        <f t="shared" ca="1" si="13"/>
        <v/>
      </c>
      <c r="C67" s="22" t="str">
        <f t="shared" ca="1" si="14"/>
        <v/>
      </c>
      <c r="D67" s="22" t="str">
        <f t="shared" ca="1" si="15"/>
        <v/>
      </c>
      <c r="E67" s="22" t="str">
        <f t="shared" ca="1" si="16"/>
        <v/>
      </c>
      <c r="F67" s="23" t="str">
        <f t="shared" ca="1" si="17"/>
        <v/>
      </c>
      <c r="G67" s="23" t="str">
        <f t="shared" ca="1" si="18"/>
        <v/>
      </c>
      <c r="H67" s="22" t="str">
        <f t="shared" ca="1" si="19"/>
        <v/>
      </c>
      <c r="I67" s="24" t="str">
        <f t="shared" ca="1" si="20"/>
        <v/>
      </c>
      <c r="J67" s="24" t="str">
        <f t="shared" ca="1" si="21"/>
        <v/>
      </c>
      <c r="K67" s="24" t="str">
        <f t="shared" ca="1" si="22"/>
        <v/>
      </c>
      <c r="L67" s="24" t="str">
        <f t="shared" ca="1" si="23"/>
        <v/>
      </c>
      <c r="M67" s="24" t="str">
        <f t="shared" ca="1" si="24"/>
        <v/>
      </c>
      <c r="N67" s="24" t="str">
        <f t="shared" ca="1" si="25"/>
        <v/>
      </c>
      <c r="O67" s="21"/>
      <c r="P67" s="21"/>
    </row>
    <row r="68" spans="1:16" x14ac:dyDescent="0.25">
      <c r="A68" s="21"/>
      <c r="B68" s="22" t="str">
        <f t="shared" ca="1" si="13"/>
        <v/>
      </c>
      <c r="C68" s="22" t="str">
        <f t="shared" ca="1" si="14"/>
        <v/>
      </c>
      <c r="D68" s="22" t="str">
        <f t="shared" ca="1" si="15"/>
        <v/>
      </c>
      <c r="E68" s="22" t="str">
        <f t="shared" ca="1" si="16"/>
        <v/>
      </c>
      <c r="F68" s="23" t="str">
        <f t="shared" ca="1" si="17"/>
        <v/>
      </c>
      <c r="G68" s="23" t="str">
        <f t="shared" ca="1" si="18"/>
        <v/>
      </c>
      <c r="H68" s="22" t="str">
        <f t="shared" ca="1" si="19"/>
        <v/>
      </c>
      <c r="I68" s="24" t="str">
        <f t="shared" ca="1" si="20"/>
        <v/>
      </c>
      <c r="J68" s="24" t="str">
        <f t="shared" ca="1" si="21"/>
        <v/>
      </c>
      <c r="K68" s="24" t="str">
        <f t="shared" ca="1" si="22"/>
        <v/>
      </c>
      <c r="L68" s="24" t="str">
        <f t="shared" ca="1" si="23"/>
        <v/>
      </c>
      <c r="M68" s="24" t="str">
        <f t="shared" ca="1" si="24"/>
        <v/>
      </c>
      <c r="N68" s="24" t="str">
        <f t="shared" ca="1" si="25"/>
        <v/>
      </c>
      <c r="O68" s="21"/>
      <c r="P68" s="21"/>
    </row>
    <row r="69" spans="1:16" x14ac:dyDescent="0.25">
      <c r="A69" s="21"/>
      <c r="B69" s="22" t="str">
        <f t="shared" ref="B69:B104" ca="1" si="26">IF($A69="","",IFERROR(INDIRECT("'"&amp;$A69&amp;"'!C4")&amp;"","Tab not found"))</f>
        <v/>
      </c>
      <c r="C69" s="22" t="str">
        <f t="shared" ref="C69:C104" ca="1" si="27">IF($A69="","",IFERROR(INDIRECT("'"&amp;$A69&amp;"'!C5")&amp;"","Tab not found"))</f>
        <v/>
      </c>
      <c r="D69" s="22" t="str">
        <f t="shared" ref="D69:D104" ca="1" si="28">IF($A69="","",IFERROR(INDIRECT("'"&amp;$A69&amp;"'!C6")&amp;"","Tab not found"))</f>
        <v/>
      </c>
      <c r="E69" s="22" t="str">
        <f t="shared" ref="E69:E104" ca="1" si="29">IF($A69="","",IFERROR(INDIRECT("'"&amp;$A69&amp;"'!C7")&amp;"","Tab not found"))</f>
        <v/>
      </c>
      <c r="F69" s="23" t="str">
        <f t="shared" ref="F69:F104" ca="1" si="30">IF($A69="","",IFERROR(IF(INDIRECT("'"&amp;$A69&amp;"'!C8")="","",INDIRECT("'"&amp;$A69&amp;"'!C8")),"Tab not found"))</f>
        <v/>
      </c>
      <c r="G69" s="23" t="str">
        <f t="shared" ref="G69:G104" ca="1" si="31">IF($A69="","",IFERROR(IF(INDIRECT("'"&amp;$A69&amp;"'!C9")="","",INDIRECT("'"&amp;$A69&amp;"'!C9")),"Tab not found"))</f>
        <v/>
      </c>
      <c r="H69" s="22" t="str">
        <f t="shared" ref="H69:H104" ca="1" si="32">IF($A69="","",IFERROR(INDIRECT("'"&amp;$A69&amp;"'!C10")&amp;"","Tab not found"))</f>
        <v/>
      </c>
      <c r="I69" s="24" t="str">
        <f t="shared" ref="I69:I104" ca="1" si="33">IF($A69="","",IFERROR(IF(INDIRECT("'"&amp;$A69&amp;"'!I3")="","",INDIRECT("'"&amp;$A69&amp;"'!I3")+0),"Tab not found"))</f>
        <v/>
      </c>
      <c r="J69" s="24" t="str">
        <f t="shared" ref="J69:J104" ca="1" si="34">IF($A69="","",IFERROR(IF(INDIRECT("'"&amp;$A69&amp;"'!I4")="","",INDIRECT("'"&amp;$A69&amp;"'!I4")+0),"Tab not found"))</f>
        <v/>
      </c>
      <c r="K69" s="24" t="str">
        <f t="shared" ref="K69:K104" ca="1" si="35">IF($A69="","",IFERROR(IF(INDIRECT("'"&amp;$A69&amp;"'!I5")="","",INDIRECT("'"&amp;$A69&amp;"'!I5")+0),"Tab not found"))</f>
        <v/>
      </c>
      <c r="L69" s="24" t="str">
        <f t="shared" ref="L69:L104" ca="1" si="36">IF($A69="","",IFERROR(IF(INDIRECT("'"&amp;$A69&amp;"'!I7")="","",INDIRECT("'"&amp;$A69&amp;"'!I7")+0),"Tab not found"))</f>
        <v/>
      </c>
      <c r="M69" s="24" t="str">
        <f t="shared" ref="M69:M104" ca="1" si="37">IF($A69="","",IFERROR(IF(INDIRECT("'"&amp;$A69&amp;"'!I9")="","",INDIRECT("'"&amp;$A69&amp;"'!I9")+0),"Tab not found"))</f>
        <v/>
      </c>
      <c r="N69" s="24" t="str">
        <f t="shared" ref="N69:N104" ca="1" si="38">IF($A69="","",IFERROR(IF(INDIRECT("'"&amp;$A69&amp;"'!I10")="","",INDIRECT("'"&amp;$A69&amp;"'!I10")+0),"Tab not found"))</f>
        <v/>
      </c>
      <c r="O69" s="21"/>
      <c r="P69" s="21"/>
    </row>
    <row r="70" spans="1:16" x14ac:dyDescent="0.25">
      <c r="A70" s="21"/>
      <c r="B70" s="22" t="str">
        <f t="shared" ca="1" si="26"/>
        <v/>
      </c>
      <c r="C70" s="22" t="str">
        <f t="shared" ca="1" si="27"/>
        <v/>
      </c>
      <c r="D70" s="22" t="str">
        <f t="shared" ca="1" si="28"/>
        <v/>
      </c>
      <c r="E70" s="22" t="str">
        <f t="shared" ca="1" si="29"/>
        <v/>
      </c>
      <c r="F70" s="23" t="str">
        <f t="shared" ca="1" si="30"/>
        <v/>
      </c>
      <c r="G70" s="23" t="str">
        <f t="shared" ca="1" si="31"/>
        <v/>
      </c>
      <c r="H70" s="22" t="str">
        <f t="shared" ca="1" si="32"/>
        <v/>
      </c>
      <c r="I70" s="24" t="str">
        <f t="shared" ca="1" si="33"/>
        <v/>
      </c>
      <c r="J70" s="24" t="str">
        <f t="shared" ca="1" si="34"/>
        <v/>
      </c>
      <c r="K70" s="24" t="str">
        <f t="shared" ca="1" si="35"/>
        <v/>
      </c>
      <c r="L70" s="24" t="str">
        <f t="shared" ca="1" si="36"/>
        <v/>
      </c>
      <c r="M70" s="24" t="str">
        <f t="shared" ca="1" si="37"/>
        <v/>
      </c>
      <c r="N70" s="24" t="str">
        <f t="shared" ca="1" si="38"/>
        <v/>
      </c>
      <c r="O70" s="21"/>
      <c r="P70" s="21"/>
    </row>
    <row r="71" spans="1:16" x14ac:dyDescent="0.25">
      <c r="A71" s="21"/>
      <c r="B71" s="22" t="str">
        <f t="shared" ca="1" si="26"/>
        <v/>
      </c>
      <c r="C71" s="22" t="str">
        <f t="shared" ca="1" si="27"/>
        <v/>
      </c>
      <c r="D71" s="22" t="str">
        <f t="shared" ca="1" si="28"/>
        <v/>
      </c>
      <c r="E71" s="22" t="str">
        <f t="shared" ca="1" si="29"/>
        <v/>
      </c>
      <c r="F71" s="23" t="str">
        <f t="shared" ca="1" si="30"/>
        <v/>
      </c>
      <c r="G71" s="23" t="str">
        <f t="shared" ca="1" si="31"/>
        <v/>
      </c>
      <c r="H71" s="22" t="str">
        <f t="shared" ca="1" si="32"/>
        <v/>
      </c>
      <c r="I71" s="24" t="str">
        <f t="shared" ca="1" si="33"/>
        <v/>
      </c>
      <c r="J71" s="24" t="str">
        <f t="shared" ca="1" si="34"/>
        <v/>
      </c>
      <c r="K71" s="24" t="str">
        <f t="shared" ca="1" si="35"/>
        <v/>
      </c>
      <c r="L71" s="24" t="str">
        <f t="shared" ca="1" si="36"/>
        <v/>
      </c>
      <c r="M71" s="24" t="str">
        <f t="shared" ca="1" si="37"/>
        <v/>
      </c>
      <c r="N71" s="24" t="str">
        <f t="shared" ca="1" si="38"/>
        <v/>
      </c>
      <c r="O71" s="21"/>
      <c r="P71" s="21"/>
    </row>
    <row r="72" spans="1:16" x14ac:dyDescent="0.25">
      <c r="A72" s="21"/>
      <c r="B72" s="22" t="str">
        <f t="shared" ca="1" si="26"/>
        <v/>
      </c>
      <c r="C72" s="22" t="str">
        <f t="shared" ca="1" si="27"/>
        <v/>
      </c>
      <c r="D72" s="22" t="str">
        <f t="shared" ca="1" si="28"/>
        <v/>
      </c>
      <c r="E72" s="22" t="str">
        <f t="shared" ca="1" si="29"/>
        <v/>
      </c>
      <c r="F72" s="23" t="str">
        <f t="shared" ca="1" si="30"/>
        <v/>
      </c>
      <c r="G72" s="23" t="str">
        <f t="shared" ca="1" si="31"/>
        <v/>
      </c>
      <c r="H72" s="22" t="str">
        <f t="shared" ca="1" si="32"/>
        <v/>
      </c>
      <c r="I72" s="24" t="str">
        <f t="shared" ca="1" si="33"/>
        <v/>
      </c>
      <c r="J72" s="24" t="str">
        <f t="shared" ca="1" si="34"/>
        <v/>
      </c>
      <c r="K72" s="24" t="str">
        <f t="shared" ca="1" si="35"/>
        <v/>
      </c>
      <c r="L72" s="24" t="str">
        <f t="shared" ca="1" si="36"/>
        <v/>
      </c>
      <c r="M72" s="24" t="str">
        <f t="shared" ca="1" si="37"/>
        <v/>
      </c>
      <c r="N72" s="24" t="str">
        <f t="shared" ca="1" si="38"/>
        <v/>
      </c>
      <c r="O72" s="21"/>
      <c r="P72" s="21"/>
    </row>
    <row r="73" spans="1:16" x14ac:dyDescent="0.25">
      <c r="A73" s="21"/>
      <c r="B73" s="22" t="str">
        <f t="shared" ca="1" si="26"/>
        <v/>
      </c>
      <c r="C73" s="22" t="str">
        <f t="shared" ca="1" si="27"/>
        <v/>
      </c>
      <c r="D73" s="22" t="str">
        <f t="shared" ca="1" si="28"/>
        <v/>
      </c>
      <c r="E73" s="22" t="str">
        <f t="shared" ca="1" si="29"/>
        <v/>
      </c>
      <c r="F73" s="23" t="str">
        <f t="shared" ca="1" si="30"/>
        <v/>
      </c>
      <c r="G73" s="23" t="str">
        <f t="shared" ca="1" si="31"/>
        <v/>
      </c>
      <c r="H73" s="22" t="str">
        <f t="shared" ca="1" si="32"/>
        <v/>
      </c>
      <c r="I73" s="24" t="str">
        <f t="shared" ca="1" si="33"/>
        <v/>
      </c>
      <c r="J73" s="24" t="str">
        <f t="shared" ca="1" si="34"/>
        <v/>
      </c>
      <c r="K73" s="24" t="str">
        <f t="shared" ca="1" si="35"/>
        <v/>
      </c>
      <c r="L73" s="24" t="str">
        <f t="shared" ca="1" si="36"/>
        <v/>
      </c>
      <c r="M73" s="24" t="str">
        <f t="shared" ca="1" si="37"/>
        <v/>
      </c>
      <c r="N73" s="24" t="str">
        <f t="shared" ca="1" si="38"/>
        <v/>
      </c>
      <c r="O73" s="21"/>
      <c r="P73" s="21"/>
    </row>
    <row r="74" spans="1:16" x14ac:dyDescent="0.25">
      <c r="A74" s="21"/>
      <c r="B74" s="22" t="str">
        <f t="shared" ca="1" si="26"/>
        <v/>
      </c>
      <c r="C74" s="22" t="str">
        <f t="shared" ca="1" si="27"/>
        <v/>
      </c>
      <c r="D74" s="22" t="str">
        <f t="shared" ca="1" si="28"/>
        <v/>
      </c>
      <c r="E74" s="22" t="str">
        <f t="shared" ca="1" si="29"/>
        <v/>
      </c>
      <c r="F74" s="23" t="str">
        <f t="shared" ca="1" si="30"/>
        <v/>
      </c>
      <c r="G74" s="23" t="str">
        <f t="shared" ca="1" si="31"/>
        <v/>
      </c>
      <c r="H74" s="22" t="str">
        <f t="shared" ca="1" si="32"/>
        <v/>
      </c>
      <c r="I74" s="24" t="str">
        <f t="shared" ca="1" si="33"/>
        <v/>
      </c>
      <c r="J74" s="24" t="str">
        <f t="shared" ca="1" si="34"/>
        <v/>
      </c>
      <c r="K74" s="24" t="str">
        <f t="shared" ca="1" si="35"/>
        <v/>
      </c>
      <c r="L74" s="24" t="str">
        <f t="shared" ca="1" si="36"/>
        <v/>
      </c>
      <c r="M74" s="24" t="str">
        <f t="shared" ca="1" si="37"/>
        <v/>
      </c>
      <c r="N74" s="24" t="str">
        <f t="shared" ca="1" si="38"/>
        <v/>
      </c>
      <c r="O74" s="21"/>
      <c r="P74" s="21"/>
    </row>
    <row r="75" spans="1:16" x14ac:dyDescent="0.25">
      <c r="A75" s="21"/>
      <c r="B75" s="22" t="str">
        <f t="shared" ca="1" si="26"/>
        <v/>
      </c>
      <c r="C75" s="22" t="str">
        <f t="shared" ca="1" si="27"/>
        <v/>
      </c>
      <c r="D75" s="22" t="str">
        <f t="shared" ca="1" si="28"/>
        <v/>
      </c>
      <c r="E75" s="22" t="str">
        <f t="shared" ca="1" si="29"/>
        <v/>
      </c>
      <c r="F75" s="23" t="str">
        <f t="shared" ca="1" si="30"/>
        <v/>
      </c>
      <c r="G75" s="23" t="str">
        <f t="shared" ca="1" si="31"/>
        <v/>
      </c>
      <c r="H75" s="22" t="str">
        <f t="shared" ca="1" si="32"/>
        <v/>
      </c>
      <c r="I75" s="24" t="str">
        <f t="shared" ca="1" si="33"/>
        <v/>
      </c>
      <c r="J75" s="24" t="str">
        <f t="shared" ca="1" si="34"/>
        <v/>
      </c>
      <c r="K75" s="24" t="str">
        <f t="shared" ca="1" si="35"/>
        <v/>
      </c>
      <c r="L75" s="24" t="str">
        <f t="shared" ca="1" si="36"/>
        <v/>
      </c>
      <c r="M75" s="24" t="str">
        <f t="shared" ca="1" si="37"/>
        <v/>
      </c>
      <c r="N75" s="24" t="str">
        <f t="shared" ca="1" si="38"/>
        <v/>
      </c>
      <c r="O75" s="21"/>
      <c r="P75" s="21"/>
    </row>
    <row r="76" spans="1:16" x14ac:dyDescent="0.25">
      <c r="A76" s="21"/>
      <c r="B76" s="22" t="str">
        <f t="shared" ca="1" si="26"/>
        <v/>
      </c>
      <c r="C76" s="22" t="str">
        <f t="shared" ca="1" si="27"/>
        <v/>
      </c>
      <c r="D76" s="22" t="str">
        <f t="shared" ca="1" si="28"/>
        <v/>
      </c>
      <c r="E76" s="22" t="str">
        <f t="shared" ca="1" si="29"/>
        <v/>
      </c>
      <c r="F76" s="23" t="str">
        <f t="shared" ca="1" si="30"/>
        <v/>
      </c>
      <c r="G76" s="23" t="str">
        <f t="shared" ca="1" si="31"/>
        <v/>
      </c>
      <c r="H76" s="22" t="str">
        <f t="shared" ca="1" si="32"/>
        <v/>
      </c>
      <c r="I76" s="24" t="str">
        <f t="shared" ca="1" si="33"/>
        <v/>
      </c>
      <c r="J76" s="24" t="str">
        <f t="shared" ca="1" si="34"/>
        <v/>
      </c>
      <c r="K76" s="24" t="str">
        <f t="shared" ca="1" si="35"/>
        <v/>
      </c>
      <c r="L76" s="24" t="str">
        <f t="shared" ca="1" si="36"/>
        <v/>
      </c>
      <c r="M76" s="24" t="str">
        <f t="shared" ca="1" si="37"/>
        <v/>
      </c>
      <c r="N76" s="24" t="str">
        <f t="shared" ca="1" si="38"/>
        <v/>
      </c>
      <c r="O76" s="21"/>
      <c r="P76" s="21"/>
    </row>
    <row r="77" spans="1:16" x14ac:dyDescent="0.25">
      <c r="A77" s="21"/>
      <c r="B77" s="22" t="str">
        <f t="shared" ca="1" si="26"/>
        <v/>
      </c>
      <c r="C77" s="22" t="str">
        <f t="shared" ca="1" si="27"/>
        <v/>
      </c>
      <c r="D77" s="22" t="str">
        <f t="shared" ca="1" si="28"/>
        <v/>
      </c>
      <c r="E77" s="22" t="str">
        <f t="shared" ca="1" si="29"/>
        <v/>
      </c>
      <c r="F77" s="23" t="str">
        <f t="shared" ca="1" si="30"/>
        <v/>
      </c>
      <c r="G77" s="23" t="str">
        <f t="shared" ca="1" si="31"/>
        <v/>
      </c>
      <c r="H77" s="22" t="str">
        <f t="shared" ca="1" si="32"/>
        <v/>
      </c>
      <c r="I77" s="24" t="str">
        <f t="shared" ca="1" si="33"/>
        <v/>
      </c>
      <c r="J77" s="24" t="str">
        <f t="shared" ca="1" si="34"/>
        <v/>
      </c>
      <c r="K77" s="24" t="str">
        <f t="shared" ca="1" si="35"/>
        <v/>
      </c>
      <c r="L77" s="24" t="str">
        <f t="shared" ca="1" si="36"/>
        <v/>
      </c>
      <c r="M77" s="24" t="str">
        <f t="shared" ca="1" si="37"/>
        <v/>
      </c>
      <c r="N77" s="24" t="str">
        <f t="shared" ca="1" si="38"/>
        <v/>
      </c>
      <c r="O77" s="21"/>
      <c r="P77" s="21"/>
    </row>
    <row r="78" spans="1:16" x14ac:dyDescent="0.25">
      <c r="A78" s="21"/>
      <c r="B78" s="22" t="str">
        <f t="shared" ca="1" si="26"/>
        <v/>
      </c>
      <c r="C78" s="22" t="str">
        <f t="shared" ca="1" si="27"/>
        <v/>
      </c>
      <c r="D78" s="22" t="str">
        <f t="shared" ca="1" si="28"/>
        <v/>
      </c>
      <c r="E78" s="22" t="str">
        <f t="shared" ca="1" si="29"/>
        <v/>
      </c>
      <c r="F78" s="23" t="str">
        <f t="shared" ca="1" si="30"/>
        <v/>
      </c>
      <c r="G78" s="23" t="str">
        <f t="shared" ca="1" si="31"/>
        <v/>
      </c>
      <c r="H78" s="22" t="str">
        <f t="shared" ca="1" si="32"/>
        <v/>
      </c>
      <c r="I78" s="24" t="str">
        <f t="shared" ca="1" si="33"/>
        <v/>
      </c>
      <c r="J78" s="24" t="str">
        <f t="shared" ca="1" si="34"/>
        <v/>
      </c>
      <c r="K78" s="24" t="str">
        <f t="shared" ca="1" si="35"/>
        <v/>
      </c>
      <c r="L78" s="24" t="str">
        <f t="shared" ca="1" si="36"/>
        <v/>
      </c>
      <c r="M78" s="24" t="str">
        <f t="shared" ca="1" si="37"/>
        <v/>
      </c>
      <c r="N78" s="24" t="str">
        <f t="shared" ca="1" si="38"/>
        <v/>
      </c>
      <c r="O78" s="21"/>
      <c r="P78" s="21"/>
    </row>
    <row r="79" spans="1:16" x14ac:dyDescent="0.25">
      <c r="A79" s="21"/>
      <c r="B79" s="22" t="str">
        <f t="shared" ca="1" si="26"/>
        <v/>
      </c>
      <c r="C79" s="22" t="str">
        <f t="shared" ca="1" si="27"/>
        <v/>
      </c>
      <c r="D79" s="22" t="str">
        <f t="shared" ca="1" si="28"/>
        <v/>
      </c>
      <c r="E79" s="22" t="str">
        <f t="shared" ca="1" si="29"/>
        <v/>
      </c>
      <c r="F79" s="23" t="str">
        <f t="shared" ca="1" si="30"/>
        <v/>
      </c>
      <c r="G79" s="23" t="str">
        <f t="shared" ca="1" si="31"/>
        <v/>
      </c>
      <c r="H79" s="22" t="str">
        <f t="shared" ca="1" si="32"/>
        <v/>
      </c>
      <c r="I79" s="24" t="str">
        <f t="shared" ca="1" si="33"/>
        <v/>
      </c>
      <c r="J79" s="24" t="str">
        <f t="shared" ca="1" si="34"/>
        <v/>
      </c>
      <c r="K79" s="24" t="str">
        <f t="shared" ca="1" si="35"/>
        <v/>
      </c>
      <c r="L79" s="24" t="str">
        <f t="shared" ca="1" si="36"/>
        <v/>
      </c>
      <c r="M79" s="24" t="str">
        <f t="shared" ca="1" si="37"/>
        <v/>
      </c>
      <c r="N79" s="24" t="str">
        <f t="shared" ca="1" si="38"/>
        <v/>
      </c>
      <c r="O79" s="21"/>
      <c r="P79" s="21"/>
    </row>
    <row r="80" spans="1:16" x14ac:dyDescent="0.25">
      <c r="A80" s="21"/>
      <c r="B80" s="22" t="str">
        <f t="shared" ca="1" si="26"/>
        <v/>
      </c>
      <c r="C80" s="22" t="str">
        <f t="shared" ca="1" si="27"/>
        <v/>
      </c>
      <c r="D80" s="22" t="str">
        <f t="shared" ca="1" si="28"/>
        <v/>
      </c>
      <c r="E80" s="22" t="str">
        <f t="shared" ca="1" si="29"/>
        <v/>
      </c>
      <c r="F80" s="23" t="str">
        <f t="shared" ca="1" si="30"/>
        <v/>
      </c>
      <c r="G80" s="23" t="str">
        <f t="shared" ca="1" si="31"/>
        <v/>
      </c>
      <c r="H80" s="22" t="str">
        <f t="shared" ca="1" si="32"/>
        <v/>
      </c>
      <c r="I80" s="24" t="str">
        <f t="shared" ca="1" si="33"/>
        <v/>
      </c>
      <c r="J80" s="24" t="str">
        <f t="shared" ca="1" si="34"/>
        <v/>
      </c>
      <c r="K80" s="24" t="str">
        <f t="shared" ca="1" si="35"/>
        <v/>
      </c>
      <c r="L80" s="24" t="str">
        <f t="shared" ca="1" si="36"/>
        <v/>
      </c>
      <c r="M80" s="24" t="str">
        <f t="shared" ca="1" si="37"/>
        <v/>
      </c>
      <c r="N80" s="24" t="str">
        <f t="shared" ca="1" si="38"/>
        <v/>
      </c>
      <c r="O80" s="21"/>
      <c r="P80" s="21"/>
    </row>
    <row r="81" spans="1:16" x14ac:dyDescent="0.25">
      <c r="A81" s="21"/>
      <c r="B81" s="22" t="str">
        <f t="shared" ca="1" si="26"/>
        <v/>
      </c>
      <c r="C81" s="22" t="str">
        <f t="shared" ca="1" si="27"/>
        <v/>
      </c>
      <c r="D81" s="22" t="str">
        <f t="shared" ca="1" si="28"/>
        <v/>
      </c>
      <c r="E81" s="22" t="str">
        <f t="shared" ca="1" si="29"/>
        <v/>
      </c>
      <c r="F81" s="23" t="str">
        <f t="shared" ca="1" si="30"/>
        <v/>
      </c>
      <c r="G81" s="23" t="str">
        <f t="shared" ca="1" si="31"/>
        <v/>
      </c>
      <c r="H81" s="22" t="str">
        <f t="shared" ca="1" si="32"/>
        <v/>
      </c>
      <c r="I81" s="24" t="str">
        <f t="shared" ca="1" si="33"/>
        <v/>
      </c>
      <c r="J81" s="24" t="str">
        <f t="shared" ca="1" si="34"/>
        <v/>
      </c>
      <c r="K81" s="24" t="str">
        <f t="shared" ca="1" si="35"/>
        <v/>
      </c>
      <c r="L81" s="24" t="str">
        <f t="shared" ca="1" si="36"/>
        <v/>
      </c>
      <c r="M81" s="24" t="str">
        <f t="shared" ca="1" si="37"/>
        <v/>
      </c>
      <c r="N81" s="24" t="str">
        <f t="shared" ca="1" si="38"/>
        <v/>
      </c>
      <c r="O81" s="21"/>
      <c r="P81" s="21"/>
    </row>
    <row r="82" spans="1:16" x14ac:dyDescent="0.25">
      <c r="A82" s="21"/>
      <c r="B82" s="22" t="str">
        <f t="shared" ca="1" si="26"/>
        <v/>
      </c>
      <c r="C82" s="22" t="str">
        <f t="shared" ca="1" si="27"/>
        <v/>
      </c>
      <c r="D82" s="22" t="str">
        <f t="shared" ca="1" si="28"/>
        <v/>
      </c>
      <c r="E82" s="22" t="str">
        <f t="shared" ca="1" si="29"/>
        <v/>
      </c>
      <c r="F82" s="23" t="str">
        <f t="shared" ca="1" si="30"/>
        <v/>
      </c>
      <c r="G82" s="23" t="str">
        <f t="shared" ca="1" si="31"/>
        <v/>
      </c>
      <c r="H82" s="22" t="str">
        <f t="shared" ca="1" si="32"/>
        <v/>
      </c>
      <c r="I82" s="24" t="str">
        <f t="shared" ca="1" si="33"/>
        <v/>
      </c>
      <c r="J82" s="24" t="str">
        <f t="shared" ca="1" si="34"/>
        <v/>
      </c>
      <c r="K82" s="24" t="str">
        <f t="shared" ca="1" si="35"/>
        <v/>
      </c>
      <c r="L82" s="24" t="str">
        <f t="shared" ca="1" si="36"/>
        <v/>
      </c>
      <c r="M82" s="24" t="str">
        <f t="shared" ca="1" si="37"/>
        <v/>
      </c>
      <c r="N82" s="24" t="str">
        <f t="shared" ca="1" si="38"/>
        <v/>
      </c>
      <c r="O82" s="21"/>
      <c r="P82" s="21"/>
    </row>
    <row r="83" spans="1:16" x14ac:dyDescent="0.25">
      <c r="A83" s="21"/>
      <c r="B83" s="22" t="str">
        <f t="shared" ca="1" si="26"/>
        <v/>
      </c>
      <c r="C83" s="22" t="str">
        <f t="shared" ca="1" si="27"/>
        <v/>
      </c>
      <c r="D83" s="22" t="str">
        <f t="shared" ca="1" si="28"/>
        <v/>
      </c>
      <c r="E83" s="22" t="str">
        <f t="shared" ca="1" si="29"/>
        <v/>
      </c>
      <c r="F83" s="23" t="str">
        <f t="shared" ca="1" si="30"/>
        <v/>
      </c>
      <c r="G83" s="23" t="str">
        <f t="shared" ca="1" si="31"/>
        <v/>
      </c>
      <c r="H83" s="22" t="str">
        <f t="shared" ca="1" si="32"/>
        <v/>
      </c>
      <c r="I83" s="24" t="str">
        <f t="shared" ca="1" si="33"/>
        <v/>
      </c>
      <c r="J83" s="24" t="str">
        <f t="shared" ca="1" si="34"/>
        <v/>
      </c>
      <c r="K83" s="24" t="str">
        <f t="shared" ca="1" si="35"/>
        <v/>
      </c>
      <c r="L83" s="24" t="str">
        <f t="shared" ca="1" si="36"/>
        <v/>
      </c>
      <c r="M83" s="24" t="str">
        <f t="shared" ca="1" si="37"/>
        <v/>
      </c>
      <c r="N83" s="24" t="str">
        <f t="shared" ca="1" si="38"/>
        <v/>
      </c>
      <c r="O83" s="21"/>
      <c r="P83" s="21"/>
    </row>
    <row r="84" spans="1:16" x14ac:dyDescent="0.25">
      <c r="A84" s="21"/>
      <c r="B84" s="22" t="str">
        <f t="shared" ca="1" si="26"/>
        <v/>
      </c>
      <c r="C84" s="22" t="str">
        <f t="shared" ca="1" si="27"/>
        <v/>
      </c>
      <c r="D84" s="22" t="str">
        <f t="shared" ca="1" si="28"/>
        <v/>
      </c>
      <c r="E84" s="22" t="str">
        <f t="shared" ca="1" si="29"/>
        <v/>
      </c>
      <c r="F84" s="23" t="str">
        <f t="shared" ca="1" si="30"/>
        <v/>
      </c>
      <c r="G84" s="23" t="str">
        <f t="shared" ca="1" si="31"/>
        <v/>
      </c>
      <c r="H84" s="22" t="str">
        <f t="shared" ca="1" si="32"/>
        <v/>
      </c>
      <c r="I84" s="24" t="str">
        <f t="shared" ca="1" si="33"/>
        <v/>
      </c>
      <c r="J84" s="24" t="str">
        <f t="shared" ca="1" si="34"/>
        <v/>
      </c>
      <c r="K84" s="24" t="str">
        <f t="shared" ca="1" si="35"/>
        <v/>
      </c>
      <c r="L84" s="24" t="str">
        <f t="shared" ca="1" si="36"/>
        <v/>
      </c>
      <c r="M84" s="24" t="str">
        <f t="shared" ca="1" si="37"/>
        <v/>
      </c>
      <c r="N84" s="24" t="str">
        <f t="shared" ca="1" si="38"/>
        <v/>
      </c>
      <c r="O84" s="21"/>
      <c r="P84" s="21"/>
    </row>
    <row r="85" spans="1:16" x14ac:dyDescent="0.25">
      <c r="A85" s="21"/>
      <c r="B85" s="22" t="str">
        <f t="shared" ca="1" si="26"/>
        <v/>
      </c>
      <c r="C85" s="22" t="str">
        <f t="shared" ca="1" si="27"/>
        <v/>
      </c>
      <c r="D85" s="22" t="str">
        <f t="shared" ca="1" si="28"/>
        <v/>
      </c>
      <c r="E85" s="22" t="str">
        <f t="shared" ca="1" si="29"/>
        <v/>
      </c>
      <c r="F85" s="23" t="str">
        <f t="shared" ca="1" si="30"/>
        <v/>
      </c>
      <c r="G85" s="23" t="str">
        <f t="shared" ca="1" si="31"/>
        <v/>
      </c>
      <c r="H85" s="22" t="str">
        <f t="shared" ca="1" si="32"/>
        <v/>
      </c>
      <c r="I85" s="24" t="str">
        <f t="shared" ca="1" si="33"/>
        <v/>
      </c>
      <c r="J85" s="24" t="str">
        <f t="shared" ca="1" si="34"/>
        <v/>
      </c>
      <c r="K85" s="24" t="str">
        <f t="shared" ca="1" si="35"/>
        <v/>
      </c>
      <c r="L85" s="24" t="str">
        <f t="shared" ca="1" si="36"/>
        <v/>
      </c>
      <c r="M85" s="24" t="str">
        <f t="shared" ca="1" si="37"/>
        <v/>
      </c>
      <c r="N85" s="24" t="str">
        <f t="shared" ca="1" si="38"/>
        <v/>
      </c>
      <c r="O85" s="21"/>
      <c r="P85" s="21"/>
    </row>
    <row r="86" spans="1:16" x14ac:dyDescent="0.25">
      <c r="A86" s="21"/>
      <c r="B86" s="22" t="str">
        <f t="shared" ca="1" si="26"/>
        <v/>
      </c>
      <c r="C86" s="22" t="str">
        <f t="shared" ca="1" si="27"/>
        <v/>
      </c>
      <c r="D86" s="22" t="str">
        <f t="shared" ca="1" si="28"/>
        <v/>
      </c>
      <c r="E86" s="22" t="str">
        <f t="shared" ca="1" si="29"/>
        <v/>
      </c>
      <c r="F86" s="23" t="str">
        <f t="shared" ca="1" si="30"/>
        <v/>
      </c>
      <c r="G86" s="23" t="str">
        <f t="shared" ca="1" si="31"/>
        <v/>
      </c>
      <c r="H86" s="22" t="str">
        <f t="shared" ca="1" si="32"/>
        <v/>
      </c>
      <c r="I86" s="24" t="str">
        <f t="shared" ca="1" si="33"/>
        <v/>
      </c>
      <c r="J86" s="24" t="str">
        <f t="shared" ca="1" si="34"/>
        <v/>
      </c>
      <c r="K86" s="24" t="str">
        <f t="shared" ca="1" si="35"/>
        <v/>
      </c>
      <c r="L86" s="24" t="str">
        <f t="shared" ca="1" si="36"/>
        <v/>
      </c>
      <c r="M86" s="24" t="str">
        <f t="shared" ca="1" si="37"/>
        <v/>
      </c>
      <c r="N86" s="24" t="str">
        <f t="shared" ca="1" si="38"/>
        <v/>
      </c>
      <c r="O86" s="21"/>
      <c r="P86" s="21"/>
    </row>
    <row r="87" spans="1:16" x14ac:dyDescent="0.25">
      <c r="A87" s="21"/>
      <c r="B87" s="22" t="str">
        <f t="shared" ca="1" si="26"/>
        <v/>
      </c>
      <c r="C87" s="22" t="str">
        <f t="shared" ca="1" si="27"/>
        <v/>
      </c>
      <c r="D87" s="22" t="str">
        <f t="shared" ca="1" si="28"/>
        <v/>
      </c>
      <c r="E87" s="22" t="str">
        <f t="shared" ca="1" si="29"/>
        <v/>
      </c>
      <c r="F87" s="23" t="str">
        <f t="shared" ca="1" si="30"/>
        <v/>
      </c>
      <c r="G87" s="23" t="str">
        <f t="shared" ca="1" si="31"/>
        <v/>
      </c>
      <c r="H87" s="22" t="str">
        <f t="shared" ca="1" si="32"/>
        <v/>
      </c>
      <c r="I87" s="24" t="str">
        <f t="shared" ca="1" si="33"/>
        <v/>
      </c>
      <c r="J87" s="24" t="str">
        <f t="shared" ca="1" si="34"/>
        <v/>
      </c>
      <c r="K87" s="24" t="str">
        <f t="shared" ca="1" si="35"/>
        <v/>
      </c>
      <c r="L87" s="24" t="str">
        <f t="shared" ca="1" si="36"/>
        <v/>
      </c>
      <c r="M87" s="24" t="str">
        <f t="shared" ca="1" si="37"/>
        <v/>
      </c>
      <c r="N87" s="24" t="str">
        <f t="shared" ca="1" si="38"/>
        <v/>
      </c>
      <c r="O87" s="21"/>
      <c r="P87" s="21"/>
    </row>
    <row r="88" spans="1:16" x14ac:dyDescent="0.25">
      <c r="A88" s="21"/>
      <c r="B88" s="22" t="str">
        <f t="shared" ca="1" si="26"/>
        <v/>
      </c>
      <c r="C88" s="22" t="str">
        <f t="shared" ca="1" si="27"/>
        <v/>
      </c>
      <c r="D88" s="22" t="str">
        <f t="shared" ca="1" si="28"/>
        <v/>
      </c>
      <c r="E88" s="22" t="str">
        <f t="shared" ca="1" si="29"/>
        <v/>
      </c>
      <c r="F88" s="23" t="str">
        <f t="shared" ca="1" si="30"/>
        <v/>
      </c>
      <c r="G88" s="23" t="str">
        <f t="shared" ca="1" si="31"/>
        <v/>
      </c>
      <c r="H88" s="22" t="str">
        <f t="shared" ca="1" si="32"/>
        <v/>
      </c>
      <c r="I88" s="24" t="str">
        <f t="shared" ca="1" si="33"/>
        <v/>
      </c>
      <c r="J88" s="24" t="str">
        <f t="shared" ca="1" si="34"/>
        <v/>
      </c>
      <c r="K88" s="24" t="str">
        <f t="shared" ca="1" si="35"/>
        <v/>
      </c>
      <c r="L88" s="24" t="str">
        <f t="shared" ca="1" si="36"/>
        <v/>
      </c>
      <c r="M88" s="24" t="str">
        <f t="shared" ca="1" si="37"/>
        <v/>
      </c>
      <c r="N88" s="24" t="str">
        <f t="shared" ca="1" si="38"/>
        <v/>
      </c>
      <c r="O88" s="21"/>
      <c r="P88" s="21"/>
    </row>
    <row r="89" spans="1:16" x14ac:dyDescent="0.25">
      <c r="A89" s="21"/>
      <c r="B89" s="22" t="str">
        <f t="shared" ca="1" si="26"/>
        <v/>
      </c>
      <c r="C89" s="22" t="str">
        <f t="shared" ca="1" si="27"/>
        <v/>
      </c>
      <c r="D89" s="22" t="str">
        <f t="shared" ca="1" si="28"/>
        <v/>
      </c>
      <c r="E89" s="22" t="str">
        <f t="shared" ca="1" si="29"/>
        <v/>
      </c>
      <c r="F89" s="23" t="str">
        <f t="shared" ca="1" si="30"/>
        <v/>
      </c>
      <c r="G89" s="23" t="str">
        <f t="shared" ca="1" si="31"/>
        <v/>
      </c>
      <c r="H89" s="22" t="str">
        <f t="shared" ca="1" si="32"/>
        <v/>
      </c>
      <c r="I89" s="24" t="str">
        <f t="shared" ca="1" si="33"/>
        <v/>
      </c>
      <c r="J89" s="24" t="str">
        <f t="shared" ca="1" si="34"/>
        <v/>
      </c>
      <c r="K89" s="24" t="str">
        <f t="shared" ca="1" si="35"/>
        <v/>
      </c>
      <c r="L89" s="24" t="str">
        <f t="shared" ca="1" si="36"/>
        <v/>
      </c>
      <c r="M89" s="24" t="str">
        <f t="shared" ca="1" si="37"/>
        <v/>
      </c>
      <c r="N89" s="24" t="str">
        <f t="shared" ca="1" si="38"/>
        <v/>
      </c>
      <c r="O89" s="21"/>
      <c r="P89" s="21"/>
    </row>
    <row r="90" spans="1:16" x14ac:dyDescent="0.25">
      <c r="A90" s="21"/>
      <c r="B90" s="22" t="str">
        <f t="shared" ca="1" si="26"/>
        <v/>
      </c>
      <c r="C90" s="22" t="str">
        <f t="shared" ca="1" si="27"/>
        <v/>
      </c>
      <c r="D90" s="22" t="str">
        <f t="shared" ca="1" si="28"/>
        <v/>
      </c>
      <c r="E90" s="22" t="str">
        <f t="shared" ca="1" si="29"/>
        <v/>
      </c>
      <c r="F90" s="23" t="str">
        <f t="shared" ca="1" si="30"/>
        <v/>
      </c>
      <c r="G90" s="23" t="str">
        <f t="shared" ca="1" si="31"/>
        <v/>
      </c>
      <c r="H90" s="22" t="str">
        <f t="shared" ca="1" si="32"/>
        <v/>
      </c>
      <c r="I90" s="24" t="str">
        <f t="shared" ca="1" si="33"/>
        <v/>
      </c>
      <c r="J90" s="24" t="str">
        <f t="shared" ca="1" si="34"/>
        <v/>
      </c>
      <c r="K90" s="24" t="str">
        <f t="shared" ca="1" si="35"/>
        <v/>
      </c>
      <c r="L90" s="24" t="str">
        <f t="shared" ca="1" si="36"/>
        <v/>
      </c>
      <c r="M90" s="24" t="str">
        <f t="shared" ca="1" si="37"/>
        <v/>
      </c>
      <c r="N90" s="24" t="str">
        <f t="shared" ca="1" si="38"/>
        <v/>
      </c>
      <c r="O90" s="21"/>
      <c r="P90" s="21"/>
    </row>
    <row r="91" spans="1:16" x14ac:dyDescent="0.25">
      <c r="A91" s="21"/>
      <c r="B91" s="22" t="str">
        <f t="shared" ca="1" si="26"/>
        <v/>
      </c>
      <c r="C91" s="22" t="str">
        <f t="shared" ca="1" si="27"/>
        <v/>
      </c>
      <c r="D91" s="22" t="str">
        <f t="shared" ca="1" si="28"/>
        <v/>
      </c>
      <c r="E91" s="22" t="str">
        <f t="shared" ca="1" si="29"/>
        <v/>
      </c>
      <c r="F91" s="23" t="str">
        <f t="shared" ca="1" si="30"/>
        <v/>
      </c>
      <c r="G91" s="23" t="str">
        <f t="shared" ca="1" si="31"/>
        <v/>
      </c>
      <c r="H91" s="22" t="str">
        <f t="shared" ca="1" si="32"/>
        <v/>
      </c>
      <c r="I91" s="24" t="str">
        <f t="shared" ca="1" si="33"/>
        <v/>
      </c>
      <c r="J91" s="24" t="str">
        <f t="shared" ca="1" si="34"/>
        <v/>
      </c>
      <c r="K91" s="24" t="str">
        <f t="shared" ca="1" si="35"/>
        <v/>
      </c>
      <c r="L91" s="24" t="str">
        <f t="shared" ca="1" si="36"/>
        <v/>
      </c>
      <c r="M91" s="24" t="str">
        <f t="shared" ca="1" si="37"/>
        <v/>
      </c>
      <c r="N91" s="24" t="str">
        <f t="shared" ca="1" si="38"/>
        <v/>
      </c>
      <c r="O91" s="21"/>
      <c r="P91" s="21"/>
    </row>
    <row r="92" spans="1:16" x14ac:dyDescent="0.25">
      <c r="A92" s="21"/>
      <c r="B92" s="22" t="str">
        <f t="shared" ca="1" si="26"/>
        <v/>
      </c>
      <c r="C92" s="22" t="str">
        <f t="shared" ca="1" si="27"/>
        <v/>
      </c>
      <c r="D92" s="22" t="str">
        <f t="shared" ca="1" si="28"/>
        <v/>
      </c>
      <c r="E92" s="22" t="str">
        <f t="shared" ca="1" si="29"/>
        <v/>
      </c>
      <c r="F92" s="23" t="str">
        <f t="shared" ca="1" si="30"/>
        <v/>
      </c>
      <c r="G92" s="23" t="str">
        <f t="shared" ca="1" si="31"/>
        <v/>
      </c>
      <c r="H92" s="22" t="str">
        <f t="shared" ca="1" si="32"/>
        <v/>
      </c>
      <c r="I92" s="24" t="str">
        <f t="shared" ca="1" si="33"/>
        <v/>
      </c>
      <c r="J92" s="24" t="str">
        <f t="shared" ca="1" si="34"/>
        <v/>
      </c>
      <c r="K92" s="24" t="str">
        <f t="shared" ca="1" si="35"/>
        <v/>
      </c>
      <c r="L92" s="24" t="str">
        <f t="shared" ca="1" si="36"/>
        <v/>
      </c>
      <c r="M92" s="24" t="str">
        <f t="shared" ca="1" si="37"/>
        <v/>
      </c>
      <c r="N92" s="24" t="str">
        <f t="shared" ca="1" si="38"/>
        <v/>
      </c>
      <c r="O92" s="21"/>
      <c r="P92" s="21"/>
    </row>
    <row r="93" spans="1:16" x14ac:dyDescent="0.25">
      <c r="A93" s="21"/>
      <c r="B93" s="22" t="str">
        <f t="shared" ca="1" si="26"/>
        <v/>
      </c>
      <c r="C93" s="22" t="str">
        <f t="shared" ca="1" si="27"/>
        <v/>
      </c>
      <c r="D93" s="22" t="str">
        <f t="shared" ca="1" si="28"/>
        <v/>
      </c>
      <c r="E93" s="22" t="str">
        <f t="shared" ca="1" si="29"/>
        <v/>
      </c>
      <c r="F93" s="23" t="str">
        <f t="shared" ca="1" si="30"/>
        <v/>
      </c>
      <c r="G93" s="23" t="str">
        <f t="shared" ca="1" si="31"/>
        <v/>
      </c>
      <c r="H93" s="22" t="str">
        <f t="shared" ca="1" si="32"/>
        <v/>
      </c>
      <c r="I93" s="24" t="str">
        <f t="shared" ca="1" si="33"/>
        <v/>
      </c>
      <c r="J93" s="24" t="str">
        <f t="shared" ca="1" si="34"/>
        <v/>
      </c>
      <c r="K93" s="24" t="str">
        <f t="shared" ca="1" si="35"/>
        <v/>
      </c>
      <c r="L93" s="24" t="str">
        <f t="shared" ca="1" si="36"/>
        <v/>
      </c>
      <c r="M93" s="24" t="str">
        <f t="shared" ca="1" si="37"/>
        <v/>
      </c>
      <c r="N93" s="24" t="str">
        <f t="shared" ca="1" si="38"/>
        <v/>
      </c>
      <c r="O93" s="21"/>
      <c r="P93" s="21"/>
    </row>
    <row r="94" spans="1:16" x14ac:dyDescent="0.25">
      <c r="A94" s="21"/>
      <c r="B94" s="22" t="str">
        <f t="shared" ca="1" si="26"/>
        <v/>
      </c>
      <c r="C94" s="22" t="str">
        <f t="shared" ca="1" si="27"/>
        <v/>
      </c>
      <c r="D94" s="22" t="str">
        <f t="shared" ca="1" si="28"/>
        <v/>
      </c>
      <c r="E94" s="22" t="str">
        <f t="shared" ca="1" si="29"/>
        <v/>
      </c>
      <c r="F94" s="23" t="str">
        <f t="shared" ca="1" si="30"/>
        <v/>
      </c>
      <c r="G94" s="23" t="str">
        <f t="shared" ca="1" si="31"/>
        <v/>
      </c>
      <c r="H94" s="22" t="str">
        <f t="shared" ca="1" si="32"/>
        <v/>
      </c>
      <c r="I94" s="24" t="str">
        <f t="shared" ca="1" si="33"/>
        <v/>
      </c>
      <c r="J94" s="24" t="str">
        <f t="shared" ca="1" si="34"/>
        <v/>
      </c>
      <c r="K94" s="24" t="str">
        <f t="shared" ca="1" si="35"/>
        <v/>
      </c>
      <c r="L94" s="24" t="str">
        <f t="shared" ca="1" si="36"/>
        <v/>
      </c>
      <c r="M94" s="24" t="str">
        <f t="shared" ca="1" si="37"/>
        <v/>
      </c>
      <c r="N94" s="24" t="str">
        <f t="shared" ca="1" si="38"/>
        <v/>
      </c>
      <c r="O94" s="21"/>
      <c r="P94" s="21"/>
    </row>
    <row r="95" spans="1:16" x14ac:dyDescent="0.25">
      <c r="A95" s="21"/>
      <c r="B95" s="22" t="str">
        <f t="shared" ca="1" si="26"/>
        <v/>
      </c>
      <c r="C95" s="22" t="str">
        <f t="shared" ca="1" si="27"/>
        <v/>
      </c>
      <c r="D95" s="22" t="str">
        <f t="shared" ca="1" si="28"/>
        <v/>
      </c>
      <c r="E95" s="22" t="str">
        <f t="shared" ca="1" si="29"/>
        <v/>
      </c>
      <c r="F95" s="23" t="str">
        <f t="shared" ca="1" si="30"/>
        <v/>
      </c>
      <c r="G95" s="23" t="str">
        <f t="shared" ca="1" si="31"/>
        <v/>
      </c>
      <c r="H95" s="22" t="str">
        <f t="shared" ca="1" si="32"/>
        <v/>
      </c>
      <c r="I95" s="24" t="str">
        <f t="shared" ca="1" si="33"/>
        <v/>
      </c>
      <c r="J95" s="24" t="str">
        <f t="shared" ca="1" si="34"/>
        <v/>
      </c>
      <c r="K95" s="24" t="str">
        <f t="shared" ca="1" si="35"/>
        <v/>
      </c>
      <c r="L95" s="24" t="str">
        <f t="shared" ca="1" si="36"/>
        <v/>
      </c>
      <c r="M95" s="24" t="str">
        <f t="shared" ca="1" si="37"/>
        <v/>
      </c>
      <c r="N95" s="24" t="str">
        <f t="shared" ca="1" si="38"/>
        <v/>
      </c>
      <c r="O95" s="21"/>
      <c r="P95" s="21"/>
    </row>
    <row r="96" spans="1:16" x14ac:dyDescent="0.25">
      <c r="A96" s="21"/>
      <c r="B96" s="22" t="str">
        <f t="shared" ca="1" si="26"/>
        <v/>
      </c>
      <c r="C96" s="22" t="str">
        <f t="shared" ca="1" si="27"/>
        <v/>
      </c>
      <c r="D96" s="22" t="str">
        <f t="shared" ca="1" si="28"/>
        <v/>
      </c>
      <c r="E96" s="22" t="str">
        <f t="shared" ca="1" si="29"/>
        <v/>
      </c>
      <c r="F96" s="23" t="str">
        <f t="shared" ca="1" si="30"/>
        <v/>
      </c>
      <c r="G96" s="23" t="str">
        <f t="shared" ca="1" si="31"/>
        <v/>
      </c>
      <c r="H96" s="22" t="str">
        <f t="shared" ca="1" si="32"/>
        <v/>
      </c>
      <c r="I96" s="24" t="str">
        <f t="shared" ca="1" si="33"/>
        <v/>
      </c>
      <c r="J96" s="24" t="str">
        <f t="shared" ca="1" si="34"/>
        <v/>
      </c>
      <c r="K96" s="24" t="str">
        <f t="shared" ca="1" si="35"/>
        <v/>
      </c>
      <c r="L96" s="24" t="str">
        <f t="shared" ca="1" si="36"/>
        <v/>
      </c>
      <c r="M96" s="24" t="str">
        <f t="shared" ca="1" si="37"/>
        <v/>
      </c>
      <c r="N96" s="24" t="str">
        <f t="shared" ca="1" si="38"/>
        <v/>
      </c>
      <c r="O96" s="21"/>
      <c r="P96" s="21"/>
    </row>
    <row r="97" spans="1:16" x14ac:dyDescent="0.25">
      <c r="A97" s="21"/>
      <c r="B97" s="22" t="str">
        <f t="shared" ca="1" si="26"/>
        <v/>
      </c>
      <c r="C97" s="22" t="str">
        <f t="shared" ca="1" si="27"/>
        <v/>
      </c>
      <c r="D97" s="22" t="str">
        <f t="shared" ca="1" si="28"/>
        <v/>
      </c>
      <c r="E97" s="22" t="str">
        <f t="shared" ca="1" si="29"/>
        <v/>
      </c>
      <c r="F97" s="23" t="str">
        <f t="shared" ca="1" si="30"/>
        <v/>
      </c>
      <c r="G97" s="23" t="str">
        <f t="shared" ca="1" si="31"/>
        <v/>
      </c>
      <c r="H97" s="22" t="str">
        <f t="shared" ca="1" si="32"/>
        <v/>
      </c>
      <c r="I97" s="24" t="str">
        <f t="shared" ca="1" si="33"/>
        <v/>
      </c>
      <c r="J97" s="24" t="str">
        <f t="shared" ca="1" si="34"/>
        <v/>
      </c>
      <c r="K97" s="24" t="str">
        <f t="shared" ca="1" si="35"/>
        <v/>
      </c>
      <c r="L97" s="24" t="str">
        <f t="shared" ca="1" si="36"/>
        <v/>
      </c>
      <c r="M97" s="24" t="str">
        <f t="shared" ca="1" si="37"/>
        <v/>
      </c>
      <c r="N97" s="24" t="str">
        <f t="shared" ca="1" si="38"/>
        <v/>
      </c>
      <c r="O97" s="21"/>
      <c r="P97" s="21"/>
    </row>
    <row r="98" spans="1:16" x14ac:dyDescent="0.25">
      <c r="A98" s="21"/>
      <c r="B98" s="22" t="str">
        <f t="shared" ca="1" si="26"/>
        <v/>
      </c>
      <c r="C98" s="22" t="str">
        <f t="shared" ca="1" si="27"/>
        <v/>
      </c>
      <c r="D98" s="22" t="str">
        <f t="shared" ca="1" si="28"/>
        <v/>
      </c>
      <c r="E98" s="22" t="str">
        <f t="shared" ca="1" si="29"/>
        <v/>
      </c>
      <c r="F98" s="23" t="str">
        <f t="shared" ca="1" si="30"/>
        <v/>
      </c>
      <c r="G98" s="23" t="str">
        <f t="shared" ca="1" si="31"/>
        <v/>
      </c>
      <c r="H98" s="22" t="str">
        <f t="shared" ca="1" si="32"/>
        <v/>
      </c>
      <c r="I98" s="24" t="str">
        <f t="shared" ca="1" si="33"/>
        <v/>
      </c>
      <c r="J98" s="24" t="str">
        <f t="shared" ca="1" si="34"/>
        <v/>
      </c>
      <c r="K98" s="24" t="str">
        <f t="shared" ca="1" si="35"/>
        <v/>
      </c>
      <c r="L98" s="24" t="str">
        <f t="shared" ca="1" si="36"/>
        <v/>
      </c>
      <c r="M98" s="24" t="str">
        <f t="shared" ca="1" si="37"/>
        <v/>
      </c>
      <c r="N98" s="24" t="str">
        <f t="shared" ca="1" si="38"/>
        <v/>
      </c>
      <c r="O98" s="21"/>
      <c r="P98" s="21"/>
    </row>
    <row r="99" spans="1:16" x14ac:dyDescent="0.25">
      <c r="A99" s="21"/>
      <c r="B99" s="22" t="str">
        <f t="shared" ca="1" si="26"/>
        <v/>
      </c>
      <c r="C99" s="22" t="str">
        <f t="shared" ca="1" si="27"/>
        <v/>
      </c>
      <c r="D99" s="22" t="str">
        <f t="shared" ca="1" si="28"/>
        <v/>
      </c>
      <c r="E99" s="22" t="str">
        <f t="shared" ca="1" si="29"/>
        <v/>
      </c>
      <c r="F99" s="23" t="str">
        <f t="shared" ca="1" si="30"/>
        <v/>
      </c>
      <c r="G99" s="23" t="str">
        <f t="shared" ca="1" si="31"/>
        <v/>
      </c>
      <c r="H99" s="22" t="str">
        <f t="shared" ca="1" si="32"/>
        <v/>
      </c>
      <c r="I99" s="24" t="str">
        <f t="shared" ca="1" si="33"/>
        <v/>
      </c>
      <c r="J99" s="24" t="str">
        <f t="shared" ca="1" si="34"/>
        <v/>
      </c>
      <c r="K99" s="24" t="str">
        <f t="shared" ca="1" si="35"/>
        <v/>
      </c>
      <c r="L99" s="24" t="str">
        <f t="shared" ca="1" si="36"/>
        <v/>
      </c>
      <c r="M99" s="24" t="str">
        <f t="shared" ca="1" si="37"/>
        <v/>
      </c>
      <c r="N99" s="24" t="str">
        <f t="shared" ca="1" si="38"/>
        <v/>
      </c>
      <c r="O99" s="21"/>
      <c r="P99" s="21"/>
    </row>
    <row r="100" spans="1:16" x14ac:dyDescent="0.25">
      <c r="A100" s="21"/>
      <c r="B100" s="22" t="str">
        <f t="shared" ca="1" si="26"/>
        <v/>
      </c>
      <c r="C100" s="22" t="str">
        <f t="shared" ca="1" si="27"/>
        <v/>
      </c>
      <c r="D100" s="22" t="str">
        <f t="shared" ca="1" si="28"/>
        <v/>
      </c>
      <c r="E100" s="22" t="str">
        <f t="shared" ca="1" si="29"/>
        <v/>
      </c>
      <c r="F100" s="23" t="str">
        <f t="shared" ca="1" si="30"/>
        <v/>
      </c>
      <c r="G100" s="23" t="str">
        <f t="shared" ca="1" si="31"/>
        <v/>
      </c>
      <c r="H100" s="22" t="str">
        <f t="shared" ca="1" si="32"/>
        <v/>
      </c>
      <c r="I100" s="24" t="str">
        <f t="shared" ca="1" si="33"/>
        <v/>
      </c>
      <c r="J100" s="24" t="str">
        <f t="shared" ca="1" si="34"/>
        <v/>
      </c>
      <c r="K100" s="24" t="str">
        <f t="shared" ca="1" si="35"/>
        <v/>
      </c>
      <c r="L100" s="24" t="str">
        <f t="shared" ca="1" si="36"/>
        <v/>
      </c>
      <c r="M100" s="24" t="str">
        <f t="shared" ca="1" si="37"/>
        <v/>
      </c>
      <c r="N100" s="24" t="str">
        <f t="shared" ca="1" si="38"/>
        <v/>
      </c>
      <c r="O100" s="21"/>
      <c r="P100" s="21"/>
    </row>
    <row r="101" spans="1:16" x14ac:dyDescent="0.25">
      <c r="A101" s="21"/>
      <c r="B101" s="22" t="str">
        <f t="shared" ca="1" si="26"/>
        <v/>
      </c>
      <c r="C101" s="22" t="str">
        <f t="shared" ca="1" si="27"/>
        <v/>
      </c>
      <c r="D101" s="22" t="str">
        <f t="shared" ca="1" si="28"/>
        <v/>
      </c>
      <c r="E101" s="22" t="str">
        <f t="shared" ca="1" si="29"/>
        <v/>
      </c>
      <c r="F101" s="23" t="str">
        <f t="shared" ca="1" si="30"/>
        <v/>
      </c>
      <c r="G101" s="23" t="str">
        <f t="shared" ca="1" si="31"/>
        <v/>
      </c>
      <c r="H101" s="22" t="str">
        <f t="shared" ca="1" si="32"/>
        <v/>
      </c>
      <c r="I101" s="24" t="str">
        <f t="shared" ca="1" si="33"/>
        <v/>
      </c>
      <c r="J101" s="24" t="str">
        <f t="shared" ca="1" si="34"/>
        <v/>
      </c>
      <c r="K101" s="24" t="str">
        <f t="shared" ca="1" si="35"/>
        <v/>
      </c>
      <c r="L101" s="24" t="str">
        <f t="shared" ca="1" si="36"/>
        <v/>
      </c>
      <c r="M101" s="24" t="str">
        <f t="shared" ca="1" si="37"/>
        <v/>
      </c>
      <c r="N101" s="24" t="str">
        <f t="shared" ca="1" si="38"/>
        <v/>
      </c>
      <c r="O101" s="21"/>
      <c r="P101" s="21"/>
    </row>
    <row r="102" spans="1:16" x14ac:dyDescent="0.25">
      <c r="A102" s="21"/>
      <c r="B102" s="22" t="str">
        <f t="shared" ca="1" si="26"/>
        <v/>
      </c>
      <c r="C102" s="22" t="str">
        <f t="shared" ca="1" si="27"/>
        <v/>
      </c>
      <c r="D102" s="22" t="str">
        <f t="shared" ca="1" si="28"/>
        <v/>
      </c>
      <c r="E102" s="22" t="str">
        <f t="shared" ca="1" si="29"/>
        <v/>
      </c>
      <c r="F102" s="23" t="str">
        <f t="shared" ca="1" si="30"/>
        <v/>
      </c>
      <c r="G102" s="23" t="str">
        <f t="shared" ca="1" si="31"/>
        <v/>
      </c>
      <c r="H102" s="22" t="str">
        <f t="shared" ca="1" si="32"/>
        <v/>
      </c>
      <c r="I102" s="24" t="str">
        <f t="shared" ca="1" si="33"/>
        <v/>
      </c>
      <c r="J102" s="24" t="str">
        <f t="shared" ca="1" si="34"/>
        <v/>
      </c>
      <c r="K102" s="24" t="str">
        <f t="shared" ca="1" si="35"/>
        <v/>
      </c>
      <c r="L102" s="24" t="str">
        <f t="shared" ca="1" si="36"/>
        <v/>
      </c>
      <c r="M102" s="24" t="str">
        <f t="shared" ca="1" si="37"/>
        <v/>
      </c>
      <c r="N102" s="24" t="str">
        <f t="shared" ca="1" si="38"/>
        <v/>
      </c>
      <c r="O102" s="21"/>
      <c r="P102" s="21"/>
    </row>
    <row r="103" spans="1:16" x14ac:dyDescent="0.25">
      <c r="A103" s="21"/>
      <c r="B103" s="22" t="str">
        <f t="shared" ca="1" si="26"/>
        <v/>
      </c>
      <c r="C103" s="22" t="str">
        <f t="shared" ca="1" si="27"/>
        <v/>
      </c>
      <c r="D103" s="22" t="str">
        <f t="shared" ca="1" si="28"/>
        <v/>
      </c>
      <c r="E103" s="22" t="str">
        <f t="shared" ca="1" si="29"/>
        <v/>
      </c>
      <c r="F103" s="23" t="str">
        <f t="shared" ca="1" si="30"/>
        <v/>
      </c>
      <c r="G103" s="23" t="str">
        <f t="shared" ca="1" si="31"/>
        <v/>
      </c>
      <c r="H103" s="22" t="str">
        <f t="shared" ca="1" si="32"/>
        <v/>
      </c>
      <c r="I103" s="24" t="str">
        <f t="shared" ca="1" si="33"/>
        <v/>
      </c>
      <c r="J103" s="24" t="str">
        <f t="shared" ca="1" si="34"/>
        <v/>
      </c>
      <c r="K103" s="24" t="str">
        <f t="shared" ca="1" si="35"/>
        <v/>
      </c>
      <c r="L103" s="24" t="str">
        <f t="shared" ca="1" si="36"/>
        <v/>
      </c>
      <c r="M103" s="24" t="str">
        <f t="shared" ca="1" si="37"/>
        <v/>
      </c>
      <c r="N103" s="24" t="str">
        <f t="shared" ca="1" si="38"/>
        <v/>
      </c>
      <c r="O103" s="21"/>
      <c r="P103" s="21"/>
    </row>
    <row r="104" spans="1:16" x14ac:dyDescent="0.25">
      <c r="A104" s="21"/>
      <c r="B104" s="22" t="str">
        <f t="shared" ca="1" si="26"/>
        <v/>
      </c>
      <c r="C104" s="22" t="str">
        <f t="shared" ca="1" si="27"/>
        <v/>
      </c>
      <c r="D104" s="22" t="str">
        <f t="shared" ca="1" si="28"/>
        <v/>
      </c>
      <c r="E104" s="22" t="str">
        <f t="shared" ca="1" si="29"/>
        <v/>
      </c>
      <c r="F104" s="23" t="str">
        <f t="shared" ca="1" si="30"/>
        <v/>
      </c>
      <c r="G104" s="23" t="str">
        <f t="shared" ca="1" si="31"/>
        <v/>
      </c>
      <c r="H104" s="22" t="str">
        <f t="shared" ca="1" si="32"/>
        <v/>
      </c>
      <c r="I104" s="24" t="str">
        <f t="shared" ca="1" si="33"/>
        <v/>
      </c>
      <c r="J104" s="24" t="str">
        <f t="shared" ca="1" si="34"/>
        <v/>
      </c>
      <c r="K104" s="24" t="str">
        <f t="shared" ca="1" si="35"/>
        <v/>
      </c>
      <c r="L104" s="24" t="str">
        <f t="shared" ca="1" si="36"/>
        <v/>
      </c>
      <c r="M104" s="24" t="str">
        <f t="shared" ca="1" si="37"/>
        <v/>
      </c>
      <c r="N104" s="24" t="str">
        <f t="shared" ca="1" si="38"/>
        <v/>
      </c>
      <c r="O104" s="21"/>
      <c r="P104" s="21"/>
    </row>
  </sheetData>
  <autoFilter ref="A4:P104" xr:uid="{00000000-0009-0000-0000-000002000000}"/>
  <conditionalFormatting sqref="A5:P104">
    <cfRule type="expression" dxfId="92" priority="2">
      <formula>OR($B5="Tab not found",$I5="Tab not found")</formula>
    </cfRule>
  </conditionalFormatting>
  <conditionalFormatting sqref="L5:L104">
    <cfRule type="cellIs" dxfId="91" priority="3" operator="greaterThan">
      <formula>0</formula>
    </cfRule>
  </conditionalFormatting>
  <conditionalFormatting sqref="M5:M104">
    <cfRule type="cellIs" dxfId="90" priority="4" operator="greaterThan">
      <formula>0</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15C00"/>
  </sheetPr>
  <dimension ref="A1:AI64"/>
  <sheetViews>
    <sheetView showGridLines="0" zoomScaleNormal="100" workbookViewId="0">
      <pane xSplit="1" ySplit="14" topLeftCell="B15" activePane="bottomRight" state="frozen"/>
      <selection pane="topRight" activeCell="B1" sqref="B1"/>
      <selection pane="bottomLeft" activeCell="A15" sqref="A15"/>
      <selection pane="bottomRight"/>
    </sheetView>
  </sheetViews>
  <sheetFormatPr defaultColWidth="8.7109375" defaultRowHeight="15" x14ac:dyDescent="0.25"/>
  <cols>
    <col min="1" max="1" width="30" customWidth="1"/>
    <col min="2" max="2" width="11" customWidth="1"/>
    <col min="3" max="3" width="20" customWidth="1"/>
    <col min="4" max="4" width="26" customWidth="1"/>
    <col min="5" max="5" width="16" customWidth="1"/>
    <col min="6" max="6" width="18" customWidth="1"/>
    <col min="7" max="7" width="12" customWidth="1"/>
    <col min="8" max="8" width="24" customWidth="1"/>
    <col min="9" max="9" width="12" customWidth="1"/>
    <col min="10" max="10" width="16" customWidth="1"/>
    <col min="11" max="11" width="24" customWidth="1"/>
    <col min="12" max="12" width="13" customWidth="1"/>
    <col min="13" max="13" width="24" customWidth="1"/>
    <col min="14" max="14" width="13" customWidth="1"/>
    <col min="15" max="15" width="24" customWidth="1"/>
    <col min="16" max="16" width="13" customWidth="1"/>
    <col min="17" max="17" width="24" customWidth="1"/>
    <col min="18" max="18" width="13" customWidth="1"/>
    <col min="19" max="19" width="24" customWidth="1"/>
    <col min="20" max="20" width="13" customWidth="1"/>
    <col min="21" max="21" width="24" customWidth="1"/>
    <col min="22" max="22" width="13" customWidth="1"/>
    <col min="23" max="23" width="24" customWidth="1"/>
    <col min="24" max="24" width="13" customWidth="1"/>
    <col min="25" max="25" width="24" customWidth="1"/>
    <col min="26" max="26" width="13" customWidth="1"/>
    <col min="27" max="27" width="24" customWidth="1"/>
    <col min="28" max="28" width="13" customWidth="1"/>
    <col min="29" max="29" width="24" customWidth="1"/>
    <col min="30" max="30" width="13" customWidth="1"/>
    <col min="31" max="31" width="32" customWidth="1"/>
    <col min="32" max="32" width="18" customWidth="1"/>
    <col min="33" max="33" width="14" customWidth="1"/>
    <col min="34" max="34" width="11" customWidth="1"/>
    <col min="35" max="35" width="36" customWidth="1"/>
  </cols>
  <sheetData>
    <row r="1" spans="1:35" ht="20.25" x14ac:dyDescent="0.3">
      <c r="A1" s="6" t="str">
        <f>IF(C3="","RFI Activity (new - fill in the yellow cells)",C3&amp;" | "&amp;C6)</f>
        <v>RFI-001 | EXAMPLE - BESS equipment RFI (repurpose or delete)</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x14ac:dyDescent="0.25">
      <c r="A2" s="8" t="s">
        <v>119</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3" spans="1:35" x14ac:dyDescent="0.25">
      <c r="A3" s="7"/>
      <c r="B3" s="25" t="s">
        <v>120</v>
      </c>
      <c r="C3" s="5" t="s">
        <v>17</v>
      </c>
      <c r="D3" s="5"/>
      <c r="E3" s="5"/>
      <c r="F3" s="7"/>
      <c r="G3" s="7"/>
      <c r="H3" s="26" t="s">
        <v>78</v>
      </c>
      <c r="I3" s="27">
        <f>COUNTA($A$15:$A$64)</f>
        <v>10</v>
      </c>
      <c r="J3" s="7"/>
      <c r="K3" s="7"/>
      <c r="L3" s="7"/>
      <c r="M3" s="7"/>
      <c r="N3" s="7"/>
      <c r="O3" s="7"/>
      <c r="P3" s="7"/>
      <c r="Q3" s="7"/>
      <c r="R3" s="7"/>
      <c r="S3" s="7"/>
      <c r="T3" s="7"/>
      <c r="U3" s="7"/>
      <c r="V3" s="7"/>
      <c r="W3" s="7"/>
      <c r="X3" s="7"/>
      <c r="Y3" s="7"/>
      <c r="Z3" s="7"/>
      <c r="AA3" s="7"/>
      <c r="AB3" s="7"/>
      <c r="AC3" s="7"/>
      <c r="AD3" s="7"/>
      <c r="AE3" s="7"/>
      <c r="AF3" s="7"/>
      <c r="AG3" s="7"/>
      <c r="AH3" s="7"/>
      <c r="AI3" s="7"/>
    </row>
    <row r="4" spans="1:35" x14ac:dyDescent="0.25">
      <c r="A4" s="7"/>
      <c r="B4" s="25" t="s">
        <v>105</v>
      </c>
      <c r="C4" s="5" t="s">
        <v>121</v>
      </c>
      <c r="D4" s="5"/>
      <c r="E4" s="5"/>
      <c r="F4" s="7"/>
      <c r="G4" s="7"/>
      <c r="H4" s="26" t="s">
        <v>79</v>
      </c>
      <c r="I4" s="27">
        <f>COUNTIFS($A$15:$A$64,"&lt;&gt;",$F$15:$F$64,"&lt;&gt;Not Sent",$F$15:$F$64,"&lt;&gt;")</f>
        <v>0</v>
      </c>
      <c r="J4" s="7"/>
      <c r="K4" s="7"/>
      <c r="L4" s="7"/>
      <c r="M4" s="7"/>
      <c r="N4" s="7"/>
      <c r="O4" s="7"/>
      <c r="P4" s="7"/>
      <c r="Q4" s="7"/>
      <c r="R4" s="7"/>
      <c r="S4" s="7"/>
      <c r="T4" s="7"/>
      <c r="U4" s="7"/>
      <c r="V4" s="7"/>
      <c r="W4" s="7"/>
      <c r="X4" s="7"/>
      <c r="Y4" s="7"/>
      <c r="Z4" s="7"/>
      <c r="AA4" s="7"/>
      <c r="AB4" s="7"/>
      <c r="AC4" s="7"/>
      <c r="AD4" s="7"/>
      <c r="AE4" s="7"/>
      <c r="AF4" s="7"/>
      <c r="AG4" s="7"/>
      <c r="AH4" s="7"/>
      <c r="AI4" s="7"/>
    </row>
    <row r="5" spans="1:35" x14ac:dyDescent="0.25">
      <c r="A5" s="7"/>
      <c r="B5" s="25" t="s">
        <v>84</v>
      </c>
      <c r="C5" s="5" t="s">
        <v>98</v>
      </c>
      <c r="D5" s="5"/>
      <c r="E5" s="5"/>
      <c r="F5" s="7"/>
      <c r="G5" s="7"/>
      <c r="H5" s="26" t="s">
        <v>122</v>
      </c>
      <c r="I5" s="27">
        <f>COUNTIF($F$15:$F$64,"Response Received")+COUNTIF($F$15:$F$64,"Under Review")+COUNTIF($F$15:$F$64,"Complete")</f>
        <v>0</v>
      </c>
      <c r="J5" s="7"/>
      <c r="K5" s="7"/>
      <c r="L5" s="7"/>
      <c r="M5" s="7"/>
      <c r="N5" s="7"/>
      <c r="O5" s="7"/>
      <c r="P5" s="7"/>
      <c r="Q5" s="7"/>
      <c r="R5" s="7"/>
      <c r="S5" s="7"/>
      <c r="T5" s="7"/>
      <c r="U5" s="7"/>
      <c r="V5" s="7"/>
      <c r="W5" s="7"/>
      <c r="X5" s="7"/>
      <c r="Y5" s="7"/>
      <c r="Z5" s="7"/>
      <c r="AA5" s="7"/>
      <c r="AB5" s="7"/>
      <c r="AC5" s="7"/>
      <c r="AD5" s="7"/>
      <c r="AE5" s="7"/>
      <c r="AF5" s="7"/>
      <c r="AG5" s="7"/>
      <c r="AH5" s="7"/>
      <c r="AI5" s="7"/>
    </row>
    <row r="6" spans="1:35" x14ac:dyDescent="0.25">
      <c r="A6" s="7"/>
      <c r="B6" s="25" t="s">
        <v>108</v>
      </c>
      <c r="C6" s="5" t="s">
        <v>123</v>
      </c>
      <c r="D6" s="5"/>
      <c r="E6" s="5"/>
      <c r="F6" s="7"/>
      <c r="G6" s="7"/>
      <c r="H6" s="26" t="s">
        <v>124</v>
      </c>
      <c r="I6" s="27">
        <f>COUNTIF($F$15:$F$64,"Declined")+COUNTIF($F$15:$F$64,"No Response")</f>
        <v>0</v>
      </c>
      <c r="J6" s="7"/>
      <c r="K6" s="7"/>
      <c r="L6" s="7"/>
      <c r="M6" s="7"/>
      <c r="N6" s="7"/>
      <c r="O6" s="7"/>
      <c r="P6" s="7"/>
      <c r="Q6" s="7"/>
      <c r="R6" s="7"/>
      <c r="S6" s="7"/>
      <c r="T6" s="7"/>
      <c r="U6" s="7"/>
      <c r="V6" s="7"/>
      <c r="W6" s="7"/>
      <c r="X6" s="7"/>
      <c r="Y6" s="7"/>
      <c r="Z6" s="7"/>
      <c r="AA6" s="7"/>
      <c r="AB6" s="7"/>
      <c r="AC6" s="7"/>
      <c r="AD6" s="7"/>
      <c r="AE6" s="7"/>
      <c r="AF6" s="7"/>
      <c r="AG6" s="7"/>
      <c r="AH6" s="7"/>
      <c r="AI6" s="7"/>
    </row>
    <row r="7" spans="1:35" x14ac:dyDescent="0.25">
      <c r="A7" s="7"/>
      <c r="B7" s="25" t="s">
        <v>109</v>
      </c>
      <c r="C7" s="5" t="s">
        <v>125</v>
      </c>
      <c r="D7" s="5"/>
      <c r="E7" s="5"/>
      <c r="F7" s="7"/>
      <c r="G7" s="7"/>
      <c r="H7" s="26" t="s">
        <v>81</v>
      </c>
      <c r="I7" s="27">
        <f ca="1">COUNTIF($AH$15:$AH$64,"OVERDUE")</f>
        <v>0</v>
      </c>
      <c r="J7" s="7"/>
      <c r="K7" s="7"/>
      <c r="L7" s="7"/>
      <c r="M7" s="7"/>
      <c r="N7" s="7"/>
      <c r="O7" s="7"/>
      <c r="P7" s="7"/>
      <c r="Q7" s="7"/>
      <c r="R7" s="7"/>
      <c r="S7" s="7"/>
      <c r="T7" s="7"/>
      <c r="U7" s="7"/>
      <c r="V7" s="7"/>
      <c r="W7" s="7"/>
      <c r="X7" s="7"/>
      <c r="Y7" s="7"/>
      <c r="Z7" s="7"/>
      <c r="AA7" s="7"/>
      <c r="AB7" s="7"/>
      <c r="AC7" s="7"/>
      <c r="AD7" s="7"/>
      <c r="AE7" s="7"/>
      <c r="AF7" s="7"/>
      <c r="AG7" s="7"/>
      <c r="AH7" s="7"/>
      <c r="AI7" s="7"/>
    </row>
    <row r="8" spans="1:35" x14ac:dyDescent="0.25">
      <c r="A8" s="7"/>
      <c r="B8" s="25" t="s">
        <v>110</v>
      </c>
      <c r="C8" s="4"/>
      <c r="D8" s="4"/>
      <c r="E8" s="4"/>
      <c r="F8" s="7"/>
      <c r="G8" s="7"/>
      <c r="H8" s="26" t="s">
        <v>126</v>
      </c>
      <c r="I8" s="27">
        <f>COUNTIF($L$15:$L$64,"Review / Risk")+COUNTIF($N$15:$N$64,"Review / Risk")+COUNTIF($P$15:$P$64,"Review / Risk")+COUNTIF($R$15:$R$64,"Review / Risk")+COUNTIF($T$15:$T$64,"Review / Risk")+COUNTIF($V$15:$V$64,"Review / Risk")+COUNTIF($X$15:$X$64,"Review / Risk")+COUNTIF($Z$15:$Z$64,"Review / Risk")+COUNTIF($AB$15:$AB$64,"Review / Risk")+COUNTIF($AD$15:$AD$64,"Review / Risk")</f>
        <v>9</v>
      </c>
      <c r="J8" s="7"/>
      <c r="K8" s="7"/>
      <c r="L8" s="7"/>
      <c r="M8" s="7"/>
      <c r="N8" s="7"/>
      <c r="O8" s="7"/>
      <c r="P8" s="7"/>
      <c r="Q8" s="7"/>
      <c r="R8" s="7"/>
      <c r="S8" s="7"/>
      <c r="T8" s="7"/>
      <c r="U8" s="7"/>
      <c r="V8" s="7"/>
      <c r="W8" s="7"/>
      <c r="X8" s="7"/>
      <c r="Y8" s="7"/>
      <c r="Z8" s="7"/>
      <c r="AA8" s="7"/>
      <c r="AB8" s="7"/>
      <c r="AC8" s="7"/>
      <c r="AD8" s="7"/>
      <c r="AE8" s="7"/>
      <c r="AF8" s="7"/>
      <c r="AG8" s="7"/>
      <c r="AH8" s="7"/>
      <c r="AI8" s="7"/>
    </row>
    <row r="9" spans="1:35" x14ac:dyDescent="0.25">
      <c r="A9" s="7"/>
      <c r="B9" s="25" t="s">
        <v>111</v>
      </c>
      <c r="C9" s="4"/>
      <c r="D9" s="4"/>
      <c r="E9" s="4"/>
      <c r="F9" s="7"/>
      <c r="G9" s="7"/>
      <c r="H9" s="26" t="s">
        <v>127</v>
      </c>
      <c r="I9" s="27">
        <f>COUNTIF($L$15:$L$64,"Fails")+COUNTIF($N$15:$N$64,"Fails")+COUNTIF($P$15:$P$64,"Fails")+COUNTIF($R$15:$R$64,"Fails")+COUNTIF($T$15:$T$64,"Fails")+COUNTIF($V$15:$V$64,"Fails")+COUNTIF($X$15:$X$64,"Fails")+COUNTIF($Z$15:$Z$64,"Fails")+COUNTIF($AB$15:$AB$64,"Fails")+COUNTIF($AD$15:$AD$64,"Fails")</f>
        <v>0</v>
      </c>
      <c r="J9" s="7"/>
      <c r="K9" s="7"/>
      <c r="L9" s="7"/>
      <c r="M9" s="7"/>
      <c r="N9" s="7"/>
      <c r="O9" s="7"/>
      <c r="P9" s="7"/>
      <c r="Q9" s="7"/>
      <c r="R9" s="7"/>
      <c r="S9" s="7"/>
      <c r="T9" s="7"/>
      <c r="U9" s="7"/>
      <c r="V9" s="7"/>
      <c r="W9" s="7"/>
      <c r="X9" s="7"/>
      <c r="Y9" s="7"/>
      <c r="Z9" s="7"/>
      <c r="AA9" s="7"/>
      <c r="AB9" s="7"/>
      <c r="AC9" s="7"/>
      <c r="AD9" s="7"/>
      <c r="AE9" s="7"/>
      <c r="AF9" s="7"/>
      <c r="AG9" s="7"/>
      <c r="AH9" s="7"/>
      <c r="AI9" s="7"/>
    </row>
    <row r="10" spans="1:35" x14ac:dyDescent="0.25">
      <c r="A10" s="7"/>
      <c r="B10" s="25" t="s">
        <v>112</v>
      </c>
      <c r="C10" s="5" t="s">
        <v>128</v>
      </c>
      <c r="D10" s="5"/>
      <c r="E10" s="5"/>
      <c r="F10" s="7"/>
      <c r="G10" s="7"/>
      <c r="H10" s="26" t="s">
        <v>129</v>
      </c>
      <c r="I10" s="27" t="str">
        <f ca="1">IF(C9="","",C9-TODAY())</f>
        <v/>
      </c>
      <c r="J10" s="7"/>
      <c r="K10" s="7"/>
      <c r="L10" s="7"/>
      <c r="M10" s="7"/>
      <c r="N10" s="7"/>
      <c r="O10" s="7"/>
      <c r="P10" s="7"/>
      <c r="Q10" s="7"/>
      <c r="R10" s="7"/>
      <c r="S10" s="7"/>
      <c r="T10" s="7"/>
      <c r="U10" s="7"/>
      <c r="V10" s="7"/>
      <c r="W10" s="7"/>
      <c r="X10" s="7"/>
      <c r="Y10" s="7"/>
      <c r="Z10" s="7"/>
      <c r="AA10" s="7"/>
      <c r="AB10" s="7"/>
      <c r="AC10" s="7"/>
      <c r="AD10" s="7"/>
      <c r="AE10" s="7"/>
      <c r="AF10" s="7"/>
      <c r="AG10" s="7"/>
      <c r="AH10" s="7"/>
      <c r="AI10" s="7"/>
    </row>
    <row r="11" spans="1:35"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spans="1:35" ht="15" customHeight="1" x14ac:dyDescent="0.25">
      <c r="A12" s="3" t="s">
        <v>130</v>
      </c>
      <c r="B12" s="3"/>
      <c r="C12" s="3"/>
      <c r="D12" s="3"/>
      <c r="E12" s="3"/>
      <c r="F12" s="3" t="s">
        <v>131</v>
      </c>
      <c r="G12" s="3"/>
      <c r="H12" s="3"/>
      <c r="I12" s="3"/>
      <c r="J12" s="3"/>
      <c r="K12" s="3" t="str">
        <f>"KEY ITEMS - "&amp;IF($C$5="","pick a Vendor Type in C5",UPPER($C$5))</f>
        <v>KEY ITEMS - BESS EQUIPMENT</v>
      </c>
      <c r="L12" s="3"/>
      <c r="M12" s="3"/>
      <c r="N12" s="3"/>
      <c r="O12" s="3"/>
      <c r="P12" s="3"/>
      <c r="Q12" s="3"/>
      <c r="R12" s="3"/>
      <c r="S12" s="3"/>
      <c r="T12" s="3"/>
      <c r="U12" s="3"/>
      <c r="V12" s="3"/>
      <c r="W12" s="3"/>
      <c r="X12" s="3"/>
      <c r="Y12" s="3"/>
      <c r="Z12" s="3"/>
      <c r="AA12" s="3"/>
      <c r="AB12" s="3"/>
      <c r="AC12" s="3"/>
      <c r="AD12" s="3"/>
      <c r="AE12" s="3" t="s">
        <v>132</v>
      </c>
      <c r="AF12" s="3"/>
      <c r="AG12" s="3"/>
      <c r="AH12" s="3"/>
      <c r="AI12" s="3"/>
    </row>
    <row r="13" spans="1:35" ht="43.5" customHeight="1" x14ac:dyDescent="0.25">
      <c r="A13" s="2" t="s">
        <v>133</v>
      </c>
      <c r="B13" s="2" t="s">
        <v>134</v>
      </c>
      <c r="C13" s="2" t="s">
        <v>135</v>
      </c>
      <c r="D13" s="2" t="s">
        <v>136</v>
      </c>
      <c r="E13" s="2" t="s">
        <v>137</v>
      </c>
      <c r="F13" s="2" t="s">
        <v>138</v>
      </c>
      <c r="G13" s="2" t="s">
        <v>139</v>
      </c>
      <c r="H13" s="2" t="s">
        <v>140</v>
      </c>
      <c r="I13" s="2" t="s">
        <v>141</v>
      </c>
      <c r="J13" s="2" t="s">
        <v>142</v>
      </c>
      <c r="K13" s="1" t="str">
        <f>IF($C$5="","Key item 1",IFERROR(IF(INDEX('Key Items'!$B$5:$O$14,1,MATCH($C$5,'Key Items'!$B$4:$O$4,0))="","Key item 1 (spare - type a name)",INDEX('Key Items'!$B$5:$O$14,1,MATCH($C$5,'Key Items'!$B$4:$O$4,0))),"Key item 1"))</f>
        <v>Lead time (weeks ARO)</v>
      </c>
      <c r="L13" s="1"/>
      <c r="M13" s="1" t="str">
        <f>IF($C$5="","Key item 2",IFERROR(IF(INDEX('Key Items'!$B$5:$O$14,2,MATCH($C$5,'Key Items'!$B$4:$O$4,0))="","Key item 2 (spare - type a name)",INDEX('Key Items'!$B$5:$O$14,2,MATCH($C$5,'Key Items'!$B$4:$O$4,0))),"Key item 2"))</f>
        <v>FEOC compliance</v>
      </c>
      <c r="N13" s="1"/>
      <c r="O13" s="1" t="str">
        <f>IF($C$5="","Key item 3",IFERROR(IF(INDEX('Key Items'!$B$5:$O$14,3,MATCH($C$5,'Key Items'!$B$4:$O$4,0))="","Key item 3 (spare - type a name)",INDEX('Key Items'!$B$5:$O$14,3,MATCH($C$5,'Key Items'!$B$4:$O$4,0))),"Key item 3"))</f>
        <v>Cell chemistry &amp; cell / module origin</v>
      </c>
      <c r="P13" s="1"/>
      <c r="Q13" s="1" t="str">
        <f>IF($C$5="","Key item 4",IFERROR(IF(INDEX('Key Items'!$B$5:$O$14,4,MATCH($C$5,'Key Items'!$B$4:$O$4,0))="","Key item 4 (spare - type a name)",INDEX('Key Items'!$B$5:$O$14,4,MATCH($C$5,'Key Items'!$B$4:$O$4,0))),"Key item 4"))</f>
        <v>Certifications (UL 9540, UL 9540A, NFPA 855)</v>
      </c>
      <c r="R13" s="1"/>
      <c r="S13" s="1" t="str">
        <f>IF($C$5="","Key item 5",IFERROR(IF(INDEX('Key Items'!$B$5:$O$14,5,MATCH($C$5,'Key Items'!$B$4:$O$4,0))="","Key item 5 (spare - type a name)",INDEX('Key Items'!$B$5:$O$14,5,MATCH($C$5,'Key Items'!$B$4:$O$4,0))),"Key item 5"))</f>
        <v>Warranty &amp; performance guarantee</v>
      </c>
      <c r="T13" s="1"/>
      <c r="U13" s="1" t="str">
        <f>IF($C$5="","Key item 6",IFERROR(IF(INDEX('Key Items'!$B$5:$O$14,6,MATCH($C$5,'Key Items'!$B$4:$O$4,0))="","Key item 6 (spare - type a name)",INDEX('Key Items'!$B$5:$O$14,6,MATCH($C$5,'Key Items'!$B$4:$O$4,0))),"Key item 6"))</f>
        <v>Domestic content (ITC adder)</v>
      </c>
      <c r="V13" s="1"/>
      <c r="W13" s="1" t="str">
        <f>IF($C$5="","Key item 7",IFERROR(IF(INDEX('Key Items'!$B$5:$O$14,7,MATCH($C$5,'Key Items'!$B$4:$O$4,0))="","Key item 7 (spare - type a name)",INDEX('Key Items'!$B$5:$O$14,7,MATCH($C$5,'Key Items'!$B$4:$O$4,0))),"Key item 7"))</f>
        <v>Bankability / financial strength</v>
      </c>
      <c r="X13" s="1"/>
      <c r="Y13" s="1" t="str">
        <f>IF($C$5="","Key item 8",IFERROR(IF(INDEX('Key Items'!$B$5:$O$14,8,MATCH($C$5,'Key Items'!$B$4:$O$4,0))="","Key item 8 (spare - type a name)",INDEX('Key Items'!$B$5:$O$14,8,MATCH($C$5,'Key Items'!$B$4:$O$4,0))),"Key item 8"))</f>
        <v>Key item 8 (spare - type a name)</v>
      </c>
      <c r="Z13" s="1"/>
      <c r="AA13" s="1" t="str">
        <f>IF($C$5="","Key item 9",IFERROR(IF(INDEX('Key Items'!$B$5:$O$14,9,MATCH($C$5,'Key Items'!$B$4:$O$4,0))="","Key item 9 (spare - type a name)",INDEX('Key Items'!$B$5:$O$14,9,MATCH($C$5,'Key Items'!$B$4:$O$4,0))),"Key item 9"))</f>
        <v>Key item 9 (spare - type a name)</v>
      </c>
      <c r="AB13" s="1"/>
      <c r="AC13" s="1" t="str">
        <f>IF($C$5="","Key item 10",IFERROR(IF(INDEX('Key Items'!$B$5:$O$14,10,MATCH($C$5,'Key Items'!$B$4:$O$4,0))="","Key item 10 (spare - type a name)",INDEX('Key Items'!$B$5:$O$14,10,MATCH($C$5,'Key Items'!$B$4:$O$4,0))),"Key item 10"))</f>
        <v>Key item 10 (spare - type a name)</v>
      </c>
      <c r="AD13" s="1"/>
      <c r="AE13" s="2" t="s">
        <v>143</v>
      </c>
      <c r="AF13" s="2" t="s">
        <v>144</v>
      </c>
      <c r="AG13" s="2" t="s">
        <v>145</v>
      </c>
      <c r="AH13" s="2" t="s">
        <v>146</v>
      </c>
      <c r="AI13" s="2" t="s">
        <v>117</v>
      </c>
    </row>
    <row r="14" spans="1:35" ht="19.5" customHeight="1" x14ac:dyDescent="0.25">
      <c r="A14" s="2"/>
      <c r="B14" s="2"/>
      <c r="C14" s="2"/>
      <c r="D14" s="2"/>
      <c r="E14" s="2"/>
      <c r="F14" s="2"/>
      <c r="G14" s="2"/>
      <c r="H14" s="2"/>
      <c r="I14" s="2"/>
      <c r="J14" s="2"/>
      <c r="K14" s="28" t="s">
        <v>147</v>
      </c>
      <c r="L14" s="28" t="s">
        <v>47</v>
      </c>
      <c r="M14" s="28" t="s">
        <v>147</v>
      </c>
      <c r="N14" s="28" t="s">
        <v>47</v>
      </c>
      <c r="O14" s="28" t="s">
        <v>147</v>
      </c>
      <c r="P14" s="28" t="s">
        <v>47</v>
      </c>
      <c r="Q14" s="28" t="s">
        <v>147</v>
      </c>
      <c r="R14" s="28" t="s">
        <v>47</v>
      </c>
      <c r="S14" s="28" t="s">
        <v>147</v>
      </c>
      <c r="T14" s="28" t="s">
        <v>47</v>
      </c>
      <c r="U14" s="28" t="s">
        <v>147</v>
      </c>
      <c r="V14" s="28" t="s">
        <v>47</v>
      </c>
      <c r="W14" s="28" t="s">
        <v>147</v>
      </c>
      <c r="X14" s="28" t="s">
        <v>47</v>
      </c>
      <c r="Y14" s="28" t="s">
        <v>147</v>
      </c>
      <c r="Z14" s="28" t="s">
        <v>47</v>
      </c>
      <c r="AA14" s="28" t="s">
        <v>147</v>
      </c>
      <c r="AB14" s="28" t="s">
        <v>47</v>
      </c>
      <c r="AC14" s="28" t="s">
        <v>147</v>
      </c>
      <c r="AD14" s="28" t="s">
        <v>47</v>
      </c>
      <c r="AE14" s="2"/>
      <c r="AF14" s="2"/>
      <c r="AG14" s="2"/>
      <c r="AH14" s="2"/>
      <c r="AI14" s="2"/>
    </row>
    <row r="15" spans="1:35" ht="57" x14ac:dyDescent="0.25">
      <c r="A15" s="29" t="s">
        <v>148</v>
      </c>
      <c r="B15" s="30" t="str">
        <f>IF($A15="","",IFERROR(INDEX(Vendors!$A$5:$A$400,MATCH($A15,Vendors!$B$5:$B$400,0)),"Not in Vendors tab"))</f>
        <v>BESS-001</v>
      </c>
      <c r="C15" s="30" t="str">
        <f>IF($A15="","",IFERROR(INDEX(Vendors!$H$5:$H$400,MATCH($A15,Vendors!$B$5:$B$400,0))&amp;"",""))</f>
        <v/>
      </c>
      <c r="D15" s="31" t="str">
        <f>IF($A15="","",IFERROR(INDEX(Vendors!$J$5:$J$400,MATCH($A15,Vendors!$B$5:$B$400,0))&amp;"",""))</f>
        <v/>
      </c>
      <c r="E15" s="30" t="str">
        <f>IF($A15="","",IFERROR(IF(INDEX(Vendors!$K$5:$K$400,MATCH($A15,Vendors!$B$5:$B$400,0))&amp;""="",INDEX(Vendors!$F$5:$F$400,MATCH($A15,Vendors!$B$5:$B$400,0))&amp;"",INDEX(Vendors!$K$5:$K$400,MATCH($A15,Vendors!$B$5:$B$400,0))&amp;""),""))</f>
        <v/>
      </c>
      <c r="F15" s="32" t="s">
        <v>149</v>
      </c>
      <c r="G15" s="33"/>
      <c r="H15" s="33"/>
      <c r="I15" s="33"/>
      <c r="J15" s="32" t="s">
        <v>150</v>
      </c>
      <c r="K15" s="29"/>
      <c r="L15" s="29"/>
      <c r="M15" s="29" t="s">
        <v>151</v>
      </c>
      <c r="N15" s="29" t="s">
        <v>152</v>
      </c>
      <c r="O15" s="29"/>
      <c r="P15" s="29"/>
      <c r="Q15" s="29"/>
      <c r="R15" s="29"/>
      <c r="S15" s="29"/>
      <c r="T15" s="29"/>
      <c r="U15" s="29"/>
      <c r="V15" s="29"/>
      <c r="W15" s="29"/>
      <c r="X15" s="29"/>
      <c r="Y15" s="29"/>
      <c r="Z15" s="29"/>
      <c r="AA15" s="29"/>
      <c r="AB15" s="29"/>
      <c r="AC15" s="29"/>
      <c r="AD15" s="29"/>
      <c r="AE15" s="29" t="s">
        <v>153</v>
      </c>
      <c r="AF15" s="29" t="s">
        <v>125</v>
      </c>
      <c r="AG15" s="34"/>
      <c r="AH15" s="31" t="str">
        <f t="shared" ref="AH15:AH46" ca="1" si="0">IF(OR($A15="",AG15=""),"",IF(OR(F15="Complete",F15="Declined",F15="No Response"),"",IF(AG15&lt;TODAY(),"OVERDUE",IF(AG15-TODAY()&lt;=7,"Due 7d",""))))</f>
        <v/>
      </c>
      <c r="AI15" s="29"/>
    </row>
    <row r="16" spans="1:35" ht="57" x14ac:dyDescent="0.25">
      <c r="A16" s="29" t="s">
        <v>154</v>
      </c>
      <c r="B16" s="30" t="str">
        <f>IF($A16="","",IFERROR(INDEX(Vendors!$A$5:$A$400,MATCH($A16,Vendors!$B$5:$B$400,0)),"Not in Vendors tab"))</f>
        <v>BESS-002</v>
      </c>
      <c r="C16" s="30" t="str">
        <f>IF($A16="","",IFERROR(INDEX(Vendors!$H$5:$H$400,MATCH($A16,Vendors!$B$5:$B$400,0))&amp;"",""))</f>
        <v/>
      </c>
      <c r="D16" s="31" t="str">
        <f>IF($A16="","",IFERROR(INDEX(Vendors!$J$5:$J$400,MATCH($A16,Vendors!$B$5:$B$400,0))&amp;"",""))</f>
        <v/>
      </c>
      <c r="E16" s="30" t="str">
        <f>IF($A16="","",IFERROR(IF(INDEX(Vendors!$K$5:$K$400,MATCH($A16,Vendors!$B$5:$B$400,0))&amp;""="",INDEX(Vendors!$F$5:$F$400,MATCH($A16,Vendors!$B$5:$B$400,0))&amp;"",INDEX(Vendors!$K$5:$K$400,MATCH($A16,Vendors!$B$5:$B$400,0))&amp;""),""))</f>
        <v/>
      </c>
      <c r="F16" s="32" t="s">
        <v>149</v>
      </c>
      <c r="G16" s="33"/>
      <c r="H16" s="33"/>
      <c r="I16" s="33"/>
      <c r="J16" s="32" t="s">
        <v>150</v>
      </c>
      <c r="K16" s="29"/>
      <c r="L16" s="29"/>
      <c r="M16" s="29" t="s">
        <v>151</v>
      </c>
      <c r="N16" s="29" t="s">
        <v>152</v>
      </c>
      <c r="O16" s="29"/>
      <c r="P16" s="29"/>
      <c r="Q16" s="29"/>
      <c r="R16" s="29"/>
      <c r="S16" s="29"/>
      <c r="T16" s="29"/>
      <c r="U16" s="29"/>
      <c r="V16" s="29"/>
      <c r="W16" s="29"/>
      <c r="X16" s="29"/>
      <c r="Y16" s="29"/>
      <c r="Z16" s="29"/>
      <c r="AA16" s="29"/>
      <c r="AB16" s="29"/>
      <c r="AC16" s="29"/>
      <c r="AD16" s="29"/>
      <c r="AE16" s="29" t="s">
        <v>153</v>
      </c>
      <c r="AF16" s="29" t="s">
        <v>125</v>
      </c>
      <c r="AG16" s="34"/>
      <c r="AH16" s="31" t="str">
        <f t="shared" ca="1" si="0"/>
        <v/>
      </c>
      <c r="AI16" s="29"/>
    </row>
    <row r="17" spans="1:35" ht="57" x14ac:dyDescent="0.25">
      <c r="A17" s="29" t="s">
        <v>155</v>
      </c>
      <c r="B17" s="30" t="str">
        <f>IF($A17="","",IFERROR(INDEX(Vendors!$A$5:$A$400,MATCH($A17,Vendors!$B$5:$B$400,0)),"Not in Vendors tab"))</f>
        <v>BESS-003</v>
      </c>
      <c r="C17" s="30" t="str">
        <f>IF($A17="","",IFERROR(INDEX(Vendors!$H$5:$H$400,MATCH($A17,Vendors!$B$5:$B$400,0))&amp;"",""))</f>
        <v/>
      </c>
      <c r="D17" s="31" t="str">
        <f>IF($A17="","",IFERROR(INDEX(Vendors!$J$5:$J$400,MATCH($A17,Vendors!$B$5:$B$400,0))&amp;"",""))</f>
        <v/>
      </c>
      <c r="E17" s="30" t="str">
        <f>IF($A17="","",IFERROR(IF(INDEX(Vendors!$K$5:$K$400,MATCH($A17,Vendors!$B$5:$B$400,0))&amp;""="",INDEX(Vendors!$F$5:$F$400,MATCH($A17,Vendors!$B$5:$B$400,0))&amp;"",INDEX(Vendors!$K$5:$K$400,MATCH($A17,Vendors!$B$5:$B$400,0))&amp;""),""))</f>
        <v>+1 833 747 6937</v>
      </c>
      <c r="F17" s="32" t="s">
        <v>149</v>
      </c>
      <c r="G17" s="33"/>
      <c r="H17" s="33"/>
      <c r="I17" s="33"/>
      <c r="J17" s="32" t="s">
        <v>150</v>
      </c>
      <c r="K17" s="29"/>
      <c r="L17" s="29"/>
      <c r="M17" s="29" t="s">
        <v>151</v>
      </c>
      <c r="N17" s="29" t="s">
        <v>152</v>
      </c>
      <c r="O17" s="29"/>
      <c r="P17" s="29"/>
      <c r="Q17" s="29"/>
      <c r="R17" s="29"/>
      <c r="S17" s="29"/>
      <c r="T17" s="29"/>
      <c r="U17" s="29"/>
      <c r="V17" s="29"/>
      <c r="W17" s="29"/>
      <c r="X17" s="29"/>
      <c r="Y17" s="29"/>
      <c r="Z17" s="29"/>
      <c r="AA17" s="29"/>
      <c r="AB17" s="29"/>
      <c r="AC17" s="29"/>
      <c r="AD17" s="29"/>
      <c r="AE17" s="29" t="s">
        <v>153</v>
      </c>
      <c r="AF17" s="29" t="s">
        <v>125</v>
      </c>
      <c r="AG17" s="34"/>
      <c r="AH17" s="31" t="str">
        <f t="shared" ca="1" si="0"/>
        <v/>
      </c>
      <c r="AI17" s="29"/>
    </row>
    <row r="18" spans="1:35" ht="57" x14ac:dyDescent="0.25">
      <c r="A18" s="29" t="s">
        <v>156</v>
      </c>
      <c r="B18" s="30" t="str">
        <f>IF($A18="","",IFERROR(INDEX(Vendors!$A$5:$A$400,MATCH($A18,Vendors!$B$5:$B$400,0)),"Not in Vendors tab"))</f>
        <v>BESS-004</v>
      </c>
      <c r="C18" s="30" t="str">
        <f>IF($A18="","",IFERROR(INDEX(Vendors!$H$5:$H$400,MATCH($A18,Vendors!$B$5:$B$400,0))&amp;"",""))</f>
        <v/>
      </c>
      <c r="D18" s="31" t="str">
        <f>IF($A18="","",IFERROR(INDEX(Vendors!$J$5:$J$400,MATCH($A18,Vendors!$B$5:$B$400,0))&amp;"",""))</f>
        <v/>
      </c>
      <c r="E18" s="30" t="str">
        <f>IF($A18="","",IFERROR(IF(INDEX(Vendors!$K$5:$K$400,MATCH($A18,Vendors!$B$5:$B$400,0))&amp;""="",INDEX(Vendors!$F$5:$F$400,MATCH($A18,Vendors!$B$5:$B$400,0))&amp;"",INDEX(Vendors!$K$5:$K$400,MATCH($A18,Vendors!$B$5:$B$400,0))&amp;""),""))</f>
        <v/>
      </c>
      <c r="F18" s="32" t="s">
        <v>149</v>
      </c>
      <c r="G18" s="33"/>
      <c r="H18" s="33"/>
      <c r="I18" s="33"/>
      <c r="J18" s="32" t="s">
        <v>150</v>
      </c>
      <c r="K18" s="29"/>
      <c r="L18" s="29"/>
      <c r="M18" s="29" t="s">
        <v>151</v>
      </c>
      <c r="N18" s="29" t="s">
        <v>152</v>
      </c>
      <c r="O18" s="29"/>
      <c r="P18" s="29"/>
      <c r="Q18" s="29"/>
      <c r="R18" s="29"/>
      <c r="S18" s="29"/>
      <c r="T18" s="29"/>
      <c r="U18" s="29"/>
      <c r="V18" s="29"/>
      <c r="W18" s="29"/>
      <c r="X18" s="29"/>
      <c r="Y18" s="29"/>
      <c r="Z18" s="29"/>
      <c r="AA18" s="29"/>
      <c r="AB18" s="29"/>
      <c r="AC18" s="29"/>
      <c r="AD18" s="29"/>
      <c r="AE18" s="29" t="s">
        <v>153</v>
      </c>
      <c r="AF18" s="29" t="s">
        <v>125</v>
      </c>
      <c r="AG18" s="34"/>
      <c r="AH18" s="31" t="str">
        <f t="shared" ca="1" si="0"/>
        <v/>
      </c>
      <c r="AI18" s="29"/>
    </row>
    <row r="19" spans="1:35" x14ac:dyDescent="0.25">
      <c r="A19" s="29" t="s">
        <v>157</v>
      </c>
      <c r="B19" s="30" t="str">
        <f>IF($A19="","",IFERROR(INDEX(Vendors!$A$5:$A$400,MATCH($A19,Vendors!$B$5:$B$400,0)),"Not in Vendors tab"))</f>
        <v>BESS-005</v>
      </c>
      <c r="C19" s="30" t="str">
        <f>IF($A19="","",IFERROR(INDEX(Vendors!$H$5:$H$400,MATCH($A19,Vendors!$B$5:$B$400,0))&amp;"",""))</f>
        <v/>
      </c>
      <c r="D19" s="31" t="str">
        <f>IF($A19="","",IFERROR(INDEX(Vendors!$J$5:$J$400,MATCH($A19,Vendors!$B$5:$B$400,0))&amp;"",""))</f>
        <v/>
      </c>
      <c r="E19" s="30" t="str">
        <f>IF($A19="","",IFERROR(IF(INDEX(Vendors!$K$5:$K$400,MATCH($A19,Vendors!$B$5:$B$400,0))&amp;""="",INDEX(Vendors!$F$5:$F$400,MATCH($A19,Vendors!$B$5:$B$400,0))&amp;"",INDEX(Vendors!$K$5:$K$400,MATCH($A19,Vendors!$B$5:$B$400,0))&amp;""),""))</f>
        <v/>
      </c>
      <c r="F19" s="32" t="s">
        <v>149</v>
      </c>
      <c r="G19" s="33"/>
      <c r="H19" s="33"/>
      <c r="I19" s="33"/>
      <c r="J19" s="32" t="s">
        <v>150</v>
      </c>
      <c r="K19" s="29"/>
      <c r="L19" s="29"/>
      <c r="M19" s="29"/>
      <c r="N19" s="29"/>
      <c r="O19" s="29"/>
      <c r="P19" s="29"/>
      <c r="Q19" s="29"/>
      <c r="R19" s="29"/>
      <c r="S19" s="29"/>
      <c r="T19" s="29"/>
      <c r="U19" s="29"/>
      <c r="V19" s="29"/>
      <c r="W19" s="29"/>
      <c r="X19" s="29"/>
      <c r="Y19" s="29"/>
      <c r="Z19" s="29"/>
      <c r="AA19" s="29"/>
      <c r="AB19" s="29"/>
      <c r="AC19" s="29"/>
      <c r="AD19" s="29"/>
      <c r="AE19" s="29" t="s">
        <v>153</v>
      </c>
      <c r="AF19" s="29" t="s">
        <v>125</v>
      </c>
      <c r="AG19" s="34"/>
      <c r="AH19" s="31" t="str">
        <f t="shared" ca="1" si="0"/>
        <v/>
      </c>
      <c r="AI19" s="29"/>
    </row>
    <row r="20" spans="1:35" ht="57" x14ac:dyDescent="0.25">
      <c r="A20" s="29" t="s">
        <v>158</v>
      </c>
      <c r="B20" s="30" t="str">
        <f>IF($A20="","",IFERROR(INDEX(Vendors!$A$5:$A$400,MATCH($A20,Vendors!$B$5:$B$400,0)),"Not in Vendors tab"))</f>
        <v>BESS-006</v>
      </c>
      <c r="C20" s="30" t="str">
        <f>IF($A20="","",IFERROR(INDEX(Vendors!$H$5:$H$400,MATCH($A20,Vendors!$B$5:$B$400,0))&amp;"",""))</f>
        <v/>
      </c>
      <c r="D20" s="31" t="str">
        <f>IF($A20="","",IFERROR(INDEX(Vendors!$J$5:$J$400,MATCH($A20,Vendors!$B$5:$B$400,0))&amp;"",""))</f>
        <v/>
      </c>
      <c r="E20" s="30" t="str">
        <f>IF($A20="","",IFERROR(IF(INDEX(Vendors!$K$5:$K$400,MATCH($A20,Vendors!$B$5:$B$400,0))&amp;""="",INDEX(Vendors!$F$5:$F$400,MATCH($A20,Vendors!$B$5:$B$400,0))&amp;"",INDEX(Vendors!$K$5:$K$400,MATCH($A20,Vendors!$B$5:$B$400,0))&amp;""),""))</f>
        <v>+1 281 233 6200</v>
      </c>
      <c r="F20" s="32" t="s">
        <v>149</v>
      </c>
      <c r="G20" s="33"/>
      <c r="H20" s="33"/>
      <c r="I20" s="33"/>
      <c r="J20" s="32" t="s">
        <v>150</v>
      </c>
      <c r="K20" s="29"/>
      <c r="L20" s="29"/>
      <c r="M20" s="29" t="s">
        <v>151</v>
      </c>
      <c r="N20" s="29" t="s">
        <v>152</v>
      </c>
      <c r="O20" s="29"/>
      <c r="P20" s="29"/>
      <c r="Q20" s="29"/>
      <c r="R20" s="29"/>
      <c r="S20" s="29"/>
      <c r="T20" s="29"/>
      <c r="U20" s="29"/>
      <c r="V20" s="29"/>
      <c r="W20" s="29"/>
      <c r="X20" s="29"/>
      <c r="Y20" s="29"/>
      <c r="Z20" s="29"/>
      <c r="AA20" s="29"/>
      <c r="AB20" s="29"/>
      <c r="AC20" s="29"/>
      <c r="AD20" s="29"/>
      <c r="AE20" s="29" t="s">
        <v>153</v>
      </c>
      <c r="AF20" s="29" t="s">
        <v>125</v>
      </c>
      <c r="AG20" s="34"/>
      <c r="AH20" s="31" t="str">
        <f t="shared" ca="1" si="0"/>
        <v/>
      </c>
      <c r="AI20" s="29"/>
    </row>
    <row r="21" spans="1:35" ht="57" x14ac:dyDescent="0.25">
      <c r="A21" s="29" t="s">
        <v>159</v>
      </c>
      <c r="B21" s="30" t="str">
        <f>IF($A21="","",IFERROR(INDEX(Vendors!$A$5:$A$400,MATCH($A21,Vendors!$B$5:$B$400,0)),"Not in Vendors tab"))</f>
        <v>BESS-007</v>
      </c>
      <c r="C21" s="30" t="str">
        <f>IF($A21="","",IFERROR(INDEX(Vendors!$H$5:$H$400,MATCH($A21,Vendors!$B$5:$B$400,0))&amp;"",""))</f>
        <v/>
      </c>
      <c r="D21" s="31" t="str">
        <f>IF($A21="","",IFERROR(INDEX(Vendors!$J$5:$J$400,MATCH($A21,Vendors!$B$5:$B$400,0))&amp;"",""))</f>
        <v/>
      </c>
      <c r="E21" s="30" t="str">
        <f>IF($A21="","",IFERROR(IF(INDEX(Vendors!$K$5:$K$400,MATCH($A21,Vendors!$B$5:$B$400,0))&amp;""="",INDEX(Vendors!$F$5:$F$400,MATCH($A21,Vendors!$B$5:$B$400,0))&amp;"",INDEX(Vendors!$K$5:$K$400,MATCH($A21,Vendors!$B$5:$B$400,0))&amp;""),""))</f>
        <v>855-327-5674</v>
      </c>
      <c r="F21" s="32" t="s">
        <v>149</v>
      </c>
      <c r="G21" s="33"/>
      <c r="H21" s="33"/>
      <c r="I21" s="33"/>
      <c r="J21" s="32" t="s">
        <v>150</v>
      </c>
      <c r="K21" s="29"/>
      <c r="L21" s="29"/>
      <c r="M21" s="29" t="s">
        <v>151</v>
      </c>
      <c r="N21" s="29" t="s">
        <v>152</v>
      </c>
      <c r="O21" s="29"/>
      <c r="P21" s="29"/>
      <c r="Q21" s="29"/>
      <c r="R21" s="29"/>
      <c r="S21" s="29"/>
      <c r="T21" s="29"/>
      <c r="U21" s="29"/>
      <c r="V21" s="29"/>
      <c r="W21" s="29"/>
      <c r="X21" s="29"/>
      <c r="Y21" s="29"/>
      <c r="Z21" s="29"/>
      <c r="AA21" s="29"/>
      <c r="AB21" s="29"/>
      <c r="AC21" s="29"/>
      <c r="AD21" s="29"/>
      <c r="AE21" s="29" t="s">
        <v>153</v>
      </c>
      <c r="AF21" s="29" t="s">
        <v>125</v>
      </c>
      <c r="AG21" s="34"/>
      <c r="AH21" s="31" t="str">
        <f t="shared" ca="1" si="0"/>
        <v/>
      </c>
      <c r="AI21" s="29"/>
    </row>
    <row r="22" spans="1:35" ht="57" x14ac:dyDescent="0.25">
      <c r="A22" s="29" t="s">
        <v>160</v>
      </c>
      <c r="B22" s="30" t="str">
        <f>IF($A22="","",IFERROR(INDEX(Vendors!$A$5:$A$400,MATCH($A22,Vendors!$B$5:$B$400,0)),"Not in Vendors tab"))</f>
        <v>BESS-008</v>
      </c>
      <c r="C22" s="30" t="str">
        <f>IF($A22="","",IFERROR(INDEX(Vendors!$H$5:$H$400,MATCH($A22,Vendors!$B$5:$B$400,0))&amp;"",""))</f>
        <v/>
      </c>
      <c r="D22" s="31" t="str">
        <f>IF($A22="","",IFERROR(INDEX(Vendors!$J$5:$J$400,MATCH($A22,Vendors!$B$5:$B$400,0))&amp;"",""))</f>
        <v/>
      </c>
      <c r="E22" s="30" t="str">
        <f>IF($A22="","",IFERROR(IF(INDEX(Vendors!$K$5:$K$400,MATCH($A22,Vendors!$B$5:$B$400,0))&amp;""="",INDEX(Vendors!$F$5:$F$400,MATCH($A22,Vendors!$B$5:$B$400,0))&amp;"",INDEX(Vendors!$K$5:$K$400,MATCH($A22,Vendors!$B$5:$B$400,0))&amp;""),""))</f>
        <v/>
      </c>
      <c r="F22" s="32" t="s">
        <v>149</v>
      </c>
      <c r="G22" s="33"/>
      <c r="H22" s="33"/>
      <c r="I22" s="33"/>
      <c r="J22" s="32" t="s">
        <v>150</v>
      </c>
      <c r="K22" s="29"/>
      <c r="L22" s="29"/>
      <c r="M22" s="29" t="s">
        <v>151</v>
      </c>
      <c r="N22" s="29" t="s">
        <v>152</v>
      </c>
      <c r="O22" s="29"/>
      <c r="P22" s="29"/>
      <c r="Q22" s="29"/>
      <c r="R22" s="29"/>
      <c r="S22" s="29"/>
      <c r="T22" s="29"/>
      <c r="U22" s="29"/>
      <c r="V22" s="29"/>
      <c r="W22" s="29"/>
      <c r="X22" s="29"/>
      <c r="Y22" s="29"/>
      <c r="Z22" s="29"/>
      <c r="AA22" s="29"/>
      <c r="AB22" s="29"/>
      <c r="AC22" s="29"/>
      <c r="AD22" s="29"/>
      <c r="AE22" s="29" t="s">
        <v>153</v>
      </c>
      <c r="AF22" s="29" t="s">
        <v>125</v>
      </c>
      <c r="AG22" s="34"/>
      <c r="AH22" s="31" t="str">
        <f t="shared" ca="1" si="0"/>
        <v/>
      </c>
      <c r="AI22" s="29"/>
    </row>
    <row r="23" spans="1:35" ht="57" x14ac:dyDescent="0.25">
      <c r="A23" s="29" t="s">
        <v>161</v>
      </c>
      <c r="B23" s="30" t="str">
        <f>IF($A23="","",IFERROR(INDEX(Vendors!$A$5:$A$400,MATCH($A23,Vendors!$B$5:$B$400,0)),"Not in Vendors tab"))</f>
        <v>BESS-009</v>
      </c>
      <c r="C23" s="30" t="str">
        <f>IF($A23="","",IFERROR(INDEX(Vendors!$H$5:$H$400,MATCH($A23,Vendors!$B$5:$B$400,0))&amp;"",""))</f>
        <v/>
      </c>
      <c r="D23" s="31" t="str">
        <f>IF($A23="","",IFERROR(INDEX(Vendors!$J$5:$J$400,MATCH($A23,Vendors!$B$5:$B$400,0))&amp;"",""))</f>
        <v/>
      </c>
      <c r="E23" s="30" t="str">
        <f>IF($A23="","",IFERROR(IF(INDEX(Vendors!$K$5:$K$400,MATCH($A23,Vendors!$B$5:$B$400,0))&amp;""="",INDEX(Vendors!$F$5:$F$400,MATCH($A23,Vendors!$B$5:$B$400,0))&amp;"",INDEX(Vendors!$K$5:$K$400,MATCH($A23,Vendors!$B$5:$B$400,0))&amp;""),""))</f>
        <v/>
      </c>
      <c r="F23" s="32" t="s">
        <v>149</v>
      </c>
      <c r="G23" s="33"/>
      <c r="H23" s="33"/>
      <c r="I23" s="33"/>
      <c r="J23" s="32" t="s">
        <v>150</v>
      </c>
      <c r="K23" s="29"/>
      <c r="L23" s="29"/>
      <c r="M23" s="29" t="s">
        <v>151</v>
      </c>
      <c r="N23" s="29" t="s">
        <v>152</v>
      </c>
      <c r="O23" s="29"/>
      <c r="P23" s="29"/>
      <c r="Q23" s="29"/>
      <c r="R23" s="29"/>
      <c r="S23" s="29"/>
      <c r="T23" s="29"/>
      <c r="U23" s="29"/>
      <c r="V23" s="29"/>
      <c r="W23" s="29"/>
      <c r="X23" s="29"/>
      <c r="Y23" s="29"/>
      <c r="Z23" s="29"/>
      <c r="AA23" s="29"/>
      <c r="AB23" s="29"/>
      <c r="AC23" s="29"/>
      <c r="AD23" s="29"/>
      <c r="AE23" s="29" t="s">
        <v>153</v>
      </c>
      <c r="AF23" s="29" t="s">
        <v>125</v>
      </c>
      <c r="AG23" s="34"/>
      <c r="AH23" s="31" t="str">
        <f t="shared" ca="1" si="0"/>
        <v/>
      </c>
      <c r="AI23" s="29"/>
    </row>
    <row r="24" spans="1:35" ht="57" x14ac:dyDescent="0.25">
      <c r="A24" s="29" t="s">
        <v>162</v>
      </c>
      <c r="B24" s="30" t="str">
        <f>IF($A24="","",IFERROR(INDEX(Vendors!$A$5:$A$400,MATCH($A24,Vendors!$B$5:$B$400,0)),"Not in Vendors tab"))</f>
        <v>BESS-010</v>
      </c>
      <c r="C24" s="30" t="str">
        <f>IF($A24="","",IFERROR(INDEX(Vendors!$H$5:$H$400,MATCH($A24,Vendors!$B$5:$B$400,0))&amp;"",""))</f>
        <v/>
      </c>
      <c r="D24" s="31" t="str">
        <f>IF($A24="","",IFERROR(INDEX(Vendors!$J$5:$J$400,MATCH($A24,Vendors!$B$5:$B$400,0))&amp;"",""))</f>
        <v/>
      </c>
      <c r="E24" s="30" t="str">
        <f>IF($A24="","",IFERROR(IF(INDEX(Vendors!$K$5:$K$400,MATCH($A24,Vendors!$B$5:$B$400,0))&amp;""="",INDEX(Vendors!$F$5:$F$400,MATCH($A24,Vendors!$B$5:$B$400,0))&amp;"",INDEX(Vendors!$K$5:$K$400,MATCH($A24,Vendors!$B$5:$B$400,0))&amp;""),""))</f>
        <v/>
      </c>
      <c r="F24" s="32" t="s">
        <v>149</v>
      </c>
      <c r="G24" s="33"/>
      <c r="H24" s="33"/>
      <c r="I24" s="33"/>
      <c r="J24" s="32" t="s">
        <v>150</v>
      </c>
      <c r="K24" s="29"/>
      <c r="L24" s="29"/>
      <c r="M24" s="29" t="s">
        <v>151</v>
      </c>
      <c r="N24" s="29" t="s">
        <v>152</v>
      </c>
      <c r="O24" s="29"/>
      <c r="P24" s="29"/>
      <c r="Q24" s="29"/>
      <c r="R24" s="29"/>
      <c r="S24" s="29"/>
      <c r="T24" s="29"/>
      <c r="U24" s="29"/>
      <c r="V24" s="29"/>
      <c r="W24" s="29"/>
      <c r="X24" s="29"/>
      <c r="Y24" s="29"/>
      <c r="Z24" s="29"/>
      <c r="AA24" s="29"/>
      <c r="AB24" s="29"/>
      <c r="AC24" s="29"/>
      <c r="AD24" s="29"/>
      <c r="AE24" s="29" t="s">
        <v>153</v>
      </c>
      <c r="AF24" s="29" t="s">
        <v>125</v>
      </c>
      <c r="AG24" s="34"/>
      <c r="AH24" s="31" t="str">
        <f t="shared" ca="1" si="0"/>
        <v/>
      </c>
      <c r="AI24" s="29"/>
    </row>
    <row r="25" spans="1:35" x14ac:dyDescent="0.25">
      <c r="A25" s="29"/>
      <c r="B25" s="30" t="str">
        <f>IF($A25="","",IFERROR(INDEX(Vendors!$A$5:$A$400,MATCH($A25,Vendors!$B$5:$B$400,0)),"Not in Vendors tab"))</f>
        <v/>
      </c>
      <c r="C25" s="30" t="str">
        <f>IF($A25="","",IFERROR(INDEX(Vendors!$H$5:$H$400,MATCH($A25,Vendors!$B$5:$B$400,0))&amp;"",""))</f>
        <v/>
      </c>
      <c r="D25" s="31" t="str">
        <f>IF($A25="","",IFERROR(INDEX(Vendors!$J$5:$J$400,MATCH($A25,Vendors!$B$5:$B$400,0))&amp;"",""))</f>
        <v/>
      </c>
      <c r="E25" s="30" t="str">
        <f>IF($A25="","",IFERROR(IF(INDEX(Vendors!$K$5:$K$400,MATCH($A25,Vendors!$B$5:$B$400,0))&amp;""="",INDEX(Vendors!$F$5:$F$400,MATCH($A25,Vendors!$B$5:$B$400,0))&amp;"",INDEX(Vendors!$K$5:$K$400,MATCH($A25,Vendors!$B$5:$B$400,0))&amp;""),""))</f>
        <v/>
      </c>
      <c r="F25" s="32"/>
      <c r="G25" s="33"/>
      <c r="H25" s="33"/>
      <c r="I25" s="33"/>
      <c r="J25" s="32"/>
      <c r="K25" s="29"/>
      <c r="L25" s="29"/>
      <c r="M25" s="29"/>
      <c r="N25" s="29"/>
      <c r="O25" s="29"/>
      <c r="P25" s="29"/>
      <c r="Q25" s="29"/>
      <c r="R25" s="29"/>
      <c r="S25" s="29"/>
      <c r="T25" s="29"/>
      <c r="U25" s="29"/>
      <c r="V25" s="29"/>
      <c r="W25" s="29"/>
      <c r="X25" s="29"/>
      <c r="Y25" s="29"/>
      <c r="Z25" s="29"/>
      <c r="AA25" s="29"/>
      <c r="AB25" s="29"/>
      <c r="AC25" s="29"/>
      <c r="AD25" s="29"/>
      <c r="AE25" s="29"/>
      <c r="AF25" s="29"/>
      <c r="AG25" s="34"/>
      <c r="AH25" s="31" t="str">
        <f t="shared" ca="1" si="0"/>
        <v/>
      </c>
      <c r="AI25" s="29"/>
    </row>
    <row r="26" spans="1:35" x14ac:dyDescent="0.25">
      <c r="A26" s="29"/>
      <c r="B26" s="30" t="str">
        <f>IF($A26="","",IFERROR(INDEX(Vendors!$A$5:$A$400,MATCH($A26,Vendors!$B$5:$B$400,0)),"Not in Vendors tab"))</f>
        <v/>
      </c>
      <c r="C26" s="30" t="str">
        <f>IF($A26="","",IFERROR(INDEX(Vendors!$H$5:$H$400,MATCH($A26,Vendors!$B$5:$B$400,0))&amp;"",""))</f>
        <v/>
      </c>
      <c r="D26" s="31" t="str">
        <f>IF($A26="","",IFERROR(INDEX(Vendors!$J$5:$J$400,MATCH($A26,Vendors!$B$5:$B$400,0))&amp;"",""))</f>
        <v/>
      </c>
      <c r="E26" s="30" t="str">
        <f>IF($A26="","",IFERROR(IF(INDEX(Vendors!$K$5:$K$400,MATCH($A26,Vendors!$B$5:$B$400,0))&amp;""="",INDEX(Vendors!$F$5:$F$400,MATCH($A26,Vendors!$B$5:$B$400,0))&amp;"",INDEX(Vendors!$K$5:$K$400,MATCH($A26,Vendors!$B$5:$B$400,0))&amp;""),""))</f>
        <v/>
      </c>
      <c r="F26" s="32"/>
      <c r="G26" s="33"/>
      <c r="H26" s="33"/>
      <c r="I26" s="33"/>
      <c r="J26" s="32"/>
      <c r="K26" s="29"/>
      <c r="L26" s="29"/>
      <c r="M26" s="29"/>
      <c r="N26" s="29"/>
      <c r="O26" s="29"/>
      <c r="P26" s="29"/>
      <c r="Q26" s="29"/>
      <c r="R26" s="29"/>
      <c r="S26" s="29"/>
      <c r="T26" s="29"/>
      <c r="U26" s="29"/>
      <c r="V26" s="29"/>
      <c r="W26" s="29"/>
      <c r="X26" s="29"/>
      <c r="Y26" s="29"/>
      <c r="Z26" s="29"/>
      <c r="AA26" s="29"/>
      <c r="AB26" s="29"/>
      <c r="AC26" s="29"/>
      <c r="AD26" s="29"/>
      <c r="AE26" s="29"/>
      <c r="AF26" s="29"/>
      <c r="AG26" s="34"/>
      <c r="AH26" s="31" t="str">
        <f t="shared" ca="1" si="0"/>
        <v/>
      </c>
      <c r="AI26" s="29"/>
    </row>
    <row r="27" spans="1:35" x14ac:dyDescent="0.25">
      <c r="A27" s="29"/>
      <c r="B27" s="30" t="str">
        <f>IF($A27="","",IFERROR(INDEX(Vendors!$A$5:$A$400,MATCH($A27,Vendors!$B$5:$B$400,0)),"Not in Vendors tab"))</f>
        <v/>
      </c>
      <c r="C27" s="30" t="str">
        <f>IF($A27="","",IFERROR(INDEX(Vendors!$H$5:$H$400,MATCH($A27,Vendors!$B$5:$B$400,0))&amp;"",""))</f>
        <v/>
      </c>
      <c r="D27" s="31" t="str">
        <f>IF($A27="","",IFERROR(INDEX(Vendors!$J$5:$J$400,MATCH($A27,Vendors!$B$5:$B$400,0))&amp;"",""))</f>
        <v/>
      </c>
      <c r="E27" s="30" t="str">
        <f>IF($A27="","",IFERROR(IF(INDEX(Vendors!$K$5:$K$400,MATCH($A27,Vendors!$B$5:$B$400,0))&amp;""="",INDEX(Vendors!$F$5:$F$400,MATCH($A27,Vendors!$B$5:$B$400,0))&amp;"",INDEX(Vendors!$K$5:$K$400,MATCH($A27,Vendors!$B$5:$B$400,0))&amp;""),""))</f>
        <v/>
      </c>
      <c r="F27" s="32"/>
      <c r="G27" s="33"/>
      <c r="H27" s="33"/>
      <c r="I27" s="33"/>
      <c r="J27" s="32"/>
      <c r="K27" s="29"/>
      <c r="L27" s="29"/>
      <c r="M27" s="29"/>
      <c r="N27" s="29"/>
      <c r="O27" s="29"/>
      <c r="P27" s="29"/>
      <c r="Q27" s="29"/>
      <c r="R27" s="29"/>
      <c r="S27" s="29"/>
      <c r="T27" s="29"/>
      <c r="U27" s="29"/>
      <c r="V27" s="29"/>
      <c r="W27" s="29"/>
      <c r="X27" s="29"/>
      <c r="Y27" s="29"/>
      <c r="Z27" s="29"/>
      <c r="AA27" s="29"/>
      <c r="AB27" s="29"/>
      <c r="AC27" s="29"/>
      <c r="AD27" s="29"/>
      <c r="AE27" s="29"/>
      <c r="AF27" s="29"/>
      <c r="AG27" s="34"/>
      <c r="AH27" s="31" t="str">
        <f t="shared" ca="1" si="0"/>
        <v/>
      </c>
      <c r="AI27" s="29"/>
    </row>
    <row r="28" spans="1:35" x14ac:dyDescent="0.25">
      <c r="A28" s="29"/>
      <c r="B28" s="30" t="str">
        <f>IF($A28="","",IFERROR(INDEX(Vendors!$A$5:$A$400,MATCH($A28,Vendors!$B$5:$B$400,0)),"Not in Vendors tab"))</f>
        <v/>
      </c>
      <c r="C28" s="30" t="str">
        <f>IF($A28="","",IFERROR(INDEX(Vendors!$H$5:$H$400,MATCH($A28,Vendors!$B$5:$B$400,0))&amp;"",""))</f>
        <v/>
      </c>
      <c r="D28" s="31" t="str">
        <f>IF($A28="","",IFERROR(INDEX(Vendors!$J$5:$J$400,MATCH($A28,Vendors!$B$5:$B$400,0))&amp;"",""))</f>
        <v/>
      </c>
      <c r="E28" s="30" t="str">
        <f>IF($A28="","",IFERROR(IF(INDEX(Vendors!$K$5:$K$400,MATCH($A28,Vendors!$B$5:$B$400,0))&amp;""="",INDEX(Vendors!$F$5:$F$400,MATCH($A28,Vendors!$B$5:$B$400,0))&amp;"",INDEX(Vendors!$K$5:$K$400,MATCH($A28,Vendors!$B$5:$B$400,0))&amp;""),""))</f>
        <v/>
      </c>
      <c r="F28" s="32"/>
      <c r="G28" s="33"/>
      <c r="H28" s="33"/>
      <c r="I28" s="33"/>
      <c r="J28" s="32"/>
      <c r="K28" s="29"/>
      <c r="L28" s="29"/>
      <c r="M28" s="29"/>
      <c r="N28" s="29"/>
      <c r="O28" s="29"/>
      <c r="P28" s="29"/>
      <c r="Q28" s="29"/>
      <c r="R28" s="29"/>
      <c r="S28" s="29"/>
      <c r="T28" s="29"/>
      <c r="U28" s="29"/>
      <c r="V28" s="29"/>
      <c r="W28" s="29"/>
      <c r="X28" s="29"/>
      <c r="Y28" s="29"/>
      <c r="Z28" s="29"/>
      <c r="AA28" s="29"/>
      <c r="AB28" s="29"/>
      <c r="AC28" s="29"/>
      <c r="AD28" s="29"/>
      <c r="AE28" s="29"/>
      <c r="AF28" s="29"/>
      <c r="AG28" s="34"/>
      <c r="AH28" s="31" t="str">
        <f t="shared" ca="1" si="0"/>
        <v/>
      </c>
      <c r="AI28" s="29"/>
    </row>
    <row r="29" spans="1:35" x14ac:dyDescent="0.25">
      <c r="A29" s="29"/>
      <c r="B29" s="30" t="str">
        <f>IF($A29="","",IFERROR(INDEX(Vendors!$A$5:$A$400,MATCH($A29,Vendors!$B$5:$B$400,0)),"Not in Vendors tab"))</f>
        <v/>
      </c>
      <c r="C29" s="30" t="str">
        <f>IF($A29="","",IFERROR(INDEX(Vendors!$H$5:$H$400,MATCH($A29,Vendors!$B$5:$B$400,0))&amp;"",""))</f>
        <v/>
      </c>
      <c r="D29" s="31" t="str">
        <f>IF($A29="","",IFERROR(INDEX(Vendors!$J$5:$J$400,MATCH($A29,Vendors!$B$5:$B$400,0))&amp;"",""))</f>
        <v/>
      </c>
      <c r="E29" s="30" t="str">
        <f>IF($A29="","",IFERROR(IF(INDEX(Vendors!$K$5:$K$400,MATCH($A29,Vendors!$B$5:$B$400,0))&amp;""="",INDEX(Vendors!$F$5:$F$400,MATCH($A29,Vendors!$B$5:$B$400,0))&amp;"",INDEX(Vendors!$K$5:$K$400,MATCH($A29,Vendors!$B$5:$B$400,0))&amp;""),""))</f>
        <v/>
      </c>
      <c r="F29" s="32"/>
      <c r="G29" s="33"/>
      <c r="H29" s="33"/>
      <c r="I29" s="33"/>
      <c r="J29" s="32"/>
      <c r="K29" s="29"/>
      <c r="L29" s="29"/>
      <c r="M29" s="29"/>
      <c r="N29" s="29"/>
      <c r="O29" s="29"/>
      <c r="P29" s="29"/>
      <c r="Q29" s="29"/>
      <c r="R29" s="29"/>
      <c r="S29" s="29"/>
      <c r="T29" s="29"/>
      <c r="U29" s="29"/>
      <c r="V29" s="29"/>
      <c r="W29" s="29"/>
      <c r="X29" s="29"/>
      <c r="Y29" s="29"/>
      <c r="Z29" s="29"/>
      <c r="AA29" s="29"/>
      <c r="AB29" s="29"/>
      <c r="AC29" s="29"/>
      <c r="AD29" s="29"/>
      <c r="AE29" s="29"/>
      <c r="AF29" s="29"/>
      <c r="AG29" s="34"/>
      <c r="AH29" s="31" t="str">
        <f t="shared" ca="1" si="0"/>
        <v/>
      </c>
      <c r="AI29" s="29"/>
    </row>
    <row r="30" spans="1:35" x14ac:dyDescent="0.25">
      <c r="A30" s="29"/>
      <c r="B30" s="30" t="str">
        <f>IF($A30="","",IFERROR(INDEX(Vendors!$A$5:$A$400,MATCH($A30,Vendors!$B$5:$B$400,0)),"Not in Vendors tab"))</f>
        <v/>
      </c>
      <c r="C30" s="30" t="str">
        <f>IF($A30="","",IFERROR(INDEX(Vendors!$H$5:$H$400,MATCH($A30,Vendors!$B$5:$B$400,0))&amp;"",""))</f>
        <v/>
      </c>
      <c r="D30" s="31" t="str">
        <f>IF($A30="","",IFERROR(INDEX(Vendors!$J$5:$J$400,MATCH($A30,Vendors!$B$5:$B$400,0))&amp;"",""))</f>
        <v/>
      </c>
      <c r="E30" s="30" t="str">
        <f>IF($A30="","",IFERROR(IF(INDEX(Vendors!$K$5:$K$400,MATCH($A30,Vendors!$B$5:$B$400,0))&amp;""="",INDEX(Vendors!$F$5:$F$400,MATCH($A30,Vendors!$B$5:$B$400,0))&amp;"",INDEX(Vendors!$K$5:$K$400,MATCH($A30,Vendors!$B$5:$B$400,0))&amp;""),""))</f>
        <v/>
      </c>
      <c r="F30" s="32"/>
      <c r="G30" s="33"/>
      <c r="H30" s="33"/>
      <c r="I30" s="33"/>
      <c r="J30" s="32"/>
      <c r="K30" s="29"/>
      <c r="L30" s="29"/>
      <c r="M30" s="29"/>
      <c r="N30" s="29"/>
      <c r="O30" s="29"/>
      <c r="P30" s="29"/>
      <c r="Q30" s="29"/>
      <c r="R30" s="29"/>
      <c r="S30" s="29"/>
      <c r="T30" s="29"/>
      <c r="U30" s="29"/>
      <c r="V30" s="29"/>
      <c r="W30" s="29"/>
      <c r="X30" s="29"/>
      <c r="Y30" s="29"/>
      <c r="Z30" s="29"/>
      <c r="AA30" s="29"/>
      <c r="AB30" s="29"/>
      <c r="AC30" s="29"/>
      <c r="AD30" s="29"/>
      <c r="AE30" s="29"/>
      <c r="AF30" s="29"/>
      <c r="AG30" s="34"/>
      <c r="AH30" s="31" t="str">
        <f t="shared" ca="1" si="0"/>
        <v/>
      </c>
      <c r="AI30" s="29"/>
    </row>
    <row r="31" spans="1:35" x14ac:dyDescent="0.25">
      <c r="A31" s="29"/>
      <c r="B31" s="30" t="str">
        <f>IF($A31="","",IFERROR(INDEX(Vendors!$A$5:$A$400,MATCH($A31,Vendors!$B$5:$B$400,0)),"Not in Vendors tab"))</f>
        <v/>
      </c>
      <c r="C31" s="30" t="str">
        <f>IF($A31="","",IFERROR(INDEX(Vendors!$H$5:$H$400,MATCH($A31,Vendors!$B$5:$B$400,0))&amp;"",""))</f>
        <v/>
      </c>
      <c r="D31" s="31" t="str">
        <f>IF($A31="","",IFERROR(INDEX(Vendors!$J$5:$J$400,MATCH($A31,Vendors!$B$5:$B$400,0))&amp;"",""))</f>
        <v/>
      </c>
      <c r="E31" s="30" t="str">
        <f>IF($A31="","",IFERROR(IF(INDEX(Vendors!$K$5:$K$400,MATCH($A31,Vendors!$B$5:$B$400,0))&amp;""="",INDEX(Vendors!$F$5:$F$400,MATCH($A31,Vendors!$B$5:$B$400,0))&amp;"",INDEX(Vendors!$K$5:$K$400,MATCH($A31,Vendors!$B$5:$B$400,0))&amp;""),""))</f>
        <v/>
      </c>
      <c r="F31" s="32"/>
      <c r="G31" s="33"/>
      <c r="H31" s="33"/>
      <c r="I31" s="33"/>
      <c r="J31" s="32"/>
      <c r="K31" s="29"/>
      <c r="L31" s="29"/>
      <c r="M31" s="29"/>
      <c r="N31" s="29"/>
      <c r="O31" s="29"/>
      <c r="P31" s="29"/>
      <c r="Q31" s="29"/>
      <c r="R31" s="29"/>
      <c r="S31" s="29"/>
      <c r="T31" s="29"/>
      <c r="U31" s="29"/>
      <c r="V31" s="29"/>
      <c r="W31" s="29"/>
      <c r="X31" s="29"/>
      <c r="Y31" s="29"/>
      <c r="Z31" s="29"/>
      <c r="AA31" s="29"/>
      <c r="AB31" s="29"/>
      <c r="AC31" s="29"/>
      <c r="AD31" s="29"/>
      <c r="AE31" s="29"/>
      <c r="AF31" s="29"/>
      <c r="AG31" s="34"/>
      <c r="AH31" s="31" t="str">
        <f t="shared" ca="1" si="0"/>
        <v/>
      </c>
      <c r="AI31" s="29"/>
    </row>
    <row r="32" spans="1:35" x14ac:dyDescent="0.25">
      <c r="A32" s="29"/>
      <c r="B32" s="30" t="str">
        <f>IF($A32="","",IFERROR(INDEX(Vendors!$A$5:$A$400,MATCH($A32,Vendors!$B$5:$B$400,0)),"Not in Vendors tab"))</f>
        <v/>
      </c>
      <c r="C32" s="30" t="str">
        <f>IF($A32="","",IFERROR(INDEX(Vendors!$H$5:$H$400,MATCH($A32,Vendors!$B$5:$B$400,0))&amp;"",""))</f>
        <v/>
      </c>
      <c r="D32" s="31" t="str">
        <f>IF($A32="","",IFERROR(INDEX(Vendors!$J$5:$J$400,MATCH($A32,Vendors!$B$5:$B$400,0))&amp;"",""))</f>
        <v/>
      </c>
      <c r="E32" s="30" t="str">
        <f>IF($A32="","",IFERROR(IF(INDEX(Vendors!$K$5:$K$400,MATCH($A32,Vendors!$B$5:$B$400,0))&amp;""="",INDEX(Vendors!$F$5:$F$400,MATCH($A32,Vendors!$B$5:$B$400,0))&amp;"",INDEX(Vendors!$K$5:$K$400,MATCH($A32,Vendors!$B$5:$B$400,0))&amp;""),""))</f>
        <v/>
      </c>
      <c r="F32" s="32"/>
      <c r="G32" s="33"/>
      <c r="H32" s="33"/>
      <c r="I32" s="33"/>
      <c r="J32" s="32"/>
      <c r="K32" s="29"/>
      <c r="L32" s="29"/>
      <c r="M32" s="29"/>
      <c r="N32" s="29"/>
      <c r="O32" s="29"/>
      <c r="P32" s="29"/>
      <c r="Q32" s="29"/>
      <c r="R32" s="29"/>
      <c r="S32" s="29"/>
      <c r="T32" s="29"/>
      <c r="U32" s="29"/>
      <c r="V32" s="29"/>
      <c r="W32" s="29"/>
      <c r="X32" s="29"/>
      <c r="Y32" s="29"/>
      <c r="Z32" s="29"/>
      <c r="AA32" s="29"/>
      <c r="AB32" s="29"/>
      <c r="AC32" s="29"/>
      <c r="AD32" s="29"/>
      <c r="AE32" s="29"/>
      <c r="AF32" s="29"/>
      <c r="AG32" s="34"/>
      <c r="AH32" s="31" t="str">
        <f t="shared" ca="1" si="0"/>
        <v/>
      </c>
      <c r="AI32" s="29"/>
    </row>
    <row r="33" spans="1:35" x14ac:dyDescent="0.25">
      <c r="A33" s="29"/>
      <c r="B33" s="30" t="str">
        <f>IF($A33="","",IFERROR(INDEX(Vendors!$A$5:$A$400,MATCH($A33,Vendors!$B$5:$B$400,0)),"Not in Vendors tab"))</f>
        <v/>
      </c>
      <c r="C33" s="30" t="str">
        <f>IF($A33="","",IFERROR(INDEX(Vendors!$H$5:$H$400,MATCH($A33,Vendors!$B$5:$B$400,0))&amp;"",""))</f>
        <v/>
      </c>
      <c r="D33" s="31" t="str">
        <f>IF($A33="","",IFERROR(INDEX(Vendors!$J$5:$J$400,MATCH($A33,Vendors!$B$5:$B$400,0))&amp;"",""))</f>
        <v/>
      </c>
      <c r="E33" s="30" t="str">
        <f>IF($A33="","",IFERROR(IF(INDEX(Vendors!$K$5:$K$400,MATCH($A33,Vendors!$B$5:$B$400,0))&amp;""="",INDEX(Vendors!$F$5:$F$400,MATCH($A33,Vendors!$B$5:$B$400,0))&amp;"",INDEX(Vendors!$K$5:$K$400,MATCH($A33,Vendors!$B$5:$B$400,0))&amp;""),""))</f>
        <v/>
      </c>
      <c r="F33" s="32"/>
      <c r="G33" s="33"/>
      <c r="H33" s="33"/>
      <c r="I33" s="33"/>
      <c r="J33" s="32"/>
      <c r="K33" s="29"/>
      <c r="L33" s="29"/>
      <c r="M33" s="29"/>
      <c r="N33" s="29"/>
      <c r="O33" s="29"/>
      <c r="P33" s="29"/>
      <c r="Q33" s="29"/>
      <c r="R33" s="29"/>
      <c r="S33" s="29"/>
      <c r="T33" s="29"/>
      <c r="U33" s="29"/>
      <c r="V33" s="29"/>
      <c r="W33" s="29"/>
      <c r="X33" s="29"/>
      <c r="Y33" s="29"/>
      <c r="Z33" s="29"/>
      <c r="AA33" s="29"/>
      <c r="AB33" s="29"/>
      <c r="AC33" s="29"/>
      <c r="AD33" s="29"/>
      <c r="AE33" s="29"/>
      <c r="AF33" s="29"/>
      <c r="AG33" s="34"/>
      <c r="AH33" s="31" t="str">
        <f t="shared" ca="1" si="0"/>
        <v/>
      </c>
      <c r="AI33" s="29"/>
    </row>
    <row r="34" spans="1:35" x14ac:dyDescent="0.25">
      <c r="A34" s="29"/>
      <c r="B34" s="30" t="str">
        <f>IF($A34="","",IFERROR(INDEX(Vendors!$A$5:$A$400,MATCH($A34,Vendors!$B$5:$B$400,0)),"Not in Vendors tab"))</f>
        <v/>
      </c>
      <c r="C34" s="30" t="str">
        <f>IF($A34="","",IFERROR(INDEX(Vendors!$H$5:$H$400,MATCH($A34,Vendors!$B$5:$B$400,0))&amp;"",""))</f>
        <v/>
      </c>
      <c r="D34" s="31" t="str">
        <f>IF($A34="","",IFERROR(INDEX(Vendors!$J$5:$J$400,MATCH($A34,Vendors!$B$5:$B$400,0))&amp;"",""))</f>
        <v/>
      </c>
      <c r="E34" s="30" t="str">
        <f>IF($A34="","",IFERROR(IF(INDEX(Vendors!$K$5:$K$400,MATCH($A34,Vendors!$B$5:$B$400,0))&amp;""="",INDEX(Vendors!$F$5:$F$400,MATCH($A34,Vendors!$B$5:$B$400,0))&amp;"",INDEX(Vendors!$K$5:$K$400,MATCH($A34,Vendors!$B$5:$B$400,0))&amp;""),""))</f>
        <v/>
      </c>
      <c r="F34" s="32"/>
      <c r="G34" s="33"/>
      <c r="H34" s="33"/>
      <c r="I34" s="33"/>
      <c r="J34" s="32"/>
      <c r="K34" s="29"/>
      <c r="L34" s="29"/>
      <c r="M34" s="29"/>
      <c r="N34" s="29"/>
      <c r="O34" s="29"/>
      <c r="P34" s="29"/>
      <c r="Q34" s="29"/>
      <c r="R34" s="29"/>
      <c r="S34" s="29"/>
      <c r="T34" s="29"/>
      <c r="U34" s="29"/>
      <c r="V34" s="29"/>
      <c r="W34" s="29"/>
      <c r="X34" s="29"/>
      <c r="Y34" s="29"/>
      <c r="Z34" s="29"/>
      <c r="AA34" s="29"/>
      <c r="AB34" s="29"/>
      <c r="AC34" s="29"/>
      <c r="AD34" s="29"/>
      <c r="AE34" s="29"/>
      <c r="AF34" s="29"/>
      <c r="AG34" s="34"/>
      <c r="AH34" s="31" t="str">
        <f t="shared" ca="1" si="0"/>
        <v/>
      </c>
      <c r="AI34" s="29"/>
    </row>
    <row r="35" spans="1:35" x14ac:dyDescent="0.25">
      <c r="A35" s="29"/>
      <c r="B35" s="30" t="str">
        <f>IF($A35="","",IFERROR(INDEX(Vendors!$A$5:$A$400,MATCH($A35,Vendors!$B$5:$B$400,0)),"Not in Vendors tab"))</f>
        <v/>
      </c>
      <c r="C35" s="30" t="str">
        <f>IF($A35="","",IFERROR(INDEX(Vendors!$H$5:$H$400,MATCH($A35,Vendors!$B$5:$B$400,0))&amp;"",""))</f>
        <v/>
      </c>
      <c r="D35" s="31" t="str">
        <f>IF($A35="","",IFERROR(INDEX(Vendors!$J$5:$J$400,MATCH($A35,Vendors!$B$5:$B$400,0))&amp;"",""))</f>
        <v/>
      </c>
      <c r="E35" s="30" t="str">
        <f>IF($A35="","",IFERROR(IF(INDEX(Vendors!$K$5:$K$400,MATCH($A35,Vendors!$B$5:$B$400,0))&amp;""="",INDEX(Vendors!$F$5:$F$400,MATCH($A35,Vendors!$B$5:$B$400,0))&amp;"",INDEX(Vendors!$K$5:$K$400,MATCH($A35,Vendors!$B$5:$B$400,0))&amp;""),""))</f>
        <v/>
      </c>
      <c r="F35" s="32"/>
      <c r="G35" s="33"/>
      <c r="H35" s="33"/>
      <c r="I35" s="33"/>
      <c r="J35" s="32"/>
      <c r="K35" s="29"/>
      <c r="L35" s="29"/>
      <c r="M35" s="29"/>
      <c r="N35" s="29"/>
      <c r="O35" s="29"/>
      <c r="P35" s="29"/>
      <c r="Q35" s="29"/>
      <c r="R35" s="29"/>
      <c r="S35" s="29"/>
      <c r="T35" s="29"/>
      <c r="U35" s="29"/>
      <c r="V35" s="29"/>
      <c r="W35" s="29"/>
      <c r="X35" s="29"/>
      <c r="Y35" s="29"/>
      <c r="Z35" s="29"/>
      <c r="AA35" s="29"/>
      <c r="AB35" s="29"/>
      <c r="AC35" s="29"/>
      <c r="AD35" s="29"/>
      <c r="AE35" s="29"/>
      <c r="AF35" s="29"/>
      <c r="AG35" s="34"/>
      <c r="AH35" s="31" t="str">
        <f t="shared" ca="1" si="0"/>
        <v/>
      </c>
      <c r="AI35" s="29"/>
    </row>
    <row r="36" spans="1:35" x14ac:dyDescent="0.25">
      <c r="A36" s="29"/>
      <c r="B36" s="30" t="str">
        <f>IF($A36="","",IFERROR(INDEX(Vendors!$A$5:$A$400,MATCH($A36,Vendors!$B$5:$B$400,0)),"Not in Vendors tab"))</f>
        <v/>
      </c>
      <c r="C36" s="30" t="str">
        <f>IF($A36="","",IFERROR(INDEX(Vendors!$H$5:$H$400,MATCH($A36,Vendors!$B$5:$B$400,0))&amp;"",""))</f>
        <v/>
      </c>
      <c r="D36" s="31" t="str">
        <f>IF($A36="","",IFERROR(INDEX(Vendors!$J$5:$J$400,MATCH($A36,Vendors!$B$5:$B$400,0))&amp;"",""))</f>
        <v/>
      </c>
      <c r="E36" s="30" t="str">
        <f>IF($A36="","",IFERROR(IF(INDEX(Vendors!$K$5:$K$400,MATCH($A36,Vendors!$B$5:$B$400,0))&amp;""="",INDEX(Vendors!$F$5:$F$400,MATCH($A36,Vendors!$B$5:$B$400,0))&amp;"",INDEX(Vendors!$K$5:$K$400,MATCH($A36,Vendors!$B$5:$B$400,0))&amp;""),""))</f>
        <v/>
      </c>
      <c r="F36" s="32"/>
      <c r="G36" s="33"/>
      <c r="H36" s="33"/>
      <c r="I36" s="33"/>
      <c r="J36" s="32"/>
      <c r="K36" s="29"/>
      <c r="L36" s="29"/>
      <c r="M36" s="29"/>
      <c r="N36" s="29"/>
      <c r="O36" s="29"/>
      <c r="P36" s="29"/>
      <c r="Q36" s="29"/>
      <c r="R36" s="29"/>
      <c r="S36" s="29"/>
      <c r="T36" s="29"/>
      <c r="U36" s="29"/>
      <c r="V36" s="29"/>
      <c r="W36" s="29"/>
      <c r="X36" s="29"/>
      <c r="Y36" s="29"/>
      <c r="Z36" s="29"/>
      <c r="AA36" s="29"/>
      <c r="AB36" s="29"/>
      <c r="AC36" s="29"/>
      <c r="AD36" s="29"/>
      <c r="AE36" s="29"/>
      <c r="AF36" s="29"/>
      <c r="AG36" s="34"/>
      <c r="AH36" s="31" t="str">
        <f t="shared" ca="1" si="0"/>
        <v/>
      </c>
      <c r="AI36" s="29"/>
    </row>
    <row r="37" spans="1:35" x14ac:dyDescent="0.25">
      <c r="A37" s="29"/>
      <c r="B37" s="30" t="str">
        <f>IF($A37="","",IFERROR(INDEX(Vendors!$A$5:$A$400,MATCH($A37,Vendors!$B$5:$B$400,0)),"Not in Vendors tab"))</f>
        <v/>
      </c>
      <c r="C37" s="30" t="str">
        <f>IF($A37="","",IFERROR(INDEX(Vendors!$H$5:$H$400,MATCH($A37,Vendors!$B$5:$B$400,0))&amp;"",""))</f>
        <v/>
      </c>
      <c r="D37" s="31" t="str">
        <f>IF($A37="","",IFERROR(INDEX(Vendors!$J$5:$J$400,MATCH($A37,Vendors!$B$5:$B$400,0))&amp;"",""))</f>
        <v/>
      </c>
      <c r="E37" s="30" t="str">
        <f>IF($A37="","",IFERROR(IF(INDEX(Vendors!$K$5:$K$400,MATCH($A37,Vendors!$B$5:$B$400,0))&amp;""="",INDEX(Vendors!$F$5:$F$400,MATCH($A37,Vendors!$B$5:$B$400,0))&amp;"",INDEX(Vendors!$K$5:$K$400,MATCH($A37,Vendors!$B$5:$B$400,0))&amp;""),""))</f>
        <v/>
      </c>
      <c r="F37" s="32"/>
      <c r="G37" s="33"/>
      <c r="H37" s="33"/>
      <c r="I37" s="33"/>
      <c r="J37" s="32"/>
      <c r="K37" s="29"/>
      <c r="L37" s="29"/>
      <c r="M37" s="29"/>
      <c r="N37" s="29"/>
      <c r="O37" s="29"/>
      <c r="P37" s="29"/>
      <c r="Q37" s="29"/>
      <c r="R37" s="29"/>
      <c r="S37" s="29"/>
      <c r="T37" s="29"/>
      <c r="U37" s="29"/>
      <c r="V37" s="29"/>
      <c r="W37" s="29"/>
      <c r="X37" s="29"/>
      <c r="Y37" s="29"/>
      <c r="Z37" s="29"/>
      <c r="AA37" s="29"/>
      <c r="AB37" s="29"/>
      <c r="AC37" s="29"/>
      <c r="AD37" s="29"/>
      <c r="AE37" s="29"/>
      <c r="AF37" s="29"/>
      <c r="AG37" s="34"/>
      <c r="AH37" s="31" t="str">
        <f t="shared" ca="1" si="0"/>
        <v/>
      </c>
      <c r="AI37" s="29"/>
    </row>
    <row r="38" spans="1:35" x14ac:dyDescent="0.25">
      <c r="A38" s="29"/>
      <c r="B38" s="30" t="str">
        <f>IF($A38="","",IFERROR(INDEX(Vendors!$A$5:$A$400,MATCH($A38,Vendors!$B$5:$B$400,0)),"Not in Vendors tab"))</f>
        <v/>
      </c>
      <c r="C38" s="30" t="str">
        <f>IF($A38="","",IFERROR(INDEX(Vendors!$H$5:$H$400,MATCH($A38,Vendors!$B$5:$B$400,0))&amp;"",""))</f>
        <v/>
      </c>
      <c r="D38" s="31" t="str">
        <f>IF($A38="","",IFERROR(INDEX(Vendors!$J$5:$J$400,MATCH($A38,Vendors!$B$5:$B$400,0))&amp;"",""))</f>
        <v/>
      </c>
      <c r="E38" s="30" t="str">
        <f>IF($A38="","",IFERROR(IF(INDEX(Vendors!$K$5:$K$400,MATCH($A38,Vendors!$B$5:$B$400,0))&amp;""="",INDEX(Vendors!$F$5:$F$400,MATCH($A38,Vendors!$B$5:$B$400,0))&amp;"",INDEX(Vendors!$K$5:$K$400,MATCH($A38,Vendors!$B$5:$B$400,0))&amp;""),""))</f>
        <v/>
      </c>
      <c r="F38" s="32"/>
      <c r="G38" s="33"/>
      <c r="H38" s="33"/>
      <c r="I38" s="33"/>
      <c r="J38" s="32"/>
      <c r="K38" s="29"/>
      <c r="L38" s="29"/>
      <c r="M38" s="29"/>
      <c r="N38" s="29"/>
      <c r="O38" s="29"/>
      <c r="P38" s="29"/>
      <c r="Q38" s="29"/>
      <c r="R38" s="29"/>
      <c r="S38" s="29"/>
      <c r="T38" s="29"/>
      <c r="U38" s="29"/>
      <c r="V38" s="29"/>
      <c r="W38" s="29"/>
      <c r="X38" s="29"/>
      <c r="Y38" s="29"/>
      <c r="Z38" s="29"/>
      <c r="AA38" s="29"/>
      <c r="AB38" s="29"/>
      <c r="AC38" s="29"/>
      <c r="AD38" s="29"/>
      <c r="AE38" s="29"/>
      <c r="AF38" s="29"/>
      <c r="AG38" s="34"/>
      <c r="AH38" s="31" t="str">
        <f t="shared" ca="1" si="0"/>
        <v/>
      </c>
      <c r="AI38" s="29"/>
    </row>
    <row r="39" spans="1:35" x14ac:dyDescent="0.25">
      <c r="A39" s="29"/>
      <c r="B39" s="30" t="str">
        <f>IF($A39="","",IFERROR(INDEX(Vendors!$A$5:$A$400,MATCH($A39,Vendors!$B$5:$B$400,0)),"Not in Vendors tab"))</f>
        <v/>
      </c>
      <c r="C39" s="30" t="str">
        <f>IF($A39="","",IFERROR(INDEX(Vendors!$H$5:$H$400,MATCH($A39,Vendors!$B$5:$B$400,0))&amp;"",""))</f>
        <v/>
      </c>
      <c r="D39" s="31" t="str">
        <f>IF($A39="","",IFERROR(INDEX(Vendors!$J$5:$J$400,MATCH($A39,Vendors!$B$5:$B$400,0))&amp;"",""))</f>
        <v/>
      </c>
      <c r="E39" s="30" t="str">
        <f>IF($A39="","",IFERROR(IF(INDEX(Vendors!$K$5:$K$400,MATCH($A39,Vendors!$B$5:$B$400,0))&amp;""="",INDEX(Vendors!$F$5:$F$400,MATCH($A39,Vendors!$B$5:$B$400,0))&amp;"",INDEX(Vendors!$K$5:$K$400,MATCH($A39,Vendors!$B$5:$B$400,0))&amp;""),""))</f>
        <v/>
      </c>
      <c r="F39" s="32"/>
      <c r="G39" s="33"/>
      <c r="H39" s="33"/>
      <c r="I39" s="33"/>
      <c r="J39" s="32"/>
      <c r="K39" s="29"/>
      <c r="L39" s="29"/>
      <c r="M39" s="29"/>
      <c r="N39" s="29"/>
      <c r="O39" s="29"/>
      <c r="P39" s="29"/>
      <c r="Q39" s="29"/>
      <c r="R39" s="29"/>
      <c r="S39" s="29"/>
      <c r="T39" s="29"/>
      <c r="U39" s="29"/>
      <c r="V39" s="29"/>
      <c r="W39" s="29"/>
      <c r="X39" s="29"/>
      <c r="Y39" s="29"/>
      <c r="Z39" s="29"/>
      <c r="AA39" s="29"/>
      <c r="AB39" s="29"/>
      <c r="AC39" s="29"/>
      <c r="AD39" s="29"/>
      <c r="AE39" s="29"/>
      <c r="AF39" s="29"/>
      <c r="AG39" s="34"/>
      <c r="AH39" s="31" t="str">
        <f t="shared" ca="1" si="0"/>
        <v/>
      </c>
      <c r="AI39" s="29"/>
    </row>
    <row r="40" spans="1:35" x14ac:dyDescent="0.25">
      <c r="A40" s="29"/>
      <c r="B40" s="30" t="str">
        <f>IF($A40="","",IFERROR(INDEX(Vendors!$A$5:$A$400,MATCH($A40,Vendors!$B$5:$B$400,0)),"Not in Vendors tab"))</f>
        <v/>
      </c>
      <c r="C40" s="30" t="str">
        <f>IF($A40="","",IFERROR(INDEX(Vendors!$H$5:$H$400,MATCH($A40,Vendors!$B$5:$B$400,0))&amp;"",""))</f>
        <v/>
      </c>
      <c r="D40" s="31" t="str">
        <f>IF($A40="","",IFERROR(INDEX(Vendors!$J$5:$J$400,MATCH($A40,Vendors!$B$5:$B$400,0))&amp;"",""))</f>
        <v/>
      </c>
      <c r="E40" s="30" t="str">
        <f>IF($A40="","",IFERROR(IF(INDEX(Vendors!$K$5:$K$400,MATCH($A40,Vendors!$B$5:$B$400,0))&amp;""="",INDEX(Vendors!$F$5:$F$400,MATCH($A40,Vendors!$B$5:$B$400,0))&amp;"",INDEX(Vendors!$K$5:$K$400,MATCH($A40,Vendors!$B$5:$B$400,0))&amp;""),""))</f>
        <v/>
      </c>
      <c r="F40" s="32"/>
      <c r="G40" s="33"/>
      <c r="H40" s="33"/>
      <c r="I40" s="33"/>
      <c r="J40" s="32"/>
      <c r="K40" s="29"/>
      <c r="L40" s="29"/>
      <c r="M40" s="29"/>
      <c r="N40" s="29"/>
      <c r="O40" s="29"/>
      <c r="P40" s="29"/>
      <c r="Q40" s="29"/>
      <c r="R40" s="29"/>
      <c r="S40" s="29"/>
      <c r="T40" s="29"/>
      <c r="U40" s="29"/>
      <c r="V40" s="29"/>
      <c r="W40" s="29"/>
      <c r="X40" s="29"/>
      <c r="Y40" s="29"/>
      <c r="Z40" s="29"/>
      <c r="AA40" s="29"/>
      <c r="AB40" s="29"/>
      <c r="AC40" s="29"/>
      <c r="AD40" s="29"/>
      <c r="AE40" s="29"/>
      <c r="AF40" s="29"/>
      <c r="AG40" s="34"/>
      <c r="AH40" s="31" t="str">
        <f t="shared" ca="1" si="0"/>
        <v/>
      </c>
      <c r="AI40" s="29"/>
    </row>
    <row r="41" spans="1:35" x14ac:dyDescent="0.25">
      <c r="A41" s="29"/>
      <c r="B41" s="30" t="str">
        <f>IF($A41="","",IFERROR(INDEX(Vendors!$A$5:$A$400,MATCH($A41,Vendors!$B$5:$B$400,0)),"Not in Vendors tab"))</f>
        <v/>
      </c>
      <c r="C41" s="30" t="str">
        <f>IF($A41="","",IFERROR(INDEX(Vendors!$H$5:$H$400,MATCH($A41,Vendors!$B$5:$B$400,0))&amp;"",""))</f>
        <v/>
      </c>
      <c r="D41" s="31" t="str">
        <f>IF($A41="","",IFERROR(INDEX(Vendors!$J$5:$J$400,MATCH($A41,Vendors!$B$5:$B$400,0))&amp;"",""))</f>
        <v/>
      </c>
      <c r="E41" s="30" t="str">
        <f>IF($A41="","",IFERROR(IF(INDEX(Vendors!$K$5:$K$400,MATCH($A41,Vendors!$B$5:$B$400,0))&amp;""="",INDEX(Vendors!$F$5:$F$400,MATCH($A41,Vendors!$B$5:$B$400,0))&amp;"",INDEX(Vendors!$K$5:$K$400,MATCH($A41,Vendors!$B$5:$B$400,0))&amp;""),""))</f>
        <v/>
      </c>
      <c r="F41" s="32"/>
      <c r="G41" s="33"/>
      <c r="H41" s="33"/>
      <c r="I41" s="33"/>
      <c r="J41" s="32"/>
      <c r="K41" s="29"/>
      <c r="L41" s="29"/>
      <c r="M41" s="29"/>
      <c r="N41" s="29"/>
      <c r="O41" s="29"/>
      <c r="P41" s="29"/>
      <c r="Q41" s="29"/>
      <c r="R41" s="29"/>
      <c r="S41" s="29"/>
      <c r="T41" s="29"/>
      <c r="U41" s="29"/>
      <c r="V41" s="29"/>
      <c r="W41" s="29"/>
      <c r="X41" s="29"/>
      <c r="Y41" s="29"/>
      <c r="Z41" s="29"/>
      <c r="AA41" s="29"/>
      <c r="AB41" s="29"/>
      <c r="AC41" s="29"/>
      <c r="AD41" s="29"/>
      <c r="AE41" s="29"/>
      <c r="AF41" s="29"/>
      <c r="AG41" s="34"/>
      <c r="AH41" s="31" t="str">
        <f t="shared" ca="1" si="0"/>
        <v/>
      </c>
      <c r="AI41" s="29"/>
    </row>
    <row r="42" spans="1:35" x14ac:dyDescent="0.25">
      <c r="A42" s="29"/>
      <c r="B42" s="30" t="str">
        <f>IF($A42="","",IFERROR(INDEX(Vendors!$A$5:$A$400,MATCH($A42,Vendors!$B$5:$B$400,0)),"Not in Vendors tab"))</f>
        <v/>
      </c>
      <c r="C42" s="30" t="str">
        <f>IF($A42="","",IFERROR(INDEX(Vendors!$H$5:$H$400,MATCH($A42,Vendors!$B$5:$B$400,0))&amp;"",""))</f>
        <v/>
      </c>
      <c r="D42" s="31" t="str">
        <f>IF($A42="","",IFERROR(INDEX(Vendors!$J$5:$J$400,MATCH($A42,Vendors!$B$5:$B$400,0))&amp;"",""))</f>
        <v/>
      </c>
      <c r="E42" s="30" t="str">
        <f>IF($A42="","",IFERROR(IF(INDEX(Vendors!$K$5:$K$400,MATCH($A42,Vendors!$B$5:$B$400,0))&amp;""="",INDEX(Vendors!$F$5:$F$400,MATCH($A42,Vendors!$B$5:$B$400,0))&amp;"",INDEX(Vendors!$K$5:$K$400,MATCH($A42,Vendors!$B$5:$B$400,0))&amp;""),""))</f>
        <v/>
      </c>
      <c r="F42" s="32"/>
      <c r="G42" s="33"/>
      <c r="H42" s="33"/>
      <c r="I42" s="33"/>
      <c r="J42" s="32"/>
      <c r="K42" s="29"/>
      <c r="L42" s="29"/>
      <c r="M42" s="29"/>
      <c r="N42" s="29"/>
      <c r="O42" s="29"/>
      <c r="P42" s="29"/>
      <c r="Q42" s="29"/>
      <c r="R42" s="29"/>
      <c r="S42" s="29"/>
      <c r="T42" s="29"/>
      <c r="U42" s="29"/>
      <c r="V42" s="29"/>
      <c r="W42" s="29"/>
      <c r="X42" s="29"/>
      <c r="Y42" s="29"/>
      <c r="Z42" s="29"/>
      <c r="AA42" s="29"/>
      <c r="AB42" s="29"/>
      <c r="AC42" s="29"/>
      <c r="AD42" s="29"/>
      <c r="AE42" s="29"/>
      <c r="AF42" s="29"/>
      <c r="AG42" s="34"/>
      <c r="AH42" s="31" t="str">
        <f t="shared" ca="1" si="0"/>
        <v/>
      </c>
      <c r="AI42" s="29"/>
    </row>
    <row r="43" spans="1:35" x14ac:dyDescent="0.25">
      <c r="A43" s="29"/>
      <c r="B43" s="30" t="str">
        <f>IF($A43="","",IFERROR(INDEX(Vendors!$A$5:$A$400,MATCH($A43,Vendors!$B$5:$B$400,0)),"Not in Vendors tab"))</f>
        <v/>
      </c>
      <c r="C43" s="30" t="str">
        <f>IF($A43="","",IFERROR(INDEX(Vendors!$H$5:$H$400,MATCH($A43,Vendors!$B$5:$B$400,0))&amp;"",""))</f>
        <v/>
      </c>
      <c r="D43" s="31" t="str">
        <f>IF($A43="","",IFERROR(INDEX(Vendors!$J$5:$J$400,MATCH($A43,Vendors!$B$5:$B$400,0))&amp;"",""))</f>
        <v/>
      </c>
      <c r="E43" s="30" t="str">
        <f>IF($A43="","",IFERROR(IF(INDEX(Vendors!$K$5:$K$400,MATCH($A43,Vendors!$B$5:$B$400,0))&amp;""="",INDEX(Vendors!$F$5:$F$400,MATCH($A43,Vendors!$B$5:$B$400,0))&amp;"",INDEX(Vendors!$K$5:$K$400,MATCH($A43,Vendors!$B$5:$B$400,0))&amp;""),""))</f>
        <v/>
      </c>
      <c r="F43" s="32"/>
      <c r="G43" s="33"/>
      <c r="H43" s="33"/>
      <c r="I43" s="33"/>
      <c r="J43" s="32"/>
      <c r="K43" s="29"/>
      <c r="L43" s="29"/>
      <c r="M43" s="29"/>
      <c r="N43" s="29"/>
      <c r="O43" s="29"/>
      <c r="P43" s="29"/>
      <c r="Q43" s="29"/>
      <c r="R43" s="29"/>
      <c r="S43" s="29"/>
      <c r="T43" s="29"/>
      <c r="U43" s="29"/>
      <c r="V43" s="29"/>
      <c r="W43" s="29"/>
      <c r="X43" s="29"/>
      <c r="Y43" s="29"/>
      <c r="Z43" s="29"/>
      <c r="AA43" s="29"/>
      <c r="AB43" s="29"/>
      <c r="AC43" s="29"/>
      <c r="AD43" s="29"/>
      <c r="AE43" s="29"/>
      <c r="AF43" s="29"/>
      <c r="AG43" s="34"/>
      <c r="AH43" s="31" t="str">
        <f t="shared" ca="1" si="0"/>
        <v/>
      </c>
      <c r="AI43" s="29"/>
    </row>
    <row r="44" spans="1:35" x14ac:dyDescent="0.25">
      <c r="A44" s="29"/>
      <c r="B44" s="30" t="str">
        <f>IF($A44="","",IFERROR(INDEX(Vendors!$A$5:$A$400,MATCH($A44,Vendors!$B$5:$B$400,0)),"Not in Vendors tab"))</f>
        <v/>
      </c>
      <c r="C44" s="30" t="str">
        <f>IF($A44="","",IFERROR(INDEX(Vendors!$H$5:$H$400,MATCH($A44,Vendors!$B$5:$B$400,0))&amp;"",""))</f>
        <v/>
      </c>
      <c r="D44" s="31" t="str">
        <f>IF($A44="","",IFERROR(INDEX(Vendors!$J$5:$J$400,MATCH($A44,Vendors!$B$5:$B$400,0))&amp;"",""))</f>
        <v/>
      </c>
      <c r="E44" s="30" t="str">
        <f>IF($A44="","",IFERROR(IF(INDEX(Vendors!$K$5:$K$400,MATCH($A44,Vendors!$B$5:$B$400,0))&amp;""="",INDEX(Vendors!$F$5:$F$400,MATCH($A44,Vendors!$B$5:$B$400,0))&amp;"",INDEX(Vendors!$K$5:$K$400,MATCH($A44,Vendors!$B$5:$B$400,0))&amp;""),""))</f>
        <v/>
      </c>
      <c r="F44" s="32"/>
      <c r="G44" s="33"/>
      <c r="H44" s="33"/>
      <c r="I44" s="33"/>
      <c r="J44" s="32"/>
      <c r="K44" s="29"/>
      <c r="L44" s="29"/>
      <c r="M44" s="29"/>
      <c r="N44" s="29"/>
      <c r="O44" s="29"/>
      <c r="P44" s="29"/>
      <c r="Q44" s="29"/>
      <c r="R44" s="29"/>
      <c r="S44" s="29"/>
      <c r="T44" s="29"/>
      <c r="U44" s="29"/>
      <c r="V44" s="29"/>
      <c r="W44" s="29"/>
      <c r="X44" s="29"/>
      <c r="Y44" s="29"/>
      <c r="Z44" s="29"/>
      <c r="AA44" s="29"/>
      <c r="AB44" s="29"/>
      <c r="AC44" s="29"/>
      <c r="AD44" s="29"/>
      <c r="AE44" s="29"/>
      <c r="AF44" s="29"/>
      <c r="AG44" s="34"/>
      <c r="AH44" s="31" t="str">
        <f t="shared" ca="1" si="0"/>
        <v/>
      </c>
      <c r="AI44" s="29"/>
    </row>
    <row r="45" spans="1:35" x14ac:dyDescent="0.25">
      <c r="A45" s="29"/>
      <c r="B45" s="30" t="str">
        <f>IF($A45="","",IFERROR(INDEX(Vendors!$A$5:$A$400,MATCH($A45,Vendors!$B$5:$B$400,0)),"Not in Vendors tab"))</f>
        <v/>
      </c>
      <c r="C45" s="30" t="str">
        <f>IF($A45="","",IFERROR(INDEX(Vendors!$H$5:$H$400,MATCH($A45,Vendors!$B$5:$B$400,0))&amp;"",""))</f>
        <v/>
      </c>
      <c r="D45" s="31" t="str">
        <f>IF($A45="","",IFERROR(INDEX(Vendors!$J$5:$J$400,MATCH($A45,Vendors!$B$5:$B$400,0))&amp;"",""))</f>
        <v/>
      </c>
      <c r="E45" s="30" t="str">
        <f>IF($A45="","",IFERROR(IF(INDEX(Vendors!$K$5:$K$400,MATCH($A45,Vendors!$B$5:$B$400,0))&amp;""="",INDEX(Vendors!$F$5:$F$400,MATCH($A45,Vendors!$B$5:$B$400,0))&amp;"",INDEX(Vendors!$K$5:$K$400,MATCH($A45,Vendors!$B$5:$B$400,0))&amp;""),""))</f>
        <v/>
      </c>
      <c r="F45" s="32"/>
      <c r="G45" s="33"/>
      <c r="H45" s="33"/>
      <c r="I45" s="33"/>
      <c r="J45" s="32"/>
      <c r="K45" s="29"/>
      <c r="L45" s="29"/>
      <c r="M45" s="29"/>
      <c r="N45" s="29"/>
      <c r="O45" s="29"/>
      <c r="P45" s="29"/>
      <c r="Q45" s="29"/>
      <c r="R45" s="29"/>
      <c r="S45" s="29"/>
      <c r="T45" s="29"/>
      <c r="U45" s="29"/>
      <c r="V45" s="29"/>
      <c r="W45" s="29"/>
      <c r="X45" s="29"/>
      <c r="Y45" s="29"/>
      <c r="Z45" s="29"/>
      <c r="AA45" s="29"/>
      <c r="AB45" s="29"/>
      <c r="AC45" s="29"/>
      <c r="AD45" s="29"/>
      <c r="AE45" s="29"/>
      <c r="AF45" s="29"/>
      <c r="AG45" s="34"/>
      <c r="AH45" s="31" t="str">
        <f t="shared" ca="1" si="0"/>
        <v/>
      </c>
      <c r="AI45" s="29"/>
    </row>
    <row r="46" spans="1:35" x14ac:dyDescent="0.25">
      <c r="A46" s="29"/>
      <c r="B46" s="30" t="str">
        <f>IF($A46="","",IFERROR(INDEX(Vendors!$A$5:$A$400,MATCH($A46,Vendors!$B$5:$B$400,0)),"Not in Vendors tab"))</f>
        <v/>
      </c>
      <c r="C46" s="30" t="str">
        <f>IF($A46="","",IFERROR(INDEX(Vendors!$H$5:$H$400,MATCH($A46,Vendors!$B$5:$B$400,0))&amp;"",""))</f>
        <v/>
      </c>
      <c r="D46" s="31" t="str">
        <f>IF($A46="","",IFERROR(INDEX(Vendors!$J$5:$J$400,MATCH($A46,Vendors!$B$5:$B$400,0))&amp;"",""))</f>
        <v/>
      </c>
      <c r="E46" s="30" t="str">
        <f>IF($A46="","",IFERROR(IF(INDEX(Vendors!$K$5:$K$400,MATCH($A46,Vendors!$B$5:$B$400,0))&amp;""="",INDEX(Vendors!$F$5:$F$400,MATCH($A46,Vendors!$B$5:$B$400,0))&amp;"",INDEX(Vendors!$K$5:$K$400,MATCH($A46,Vendors!$B$5:$B$400,0))&amp;""),""))</f>
        <v/>
      </c>
      <c r="F46" s="32"/>
      <c r="G46" s="33"/>
      <c r="H46" s="33"/>
      <c r="I46" s="33"/>
      <c r="J46" s="32"/>
      <c r="K46" s="29"/>
      <c r="L46" s="29"/>
      <c r="M46" s="29"/>
      <c r="N46" s="29"/>
      <c r="O46" s="29"/>
      <c r="P46" s="29"/>
      <c r="Q46" s="29"/>
      <c r="R46" s="29"/>
      <c r="S46" s="29"/>
      <c r="T46" s="29"/>
      <c r="U46" s="29"/>
      <c r="V46" s="29"/>
      <c r="W46" s="29"/>
      <c r="X46" s="29"/>
      <c r="Y46" s="29"/>
      <c r="Z46" s="29"/>
      <c r="AA46" s="29"/>
      <c r="AB46" s="29"/>
      <c r="AC46" s="29"/>
      <c r="AD46" s="29"/>
      <c r="AE46" s="29"/>
      <c r="AF46" s="29"/>
      <c r="AG46" s="34"/>
      <c r="AH46" s="31" t="str">
        <f t="shared" ca="1" si="0"/>
        <v/>
      </c>
      <c r="AI46" s="29"/>
    </row>
    <row r="47" spans="1:35" x14ac:dyDescent="0.25">
      <c r="A47" s="29"/>
      <c r="B47" s="30" t="str">
        <f>IF($A47="","",IFERROR(INDEX(Vendors!$A$5:$A$400,MATCH($A47,Vendors!$B$5:$B$400,0)),"Not in Vendors tab"))</f>
        <v/>
      </c>
      <c r="C47" s="30" t="str">
        <f>IF($A47="","",IFERROR(INDEX(Vendors!$H$5:$H$400,MATCH($A47,Vendors!$B$5:$B$400,0))&amp;"",""))</f>
        <v/>
      </c>
      <c r="D47" s="31" t="str">
        <f>IF($A47="","",IFERROR(INDEX(Vendors!$J$5:$J$400,MATCH($A47,Vendors!$B$5:$B$400,0))&amp;"",""))</f>
        <v/>
      </c>
      <c r="E47" s="30" t="str">
        <f>IF($A47="","",IFERROR(IF(INDEX(Vendors!$K$5:$K$400,MATCH($A47,Vendors!$B$5:$B$400,0))&amp;""="",INDEX(Vendors!$F$5:$F$400,MATCH($A47,Vendors!$B$5:$B$400,0))&amp;"",INDEX(Vendors!$K$5:$K$400,MATCH($A47,Vendors!$B$5:$B$400,0))&amp;""),""))</f>
        <v/>
      </c>
      <c r="F47" s="32"/>
      <c r="G47" s="33"/>
      <c r="H47" s="33"/>
      <c r="I47" s="33"/>
      <c r="J47" s="32"/>
      <c r="K47" s="29"/>
      <c r="L47" s="29"/>
      <c r="M47" s="29"/>
      <c r="N47" s="29"/>
      <c r="O47" s="29"/>
      <c r="P47" s="29"/>
      <c r="Q47" s="29"/>
      <c r="R47" s="29"/>
      <c r="S47" s="29"/>
      <c r="T47" s="29"/>
      <c r="U47" s="29"/>
      <c r="V47" s="29"/>
      <c r="W47" s="29"/>
      <c r="X47" s="29"/>
      <c r="Y47" s="29"/>
      <c r="Z47" s="29"/>
      <c r="AA47" s="29"/>
      <c r="AB47" s="29"/>
      <c r="AC47" s="29"/>
      <c r="AD47" s="29"/>
      <c r="AE47" s="29"/>
      <c r="AF47" s="29"/>
      <c r="AG47" s="34"/>
      <c r="AH47" s="31" t="str">
        <f t="shared" ref="AH47:AH78" ca="1" si="1">IF(OR($A47="",AG47=""),"",IF(OR(F47="Complete",F47="Declined",F47="No Response"),"",IF(AG47&lt;TODAY(),"OVERDUE",IF(AG47-TODAY()&lt;=7,"Due 7d",""))))</f>
        <v/>
      </c>
      <c r="AI47" s="29"/>
    </row>
    <row r="48" spans="1:35" x14ac:dyDescent="0.25">
      <c r="A48" s="29"/>
      <c r="B48" s="30" t="str">
        <f>IF($A48="","",IFERROR(INDEX(Vendors!$A$5:$A$400,MATCH($A48,Vendors!$B$5:$B$400,0)),"Not in Vendors tab"))</f>
        <v/>
      </c>
      <c r="C48" s="30" t="str">
        <f>IF($A48="","",IFERROR(INDEX(Vendors!$H$5:$H$400,MATCH($A48,Vendors!$B$5:$B$400,0))&amp;"",""))</f>
        <v/>
      </c>
      <c r="D48" s="31" t="str">
        <f>IF($A48="","",IFERROR(INDEX(Vendors!$J$5:$J$400,MATCH($A48,Vendors!$B$5:$B$400,0))&amp;"",""))</f>
        <v/>
      </c>
      <c r="E48" s="30" t="str">
        <f>IF($A48="","",IFERROR(IF(INDEX(Vendors!$K$5:$K$400,MATCH($A48,Vendors!$B$5:$B$400,0))&amp;""="",INDEX(Vendors!$F$5:$F$400,MATCH($A48,Vendors!$B$5:$B$400,0))&amp;"",INDEX(Vendors!$K$5:$K$400,MATCH($A48,Vendors!$B$5:$B$400,0))&amp;""),""))</f>
        <v/>
      </c>
      <c r="F48" s="32"/>
      <c r="G48" s="33"/>
      <c r="H48" s="33"/>
      <c r="I48" s="33"/>
      <c r="J48" s="32"/>
      <c r="K48" s="29"/>
      <c r="L48" s="29"/>
      <c r="M48" s="29"/>
      <c r="N48" s="29"/>
      <c r="O48" s="29"/>
      <c r="P48" s="29"/>
      <c r="Q48" s="29"/>
      <c r="R48" s="29"/>
      <c r="S48" s="29"/>
      <c r="T48" s="29"/>
      <c r="U48" s="29"/>
      <c r="V48" s="29"/>
      <c r="W48" s="29"/>
      <c r="X48" s="29"/>
      <c r="Y48" s="29"/>
      <c r="Z48" s="29"/>
      <c r="AA48" s="29"/>
      <c r="AB48" s="29"/>
      <c r="AC48" s="29"/>
      <c r="AD48" s="29"/>
      <c r="AE48" s="29"/>
      <c r="AF48" s="29"/>
      <c r="AG48" s="34"/>
      <c r="AH48" s="31" t="str">
        <f t="shared" ca="1" si="1"/>
        <v/>
      </c>
      <c r="AI48" s="29"/>
    </row>
    <row r="49" spans="1:35" x14ac:dyDescent="0.25">
      <c r="A49" s="29"/>
      <c r="B49" s="30" t="str">
        <f>IF($A49="","",IFERROR(INDEX(Vendors!$A$5:$A$400,MATCH($A49,Vendors!$B$5:$B$400,0)),"Not in Vendors tab"))</f>
        <v/>
      </c>
      <c r="C49" s="30" t="str">
        <f>IF($A49="","",IFERROR(INDEX(Vendors!$H$5:$H$400,MATCH($A49,Vendors!$B$5:$B$400,0))&amp;"",""))</f>
        <v/>
      </c>
      <c r="D49" s="31" t="str">
        <f>IF($A49="","",IFERROR(INDEX(Vendors!$J$5:$J$400,MATCH($A49,Vendors!$B$5:$B$400,0))&amp;"",""))</f>
        <v/>
      </c>
      <c r="E49" s="30" t="str">
        <f>IF($A49="","",IFERROR(IF(INDEX(Vendors!$K$5:$K$400,MATCH($A49,Vendors!$B$5:$B$400,0))&amp;""="",INDEX(Vendors!$F$5:$F$400,MATCH($A49,Vendors!$B$5:$B$400,0))&amp;"",INDEX(Vendors!$K$5:$K$400,MATCH($A49,Vendors!$B$5:$B$400,0))&amp;""),""))</f>
        <v/>
      </c>
      <c r="F49" s="32"/>
      <c r="G49" s="33"/>
      <c r="H49" s="33"/>
      <c r="I49" s="33"/>
      <c r="J49" s="32"/>
      <c r="K49" s="29"/>
      <c r="L49" s="29"/>
      <c r="M49" s="29"/>
      <c r="N49" s="29"/>
      <c r="O49" s="29"/>
      <c r="P49" s="29"/>
      <c r="Q49" s="29"/>
      <c r="R49" s="29"/>
      <c r="S49" s="29"/>
      <c r="T49" s="29"/>
      <c r="U49" s="29"/>
      <c r="V49" s="29"/>
      <c r="W49" s="29"/>
      <c r="X49" s="29"/>
      <c r="Y49" s="29"/>
      <c r="Z49" s="29"/>
      <c r="AA49" s="29"/>
      <c r="AB49" s="29"/>
      <c r="AC49" s="29"/>
      <c r="AD49" s="29"/>
      <c r="AE49" s="29"/>
      <c r="AF49" s="29"/>
      <c r="AG49" s="34"/>
      <c r="AH49" s="31" t="str">
        <f t="shared" ca="1" si="1"/>
        <v/>
      </c>
      <c r="AI49" s="29"/>
    </row>
    <row r="50" spans="1:35" x14ac:dyDescent="0.25">
      <c r="A50" s="29"/>
      <c r="B50" s="30" t="str">
        <f>IF($A50="","",IFERROR(INDEX(Vendors!$A$5:$A$400,MATCH($A50,Vendors!$B$5:$B$400,0)),"Not in Vendors tab"))</f>
        <v/>
      </c>
      <c r="C50" s="30" t="str">
        <f>IF($A50="","",IFERROR(INDEX(Vendors!$H$5:$H$400,MATCH($A50,Vendors!$B$5:$B$400,0))&amp;"",""))</f>
        <v/>
      </c>
      <c r="D50" s="31" t="str">
        <f>IF($A50="","",IFERROR(INDEX(Vendors!$J$5:$J$400,MATCH($A50,Vendors!$B$5:$B$400,0))&amp;"",""))</f>
        <v/>
      </c>
      <c r="E50" s="30" t="str">
        <f>IF($A50="","",IFERROR(IF(INDEX(Vendors!$K$5:$K$400,MATCH($A50,Vendors!$B$5:$B$400,0))&amp;""="",INDEX(Vendors!$F$5:$F$400,MATCH($A50,Vendors!$B$5:$B$400,0))&amp;"",INDEX(Vendors!$K$5:$K$400,MATCH($A50,Vendors!$B$5:$B$400,0))&amp;""),""))</f>
        <v/>
      </c>
      <c r="F50" s="32"/>
      <c r="G50" s="33"/>
      <c r="H50" s="33"/>
      <c r="I50" s="33"/>
      <c r="J50" s="32"/>
      <c r="K50" s="29"/>
      <c r="L50" s="29"/>
      <c r="M50" s="29"/>
      <c r="N50" s="29"/>
      <c r="O50" s="29"/>
      <c r="P50" s="29"/>
      <c r="Q50" s="29"/>
      <c r="R50" s="29"/>
      <c r="S50" s="29"/>
      <c r="T50" s="29"/>
      <c r="U50" s="29"/>
      <c r="V50" s="29"/>
      <c r="W50" s="29"/>
      <c r="X50" s="29"/>
      <c r="Y50" s="29"/>
      <c r="Z50" s="29"/>
      <c r="AA50" s="29"/>
      <c r="AB50" s="29"/>
      <c r="AC50" s="29"/>
      <c r="AD50" s="29"/>
      <c r="AE50" s="29"/>
      <c r="AF50" s="29"/>
      <c r="AG50" s="34"/>
      <c r="AH50" s="31" t="str">
        <f t="shared" ca="1" si="1"/>
        <v/>
      </c>
      <c r="AI50" s="29"/>
    </row>
    <row r="51" spans="1:35" x14ac:dyDescent="0.25">
      <c r="A51" s="29"/>
      <c r="B51" s="30" t="str">
        <f>IF($A51="","",IFERROR(INDEX(Vendors!$A$5:$A$400,MATCH($A51,Vendors!$B$5:$B$400,0)),"Not in Vendors tab"))</f>
        <v/>
      </c>
      <c r="C51" s="30" t="str">
        <f>IF($A51="","",IFERROR(INDEX(Vendors!$H$5:$H$400,MATCH($A51,Vendors!$B$5:$B$400,0))&amp;"",""))</f>
        <v/>
      </c>
      <c r="D51" s="31" t="str">
        <f>IF($A51="","",IFERROR(INDEX(Vendors!$J$5:$J$400,MATCH($A51,Vendors!$B$5:$B$400,0))&amp;"",""))</f>
        <v/>
      </c>
      <c r="E51" s="30" t="str">
        <f>IF($A51="","",IFERROR(IF(INDEX(Vendors!$K$5:$K$400,MATCH($A51,Vendors!$B$5:$B$400,0))&amp;""="",INDEX(Vendors!$F$5:$F$400,MATCH($A51,Vendors!$B$5:$B$400,0))&amp;"",INDEX(Vendors!$K$5:$K$400,MATCH($A51,Vendors!$B$5:$B$400,0))&amp;""),""))</f>
        <v/>
      </c>
      <c r="F51" s="32"/>
      <c r="G51" s="33"/>
      <c r="H51" s="33"/>
      <c r="I51" s="33"/>
      <c r="J51" s="32"/>
      <c r="K51" s="29"/>
      <c r="L51" s="29"/>
      <c r="M51" s="29"/>
      <c r="N51" s="29"/>
      <c r="O51" s="29"/>
      <c r="P51" s="29"/>
      <c r="Q51" s="29"/>
      <c r="R51" s="29"/>
      <c r="S51" s="29"/>
      <c r="T51" s="29"/>
      <c r="U51" s="29"/>
      <c r="V51" s="29"/>
      <c r="W51" s="29"/>
      <c r="X51" s="29"/>
      <c r="Y51" s="29"/>
      <c r="Z51" s="29"/>
      <c r="AA51" s="29"/>
      <c r="AB51" s="29"/>
      <c r="AC51" s="29"/>
      <c r="AD51" s="29"/>
      <c r="AE51" s="29"/>
      <c r="AF51" s="29"/>
      <c r="AG51" s="34"/>
      <c r="AH51" s="31" t="str">
        <f t="shared" ca="1" si="1"/>
        <v/>
      </c>
      <c r="AI51" s="29"/>
    </row>
    <row r="52" spans="1:35" x14ac:dyDescent="0.25">
      <c r="A52" s="29"/>
      <c r="B52" s="30" t="str">
        <f>IF($A52="","",IFERROR(INDEX(Vendors!$A$5:$A$400,MATCH($A52,Vendors!$B$5:$B$400,0)),"Not in Vendors tab"))</f>
        <v/>
      </c>
      <c r="C52" s="30" t="str">
        <f>IF($A52="","",IFERROR(INDEX(Vendors!$H$5:$H$400,MATCH($A52,Vendors!$B$5:$B$400,0))&amp;"",""))</f>
        <v/>
      </c>
      <c r="D52" s="31" t="str">
        <f>IF($A52="","",IFERROR(INDEX(Vendors!$J$5:$J$400,MATCH($A52,Vendors!$B$5:$B$400,0))&amp;"",""))</f>
        <v/>
      </c>
      <c r="E52" s="30" t="str">
        <f>IF($A52="","",IFERROR(IF(INDEX(Vendors!$K$5:$K$400,MATCH($A52,Vendors!$B$5:$B$400,0))&amp;""="",INDEX(Vendors!$F$5:$F$400,MATCH($A52,Vendors!$B$5:$B$400,0))&amp;"",INDEX(Vendors!$K$5:$K$400,MATCH($A52,Vendors!$B$5:$B$400,0))&amp;""),""))</f>
        <v/>
      </c>
      <c r="F52" s="32"/>
      <c r="G52" s="33"/>
      <c r="H52" s="33"/>
      <c r="I52" s="33"/>
      <c r="J52" s="32"/>
      <c r="K52" s="29"/>
      <c r="L52" s="29"/>
      <c r="M52" s="29"/>
      <c r="N52" s="29"/>
      <c r="O52" s="29"/>
      <c r="P52" s="29"/>
      <c r="Q52" s="29"/>
      <c r="R52" s="29"/>
      <c r="S52" s="29"/>
      <c r="T52" s="29"/>
      <c r="U52" s="29"/>
      <c r="V52" s="29"/>
      <c r="W52" s="29"/>
      <c r="X52" s="29"/>
      <c r="Y52" s="29"/>
      <c r="Z52" s="29"/>
      <c r="AA52" s="29"/>
      <c r="AB52" s="29"/>
      <c r="AC52" s="29"/>
      <c r="AD52" s="29"/>
      <c r="AE52" s="29"/>
      <c r="AF52" s="29"/>
      <c r="AG52" s="34"/>
      <c r="AH52" s="31" t="str">
        <f t="shared" ca="1" si="1"/>
        <v/>
      </c>
      <c r="AI52" s="29"/>
    </row>
    <row r="53" spans="1:35" x14ac:dyDescent="0.25">
      <c r="A53" s="29"/>
      <c r="B53" s="30" t="str">
        <f>IF($A53="","",IFERROR(INDEX(Vendors!$A$5:$A$400,MATCH($A53,Vendors!$B$5:$B$400,0)),"Not in Vendors tab"))</f>
        <v/>
      </c>
      <c r="C53" s="30" t="str">
        <f>IF($A53="","",IFERROR(INDEX(Vendors!$H$5:$H$400,MATCH($A53,Vendors!$B$5:$B$400,0))&amp;"",""))</f>
        <v/>
      </c>
      <c r="D53" s="31" t="str">
        <f>IF($A53="","",IFERROR(INDEX(Vendors!$J$5:$J$400,MATCH($A53,Vendors!$B$5:$B$400,0))&amp;"",""))</f>
        <v/>
      </c>
      <c r="E53" s="30" t="str">
        <f>IF($A53="","",IFERROR(IF(INDEX(Vendors!$K$5:$K$400,MATCH($A53,Vendors!$B$5:$B$400,0))&amp;""="",INDEX(Vendors!$F$5:$F$400,MATCH($A53,Vendors!$B$5:$B$400,0))&amp;"",INDEX(Vendors!$K$5:$K$400,MATCH($A53,Vendors!$B$5:$B$400,0))&amp;""),""))</f>
        <v/>
      </c>
      <c r="F53" s="32"/>
      <c r="G53" s="33"/>
      <c r="H53" s="33"/>
      <c r="I53" s="33"/>
      <c r="J53" s="32"/>
      <c r="K53" s="29"/>
      <c r="L53" s="29"/>
      <c r="M53" s="29"/>
      <c r="N53" s="29"/>
      <c r="O53" s="29"/>
      <c r="P53" s="29"/>
      <c r="Q53" s="29"/>
      <c r="R53" s="29"/>
      <c r="S53" s="29"/>
      <c r="T53" s="29"/>
      <c r="U53" s="29"/>
      <c r="V53" s="29"/>
      <c r="W53" s="29"/>
      <c r="X53" s="29"/>
      <c r="Y53" s="29"/>
      <c r="Z53" s="29"/>
      <c r="AA53" s="29"/>
      <c r="AB53" s="29"/>
      <c r="AC53" s="29"/>
      <c r="AD53" s="29"/>
      <c r="AE53" s="29"/>
      <c r="AF53" s="29"/>
      <c r="AG53" s="34"/>
      <c r="AH53" s="31" t="str">
        <f t="shared" ca="1" si="1"/>
        <v/>
      </c>
      <c r="AI53" s="29"/>
    </row>
    <row r="54" spans="1:35" x14ac:dyDescent="0.25">
      <c r="A54" s="29"/>
      <c r="B54" s="30" t="str">
        <f>IF($A54="","",IFERROR(INDEX(Vendors!$A$5:$A$400,MATCH($A54,Vendors!$B$5:$B$400,0)),"Not in Vendors tab"))</f>
        <v/>
      </c>
      <c r="C54" s="30" t="str">
        <f>IF($A54="","",IFERROR(INDEX(Vendors!$H$5:$H$400,MATCH($A54,Vendors!$B$5:$B$400,0))&amp;"",""))</f>
        <v/>
      </c>
      <c r="D54" s="31" t="str">
        <f>IF($A54="","",IFERROR(INDEX(Vendors!$J$5:$J$400,MATCH($A54,Vendors!$B$5:$B$400,0))&amp;"",""))</f>
        <v/>
      </c>
      <c r="E54" s="30" t="str">
        <f>IF($A54="","",IFERROR(IF(INDEX(Vendors!$K$5:$K$400,MATCH($A54,Vendors!$B$5:$B$400,0))&amp;""="",INDEX(Vendors!$F$5:$F$400,MATCH($A54,Vendors!$B$5:$B$400,0))&amp;"",INDEX(Vendors!$K$5:$K$400,MATCH($A54,Vendors!$B$5:$B$400,0))&amp;""),""))</f>
        <v/>
      </c>
      <c r="F54" s="32"/>
      <c r="G54" s="33"/>
      <c r="H54" s="33"/>
      <c r="I54" s="33"/>
      <c r="J54" s="32"/>
      <c r="K54" s="29"/>
      <c r="L54" s="29"/>
      <c r="M54" s="29"/>
      <c r="N54" s="29"/>
      <c r="O54" s="29"/>
      <c r="P54" s="29"/>
      <c r="Q54" s="29"/>
      <c r="R54" s="29"/>
      <c r="S54" s="29"/>
      <c r="T54" s="29"/>
      <c r="U54" s="29"/>
      <c r="V54" s="29"/>
      <c r="W54" s="29"/>
      <c r="X54" s="29"/>
      <c r="Y54" s="29"/>
      <c r="Z54" s="29"/>
      <c r="AA54" s="29"/>
      <c r="AB54" s="29"/>
      <c r="AC54" s="29"/>
      <c r="AD54" s="29"/>
      <c r="AE54" s="29"/>
      <c r="AF54" s="29"/>
      <c r="AG54" s="34"/>
      <c r="AH54" s="31" t="str">
        <f t="shared" ca="1" si="1"/>
        <v/>
      </c>
      <c r="AI54" s="29"/>
    </row>
    <row r="55" spans="1:35" x14ac:dyDescent="0.25">
      <c r="A55" s="29"/>
      <c r="B55" s="30" t="str">
        <f>IF($A55="","",IFERROR(INDEX(Vendors!$A$5:$A$400,MATCH($A55,Vendors!$B$5:$B$400,0)),"Not in Vendors tab"))</f>
        <v/>
      </c>
      <c r="C55" s="30" t="str">
        <f>IF($A55="","",IFERROR(INDEX(Vendors!$H$5:$H$400,MATCH($A55,Vendors!$B$5:$B$400,0))&amp;"",""))</f>
        <v/>
      </c>
      <c r="D55" s="31" t="str">
        <f>IF($A55="","",IFERROR(INDEX(Vendors!$J$5:$J$400,MATCH($A55,Vendors!$B$5:$B$400,0))&amp;"",""))</f>
        <v/>
      </c>
      <c r="E55" s="30" t="str">
        <f>IF($A55="","",IFERROR(IF(INDEX(Vendors!$K$5:$K$400,MATCH($A55,Vendors!$B$5:$B$400,0))&amp;""="",INDEX(Vendors!$F$5:$F$400,MATCH($A55,Vendors!$B$5:$B$400,0))&amp;"",INDEX(Vendors!$K$5:$K$400,MATCH($A55,Vendors!$B$5:$B$400,0))&amp;""),""))</f>
        <v/>
      </c>
      <c r="F55" s="32"/>
      <c r="G55" s="33"/>
      <c r="H55" s="33"/>
      <c r="I55" s="33"/>
      <c r="J55" s="32"/>
      <c r="K55" s="29"/>
      <c r="L55" s="29"/>
      <c r="M55" s="29"/>
      <c r="N55" s="29"/>
      <c r="O55" s="29"/>
      <c r="P55" s="29"/>
      <c r="Q55" s="29"/>
      <c r="R55" s="29"/>
      <c r="S55" s="29"/>
      <c r="T55" s="29"/>
      <c r="U55" s="29"/>
      <c r="V55" s="29"/>
      <c r="W55" s="29"/>
      <c r="X55" s="29"/>
      <c r="Y55" s="29"/>
      <c r="Z55" s="29"/>
      <c r="AA55" s="29"/>
      <c r="AB55" s="29"/>
      <c r="AC55" s="29"/>
      <c r="AD55" s="29"/>
      <c r="AE55" s="29"/>
      <c r="AF55" s="29"/>
      <c r="AG55" s="34"/>
      <c r="AH55" s="31" t="str">
        <f t="shared" ca="1" si="1"/>
        <v/>
      </c>
      <c r="AI55" s="29"/>
    </row>
    <row r="56" spans="1:35" x14ac:dyDescent="0.25">
      <c r="A56" s="29"/>
      <c r="B56" s="30" t="str">
        <f>IF($A56="","",IFERROR(INDEX(Vendors!$A$5:$A$400,MATCH($A56,Vendors!$B$5:$B$400,0)),"Not in Vendors tab"))</f>
        <v/>
      </c>
      <c r="C56" s="30" t="str">
        <f>IF($A56="","",IFERROR(INDEX(Vendors!$H$5:$H$400,MATCH($A56,Vendors!$B$5:$B$400,0))&amp;"",""))</f>
        <v/>
      </c>
      <c r="D56" s="31" t="str">
        <f>IF($A56="","",IFERROR(INDEX(Vendors!$J$5:$J$400,MATCH($A56,Vendors!$B$5:$B$400,0))&amp;"",""))</f>
        <v/>
      </c>
      <c r="E56" s="30" t="str">
        <f>IF($A56="","",IFERROR(IF(INDEX(Vendors!$K$5:$K$400,MATCH($A56,Vendors!$B$5:$B$400,0))&amp;""="",INDEX(Vendors!$F$5:$F$400,MATCH($A56,Vendors!$B$5:$B$400,0))&amp;"",INDEX(Vendors!$K$5:$K$400,MATCH($A56,Vendors!$B$5:$B$400,0))&amp;""),""))</f>
        <v/>
      </c>
      <c r="F56" s="32"/>
      <c r="G56" s="33"/>
      <c r="H56" s="33"/>
      <c r="I56" s="33"/>
      <c r="J56" s="32"/>
      <c r="K56" s="29"/>
      <c r="L56" s="29"/>
      <c r="M56" s="29"/>
      <c r="N56" s="29"/>
      <c r="O56" s="29"/>
      <c r="P56" s="29"/>
      <c r="Q56" s="29"/>
      <c r="R56" s="29"/>
      <c r="S56" s="29"/>
      <c r="T56" s="29"/>
      <c r="U56" s="29"/>
      <c r="V56" s="29"/>
      <c r="W56" s="29"/>
      <c r="X56" s="29"/>
      <c r="Y56" s="29"/>
      <c r="Z56" s="29"/>
      <c r="AA56" s="29"/>
      <c r="AB56" s="29"/>
      <c r="AC56" s="29"/>
      <c r="AD56" s="29"/>
      <c r="AE56" s="29"/>
      <c r="AF56" s="29"/>
      <c r="AG56" s="34"/>
      <c r="AH56" s="31" t="str">
        <f t="shared" ca="1" si="1"/>
        <v/>
      </c>
      <c r="AI56" s="29"/>
    </row>
    <row r="57" spans="1:35" x14ac:dyDescent="0.25">
      <c r="A57" s="29"/>
      <c r="B57" s="30" t="str">
        <f>IF($A57="","",IFERROR(INDEX(Vendors!$A$5:$A$400,MATCH($A57,Vendors!$B$5:$B$400,0)),"Not in Vendors tab"))</f>
        <v/>
      </c>
      <c r="C57" s="30" t="str">
        <f>IF($A57="","",IFERROR(INDEX(Vendors!$H$5:$H$400,MATCH($A57,Vendors!$B$5:$B$400,0))&amp;"",""))</f>
        <v/>
      </c>
      <c r="D57" s="31" t="str">
        <f>IF($A57="","",IFERROR(INDEX(Vendors!$J$5:$J$400,MATCH($A57,Vendors!$B$5:$B$400,0))&amp;"",""))</f>
        <v/>
      </c>
      <c r="E57" s="30" t="str">
        <f>IF($A57="","",IFERROR(IF(INDEX(Vendors!$K$5:$K$400,MATCH($A57,Vendors!$B$5:$B$400,0))&amp;""="",INDEX(Vendors!$F$5:$F$400,MATCH($A57,Vendors!$B$5:$B$400,0))&amp;"",INDEX(Vendors!$K$5:$K$400,MATCH($A57,Vendors!$B$5:$B$400,0))&amp;""),""))</f>
        <v/>
      </c>
      <c r="F57" s="32"/>
      <c r="G57" s="33"/>
      <c r="H57" s="33"/>
      <c r="I57" s="33"/>
      <c r="J57" s="32"/>
      <c r="K57" s="29"/>
      <c r="L57" s="29"/>
      <c r="M57" s="29"/>
      <c r="N57" s="29"/>
      <c r="O57" s="29"/>
      <c r="P57" s="29"/>
      <c r="Q57" s="29"/>
      <c r="R57" s="29"/>
      <c r="S57" s="29"/>
      <c r="T57" s="29"/>
      <c r="U57" s="29"/>
      <c r="V57" s="29"/>
      <c r="W57" s="29"/>
      <c r="X57" s="29"/>
      <c r="Y57" s="29"/>
      <c r="Z57" s="29"/>
      <c r="AA57" s="29"/>
      <c r="AB57" s="29"/>
      <c r="AC57" s="29"/>
      <c r="AD57" s="29"/>
      <c r="AE57" s="29"/>
      <c r="AF57" s="29"/>
      <c r="AG57" s="34"/>
      <c r="AH57" s="31" t="str">
        <f t="shared" ca="1" si="1"/>
        <v/>
      </c>
      <c r="AI57" s="29"/>
    </row>
    <row r="58" spans="1:35" x14ac:dyDescent="0.25">
      <c r="A58" s="29"/>
      <c r="B58" s="30" t="str">
        <f>IF($A58="","",IFERROR(INDEX(Vendors!$A$5:$A$400,MATCH($A58,Vendors!$B$5:$B$400,0)),"Not in Vendors tab"))</f>
        <v/>
      </c>
      <c r="C58" s="30" t="str">
        <f>IF($A58="","",IFERROR(INDEX(Vendors!$H$5:$H$400,MATCH($A58,Vendors!$B$5:$B$400,0))&amp;"",""))</f>
        <v/>
      </c>
      <c r="D58" s="31" t="str">
        <f>IF($A58="","",IFERROR(INDEX(Vendors!$J$5:$J$400,MATCH($A58,Vendors!$B$5:$B$400,0))&amp;"",""))</f>
        <v/>
      </c>
      <c r="E58" s="30" t="str">
        <f>IF($A58="","",IFERROR(IF(INDEX(Vendors!$K$5:$K$400,MATCH($A58,Vendors!$B$5:$B$400,0))&amp;""="",INDEX(Vendors!$F$5:$F$400,MATCH($A58,Vendors!$B$5:$B$400,0))&amp;"",INDEX(Vendors!$K$5:$K$400,MATCH($A58,Vendors!$B$5:$B$400,0))&amp;""),""))</f>
        <v/>
      </c>
      <c r="F58" s="32"/>
      <c r="G58" s="33"/>
      <c r="H58" s="33"/>
      <c r="I58" s="33"/>
      <c r="J58" s="32"/>
      <c r="K58" s="29"/>
      <c r="L58" s="29"/>
      <c r="M58" s="29"/>
      <c r="N58" s="29"/>
      <c r="O58" s="29"/>
      <c r="P58" s="29"/>
      <c r="Q58" s="29"/>
      <c r="R58" s="29"/>
      <c r="S58" s="29"/>
      <c r="T58" s="29"/>
      <c r="U58" s="29"/>
      <c r="V58" s="29"/>
      <c r="W58" s="29"/>
      <c r="X58" s="29"/>
      <c r="Y58" s="29"/>
      <c r="Z58" s="29"/>
      <c r="AA58" s="29"/>
      <c r="AB58" s="29"/>
      <c r="AC58" s="29"/>
      <c r="AD58" s="29"/>
      <c r="AE58" s="29"/>
      <c r="AF58" s="29"/>
      <c r="AG58" s="34"/>
      <c r="AH58" s="31" t="str">
        <f t="shared" ca="1" si="1"/>
        <v/>
      </c>
      <c r="AI58" s="29"/>
    </row>
    <row r="59" spans="1:35" x14ac:dyDescent="0.25">
      <c r="A59" s="29"/>
      <c r="B59" s="30" t="str">
        <f>IF($A59="","",IFERROR(INDEX(Vendors!$A$5:$A$400,MATCH($A59,Vendors!$B$5:$B$400,0)),"Not in Vendors tab"))</f>
        <v/>
      </c>
      <c r="C59" s="30" t="str">
        <f>IF($A59="","",IFERROR(INDEX(Vendors!$H$5:$H$400,MATCH($A59,Vendors!$B$5:$B$400,0))&amp;"",""))</f>
        <v/>
      </c>
      <c r="D59" s="31" t="str">
        <f>IF($A59="","",IFERROR(INDEX(Vendors!$J$5:$J$400,MATCH($A59,Vendors!$B$5:$B$400,0))&amp;"",""))</f>
        <v/>
      </c>
      <c r="E59" s="30" t="str">
        <f>IF($A59="","",IFERROR(IF(INDEX(Vendors!$K$5:$K$400,MATCH($A59,Vendors!$B$5:$B$400,0))&amp;""="",INDEX(Vendors!$F$5:$F$400,MATCH($A59,Vendors!$B$5:$B$400,0))&amp;"",INDEX(Vendors!$K$5:$K$400,MATCH($A59,Vendors!$B$5:$B$400,0))&amp;""),""))</f>
        <v/>
      </c>
      <c r="F59" s="32"/>
      <c r="G59" s="33"/>
      <c r="H59" s="33"/>
      <c r="I59" s="33"/>
      <c r="J59" s="32"/>
      <c r="K59" s="29"/>
      <c r="L59" s="29"/>
      <c r="M59" s="29"/>
      <c r="N59" s="29"/>
      <c r="O59" s="29"/>
      <c r="P59" s="29"/>
      <c r="Q59" s="29"/>
      <c r="R59" s="29"/>
      <c r="S59" s="29"/>
      <c r="T59" s="29"/>
      <c r="U59" s="29"/>
      <c r="V59" s="29"/>
      <c r="W59" s="29"/>
      <c r="X59" s="29"/>
      <c r="Y59" s="29"/>
      <c r="Z59" s="29"/>
      <c r="AA59" s="29"/>
      <c r="AB59" s="29"/>
      <c r="AC59" s="29"/>
      <c r="AD59" s="29"/>
      <c r="AE59" s="29"/>
      <c r="AF59" s="29"/>
      <c r="AG59" s="34"/>
      <c r="AH59" s="31" t="str">
        <f t="shared" ca="1" si="1"/>
        <v/>
      </c>
      <c r="AI59" s="29"/>
    </row>
    <row r="60" spans="1:35" x14ac:dyDescent="0.25">
      <c r="A60" s="29"/>
      <c r="B60" s="30" t="str">
        <f>IF($A60="","",IFERROR(INDEX(Vendors!$A$5:$A$400,MATCH($A60,Vendors!$B$5:$B$400,0)),"Not in Vendors tab"))</f>
        <v/>
      </c>
      <c r="C60" s="30" t="str">
        <f>IF($A60="","",IFERROR(INDEX(Vendors!$H$5:$H$400,MATCH($A60,Vendors!$B$5:$B$400,0))&amp;"",""))</f>
        <v/>
      </c>
      <c r="D60" s="31" t="str">
        <f>IF($A60="","",IFERROR(INDEX(Vendors!$J$5:$J$400,MATCH($A60,Vendors!$B$5:$B$400,0))&amp;"",""))</f>
        <v/>
      </c>
      <c r="E60" s="30" t="str">
        <f>IF($A60="","",IFERROR(IF(INDEX(Vendors!$K$5:$K$400,MATCH($A60,Vendors!$B$5:$B$400,0))&amp;""="",INDEX(Vendors!$F$5:$F$400,MATCH($A60,Vendors!$B$5:$B$400,0))&amp;"",INDEX(Vendors!$K$5:$K$400,MATCH($A60,Vendors!$B$5:$B$400,0))&amp;""),""))</f>
        <v/>
      </c>
      <c r="F60" s="32"/>
      <c r="G60" s="33"/>
      <c r="H60" s="33"/>
      <c r="I60" s="33"/>
      <c r="J60" s="32"/>
      <c r="K60" s="29"/>
      <c r="L60" s="29"/>
      <c r="M60" s="29"/>
      <c r="N60" s="29"/>
      <c r="O60" s="29"/>
      <c r="P60" s="29"/>
      <c r="Q60" s="29"/>
      <c r="R60" s="29"/>
      <c r="S60" s="29"/>
      <c r="T60" s="29"/>
      <c r="U60" s="29"/>
      <c r="V60" s="29"/>
      <c r="W60" s="29"/>
      <c r="X60" s="29"/>
      <c r="Y60" s="29"/>
      <c r="Z60" s="29"/>
      <c r="AA60" s="29"/>
      <c r="AB60" s="29"/>
      <c r="AC60" s="29"/>
      <c r="AD60" s="29"/>
      <c r="AE60" s="29"/>
      <c r="AF60" s="29"/>
      <c r="AG60" s="34"/>
      <c r="AH60" s="31" t="str">
        <f t="shared" ca="1" si="1"/>
        <v/>
      </c>
      <c r="AI60" s="29"/>
    </row>
    <row r="61" spans="1:35" x14ac:dyDescent="0.25">
      <c r="A61" s="29"/>
      <c r="B61" s="30" t="str">
        <f>IF($A61="","",IFERROR(INDEX(Vendors!$A$5:$A$400,MATCH($A61,Vendors!$B$5:$B$400,0)),"Not in Vendors tab"))</f>
        <v/>
      </c>
      <c r="C61" s="30" t="str">
        <f>IF($A61="","",IFERROR(INDEX(Vendors!$H$5:$H$400,MATCH($A61,Vendors!$B$5:$B$400,0))&amp;"",""))</f>
        <v/>
      </c>
      <c r="D61" s="31" t="str">
        <f>IF($A61="","",IFERROR(INDEX(Vendors!$J$5:$J$400,MATCH($A61,Vendors!$B$5:$B$400,0))&amp;"",""))</f>
        <v/>
      </c>
      <c r="E61" s="30" t="str">
        <f>IF($A61="","",IFERROR(IF(INDEX(Vendors!$K$5:$K$400,MATCH($A61,Vendors!$B$5:$B$400,0))&amp;""="",INDEX(Vendors!$F$5:$F$400,MATCH($A61,Vendors!$B$5:$B$400,0))&amp;"",INDEX(Vendors!$K$5:$K$400,MATCH($A61,Vendors!$B$5:$B$400,0))&amp;""),""))</f>
        <v/>
      </c>
      <c r="F61" s="32"/>
      <c r="G61" s="33"/>
      <c r="H61" s="33"/>
      <c r="I61" s="33"/>
      <c r="J61" s="32"/>
      <c r="K61" s="29"/>
      <c r="L61" s="29"/>
      <c r="M61" s="29"/>
      <c r="N61" s="29"/>
      <c r="O61" s="29"/>
      <c r="P61" s="29"/>
      <c r="Q61" s="29"/>
      <c r="R61" s="29"/>
      <c r="S61" s="29"/>
      <c r="T61" s="29"/>
      <c r="U61" s="29"/>
      <c r="V61" s="29"/>
      <c r="W61" s="29"/>
      <c r="X61" s="29"/>
      <c r="Y61" s="29"/>
      <c r="Z61" s="29"/>
      <c r="AA61" s="29"/>
      <c r="AB61" s="29"/>
      <c r="AC61" s="29"/>
      <c r="AD61" s="29"/>
      <c r="AE61" s="29"/>
      <c r="AF61" s="29"/>
      <c r="AG61" s="34"/>
      <c r="AH61" s="31" t="str">
        <f t="shared" ca="1" si="1"/>
        <v/>
      </c>
      <c r="AI61" s="29"/>
    </row>
    <row r="62" spans="1:35" x14ac:dyDescent="0.25">
      <c r="A62" s="29"/>
      <c r="B62" s="30" t="str">
        <f>IF($A62="","",IFERROR(INDEX(Vendors!$A$5:$A$400,MATCH($A62,Vendors!$B$5:$B$400,0)),"Not in Vendors tab"))</f>
        <v/>
      </c>
      <c r="C62" s="30" t="str">
        <f>IF($A62="","",IFERROR(INDEX(Vendors!$H$5:$H$400,MATCH($A62,Vendors!$B$5:$B$400,0))&amp;"",""))</f>
        <v/>
      </c>
      <c r="D62" s="31" t="str">
        <f>IF($A62="","",IFERROR(INDEX(Vendors!$J$5:$J$400,MATCH($A62,Vendors!$B$5:$B$400,0))&amp;"",""))</f>
        <v/>
      </c>
      <c r="E62" s="30" t="str">
        <f>IF($A62="","",IFERROR(IF(INDEX(Vendors!$K$5:$K$400,MATCH($A62,Vendors!$B$5:$B$400,0))&amp;""="",INDEX(Vendors!$F$5:$F$400,MATCH($A62,Vendors!$B$5:$B$400,0))&amp;"",INDEX(Vendors!$K$5:$K$400,MATCH($A62,Vendors!$B$5:$B$400,0))&amp;""),""))</f>
        <v/>
      </c>
      <c r="F62" s="32"/>
      <c r="G62" s="33"/>
      <c r="H62" s="33"/>
      <c r="I62" s="33"/>
      <c r="J62" s="32"/>
      <c r="K62" s="29"/>
      <c r="L62" s="29"/>
      <c r="M62" s="29"/>
      <c r="N62" s="29"/>
      <c r="O62" s="29"/>
      <c r="P62" s="29"/>
      <c r="Q62" s="29"/>
      <c r="R62" s="29"/>
      <c r="S62" s="29"/>
      <c r="T62" s="29"/>
      <c r="U62" s="29"/>
      <c r="V62" s="29"/>
      <c r="W62" s="29"/>
      <c r="X62" s="29"/>
      <c r="Y62" s="29"/>
      <c r="Z62" s="29"/>
      <c r="AA62" s="29"/>
      <c r="AB62" s="29"/>
      <c r="AC62" s="29"/>
      <c r="AD62" s="29"/>
      <c r="AE62" s="29"/>
      <c r="AF62" s="29"/>
      <c r="AG62" s="34"/>
      <c r="AH62" s="31" t="str">
        <f t="shared" ca="1" si="1"/>
        <v/>
      </c>
      <c r="AI62" s="29"/>
    </row>
    <row r="63" spans="1:35" x14ac:dyDescent="0.25">
      <c r="A63" s="29"/>
      <c r="B63" s="30" t="str">
        <f>IF($A63="","",IFERROR(INDEX(Vendors!$A$5:$A$400,MATCH($A63,Vendors!$B$5:$B$400,0)),"Not in Vendors tab"))</f>
        <v/>
      </c>
      <c r="C63" s="30" t="str">
        <f>IF($A63="","",IFERROR(INDEX(Vendors!$H$5:$H$400,MATCH($A63,Vendors!$B$5:$B$400,0))&amp;"",""))</f>
        <v/>
      </c>
      <c r="D63" s="31" t="str">
        <f>IF($A63="","",IFERROR(INDEX(Vendors!$J$5:$J$400,MATCH($A63,Vendors!$B$5:$B$400,0))&amp;"",""))</f>
        <v/>
      </c>
      <c r="E63" s="30" t="str">
        <f>IF($A63="","",IFERROR(IF(INDEX(Vendors!$K$5:$K$400,MATCH($A63,Vendors!$B$5:$B$400,0))&amp;""="",INDEX(Vendors!$F$5:$F$400,MATCH($A63,Vendors!$B$5:$B$400,0))&amp;"",INDEX(Vendors!$K$5:$K$400,MATCH($A63,Vendors!$B$5:$B$400,0))&amp;""),""))</f>
        <v/>
      </c>
      <c r="F63" s="32"/>
      <c r="G63" s="33"/>
      <c r="H63" s="33"/>
      <c r="I63" s="33"/>
      <c r="J63" s="32"/>
      <c r="K63" s="29"/>
      <c r="L63" s="29"/>
      <c r="M63" s="29"/>
      <c r="N63" s="29"/>
      <c r="O63" s="29"/>
      <c r="P63" s="29"/>
      <c r="Q63" s="29"/>
      <c r="R63" s="29"/>
      <c r="S63" s="29"/>
      <c r="T63" s="29"/>
      <c r="U63" s="29"/>
      <c r="V63" s="29"/>
      <c r="W63" s="29"/>
      <c r="X63" s="29"/>
      <c r="Y63" s="29"/>
      <c r="Z63" s="29"/>
      <c r="AA63" s="29"/>
      <c r="AB63" s="29"/>
      <c r="AC63" s="29"/>
      <c r="AD63" s="29"/>
      <c r="AE63" s="29"/>
      <c r="AF63" s="29"/>
      <c r="AG63" s="34"/>
      <c r="AH63" s="31" t="str">
        <f t="shared" ca="1" si="1"/>
        <v/>
      </c>
      <c r="AI63" s="29"/>
    </row>
    <row r="64" spans="1:35" x14ac:dyDescent="0.25">
      <c r="A64" s="29"/>
      <c r="B64" s="30" t="str">
        <f>IF($A64="","",IFERROR(INDEX(Vendors!$A$5:$A$400,MATCH($A64,Vendors!$B$5:$B$400,0)),"Not in Vendors tab"))</f>
        <v/>
      </c>
      <c r="C64" s="30" t="str">
        <f>IF($A64="","",IFERROR(INDEX(Vendors!$H$5:$H$400,MATCH($A64,Vendors!$B$5:$B$400,0))&amp;"",""))</f>
        <v/>
      </c>
      <c r="D64" s="31" t="str">
        <f>IF($A64="","",IFERROR(INDEX(Vendors!$J$5:$J$400,MATCH($A64,Vendors!$B$5:$B$400,0))&amp;"",""))</f>
        <v/>
      </c>
      <c r="E64" s="30" t="str">
        <f>IF($A64="","",IFERROR(IF(INDEX(Vendors!$K$5:$K$400,MATCH($A64,Vendors!$B$5:$B$400,0))&amp;""="",INDEX(Vendors!$F$5:$F$400,MATCH($A64,Vendors!$B$5:$B$400,0))&amp;"",INDEX(Vendors!$K$5:$K$400,MATCH($A64,Vendors!$B$5:$B$400,0))&amp;""),""))</f>
        <v/>
      </c>
      <c r="F64" s="32"/>
      <c r="G64" s="33"/>
      <c r="H64" s="33"/>
      <c r="I64" s="33"/>
      <c r="J64" s="32"/>
      <c r="K64" s="29"/>
      <c r="L64" s="29"/>
      <c r="M64" s="29"/>
      <c r="N64" s="29"/>
      <c r="O64" s="29"/>
      <c r="P64" s="29"/>
      <c r="Q64" s="29"/>
      <c r="R64" s="29"/>
      <c r="S64" s="29"/>
      <c r="T64" s="29"/>
      <c r="U64" s="29"/>
      <c r="V64" s="29"/>
      <c r="W64" s="29"/>
      <c r="X64" s="29"/>
      <c r="Y64" s="29"/>
      <c r="Z64" s="29"/>
      <c r="AA64" s="29"/>
      <c r="AB64" s="29"/>
      <c r="AC64" s="29"/>
      <c r="AD64" s="29"/>
      <c r="AE64" s="29"/>
      <c r="AF64" s="29"/>
      <c r="AG64" s="34"/>
      <c r="AH64" s="31" t="str">
        <f t="shared" ca="1" si="1"/>
        <v/>
      </c>
      <c r="AI64" s="29"/>
    </row>
  </sheetData>
  <autoFilter ref="A14:AI64" xr:uid="{00000000-0009-0000-0000-000003000000}"/>
  <mergeCells count="37">
    <mergeCell ref="AI13:AI14"/>
    <mergeCell ref="AC13:AD13"/>
    <mergeCell ref="AE13:AE14"/>
    <mergeCell ref="AF13:AF14"/>
    <mergeCell ref="AG13:AG14"/>
    <mergeCell ref="AH13:AH14"/>
    <mergeCell ref="S13:T13"/>
    <mergeCell ref="U13:V13"/>
    <mergeCell ref="W13:X13"/>
    <mergeCell ref="Y13:Z13"/>
    <mergeCell ref="AA13:AB13"/>
    <mergeCell ref="K12:AD12"/>
    <mergeCell ref="AE12:AI12"/>
    <mergeCell ref="A13:A14"/>
    <mergeCell ref="B13:B14"/>
    <mergeCell ref="C13:C14"/>
    <mergeCell ref="D13:D14"/>
    <mergeCell ref="E13:E14"/>
    <mergeCell ref="F13:F14"/>
    <mergeCell ref="G13:G14"/>
    <mergeCell ref="H13:H14"/>
    <mergeCell ref="I13:I14"/>
    <mergeCell ref="J13:J14"/>
    <mergeCell ref="K13:L13"/>
    <mergeCell ref="M13:N13"/>
    <mergeCell ref="O13:P13"/>
    <mergeCell ref="Q13:R13"/>
    <mergeCell ref="C8:E8"/>
    <mergeCell ref="C9:E9"/>
    <mergeCell ref="C10:E10"/>
    <mergeCell ref="A12:E12"/>
    <mergeCell ref="F12:J12"/>
    <mergeCell ref="C3:E3"/>
    <mergeCell ref="C4:E4"/>
    <mergeCell ref="C5:E5"/>
    <mergeCell ref="C6:E6"/>
    <mergeCell ref="C7:E7"/>
  </mergeCells>
  <conditionalFormatting sqref="F15:F64">
    <cfRule type="cellIs" dxfId="89" priority="38" operator="equal">
      <formula>"Declined"</formula>
    </cfRule>
    <cfRule type="cellIs" dxfId="88" priority="37" operator="equal">
      <formula>"Under Review"</formula>
    </cfRule>
    <cfRule type="cellIs" dxfId="87" priority="36" operator="equal">
      <formula>"Clarifications Open"</formula>
    </cfRule>
    <cfRule type="cellIs" dxfId="86" priority="35" operator="equal">
      <formula>"Acknowledged"</formula>
    </cfRule>
    <cfRule type="cellIs" dxfId="85" priority="34" operator="equal">
      <formula>"Sent"</formula>
    </cfRule>
    <cfRule type="cellIs" dxfId="84" priority="33" operator="equal">
      <formula>"Complete"</formula>
    </cfRule>
    <cfRule type="cellIs" dxfId="83" priority="32" operator="equal">
      <formula>"Response Received"</formula>
    </cfRule>
    <cfRule type="cellIs" dxfId="82" priority="40" operator="equal">
      <formula>"Not Sent"</formula>
    </cfRule>
    <cfRule type="cellIs" dxfId="81" priority="39" operator="equal">
      <formula>"No Response"</formula>
    </cfRule>
  </conditionalFormatting>
  <conditionalFormatting sqref="I7">
    <cfRule type="cellIs" dxfId="80" priority="44" operator="greaterThan">
      <formula>0</formula>
    </cfRule>
  </conditionalFormatting>
  <conditionalFormatting sqref="I8">
    <cfRule type="cellIs" dxfId="79" priority="46" operator="greaterThan">
      <formula>0</formula>
    </cfRule>
  </conditionalFormatting>
  <conditionalFormatting sqref="I9">
    <cfRule type="cellIs" dxfId="78" priority="45" operator="greaterThan">
      <formula>0</formula>
    </cfRule>
  </conditionalFormatting>
  <conditionalFormatting sqref="L15:L64">
    <cfRule type="cellIs" dxfId="77" priority="2" operator="equal">
      <formula>"Meets"</formula>
    </cfRule>
    <cfRule type="cellIs" dxfId="76" priority="3" operator="equal">
      <formula>"Review / Risk"</formula>
    </cfRule>
    <cfRule type="cellIs" dxfId="75" priority="4" operator="equal">
      <formula>"Fails"</formula>
    </cfRule>
  </conditionalFormatting>
  <conditionalFormatting sqref="N15:N64">
    <cfRule type="cellIs" dxfId="74" priority="5" operator="equal">
      <formula>"Meets"</formula>
    </cfRule>
    <cfRule type="cellIs" dxfId="73" priority="6" operator="equal">
      <formula>"Review / Risk"</formula>
    </cfRule>
    <cfRule type="cellIs" dxfId="72" priority="7" operator="equal">
      <formula>"Fails"</formula>
    </cfRule>
  </conditionalFormatting>
  <conditionalFormatting sqref="P15:P64">
    <cfRule type="cellIs" dxfId="71" priority="8" operator="equal">
      <formula>"Meets"</formula>
    </cfRule>
    <cfRule type="cellIs" dxfId="70" priority="9" operator="equal">
      <formula>"Review / Risk"</formula>
    </cfRule>
    <cfRule type="cellIs" dxfId="69" priority="10" operator="equal">
      <formula>"Fails"</formula>
    </cfRule>
  </conditionalFormatting>
  <conditionalFormatting sqref="R15:R64">
    <cfRule type="cellIs" dxfId="68" priority="11" operator="equal">
      <formula>"Meets"</formula>
    </cfRule>
    <cfRule type="cellIs" dxfId="67" priority="12" operator="equal">
      <formula>"Review / Risk"</formula>
    </cfRule>
    <cfRule type="cellIs" dxfId="66" priority="13" operator="equal">
      <formula>"Fails"</formula>
    </cfRule>
  </conditionalFormatting>
  <conditionalFormatting sqref="T15:T64">
    <cfRule type="cellIs" dxfId="65" priority="16" operator="equal">
      <formula>"Fails"</formula>
    </cfRule>
    <cfRule type="cellIs" dxfId="64" priority="15" operator="equal">
      <formula>"Review / Risk"</formula>
    </cfRule>
    <cfRule type="cellIs" dxfId="63" priority="14" operator="equal">
      <formula>"Meets"</formula>
    </cfRule>
  </conditionalFormatting>
  <conditionalFormatting sqref="V15:V64">
    <cfRule type="cellIs" dxfId="62" priority="19" operator="equal">
      <formula>"Fails"</formula>
    </cfRule>
    <cfRule type="cellIs" dxfId="61" priority="18" operator="equal">
      <formula>"Review / Risk"</formula>
    </cfRule>
    <cfRule type="cellIs" dxfId="60" priority="17" operator="equal">
      <formula>"Meets"</formula>
    </cfRule>
  </conditionalFormatting>
  <conditionalFormatting sqref="X15:X64">
    <cfRule type="cellIs" dxfId="59" priority="22" operator="equal">
      <formula>"Fails"</formula>
    </cfRule>
    <cfRule type="cellIs" dxfId="58" priority="21" operator="equal">
      <formula>"Review / Risk"</formula>
    </cfRule>
    <cfRule type="cellIs" dxfId="57" priority="20" operator="equal">
      <formula>"Meets"</formula>
    </cfRule>
  </conditionalFormatting>
  <conditionalFormatting sqref="Z15:Z64">
    <cfRule type="cellIs" dxfId="56" priority="25" operator="equal">
      <formula>"Fails"</formula>
    </cfRule>
    <cfRule type="cellIs" dxfId="55" priority="23" operator="equal">
      <formula>"Meets"</formula>
    </cfRule>
    <cfRule type="cellIs" dxfId="54" priority="24" operator="equal">
      <formula>"Review / Risk"</formula>
    </cfRule>
  </conditionalFormatting>
  <conditionalFormatting sqref="AB15:AB64">
    <cfRule type="cellIs" dxfId="53" priority="26" operator="equal">
      <formula>"Meets"</formula>
    </cfRule>
    <cfRule type="cellIs" dxfId="52" priority="27" operator="equal">
      <formula>"Review / Risk"</formula>
    </cfRule>
    <cfRule type="cellIs" dxfId="51" priority="28" operator="equal">
      <formula>"Fails"</formula>
    </cfRule>
  </conditionalFormatting>
  <conditionalFormatting sqref="AD15:AD64">
    <cfRule type="cellIs" dxfId="50" priority="29" operator="equal">
      <formula>"Meets"</formula>
    </cfRule>
    <cfRule type="cellIs" dxfId="49" priority="30" operator="equal">
      <formula>"Review / Risk"</formula>
    </cfRule>
    <cfRule type="cellIs" dxfId="48" priority="31" operator="equal">
      <formula>"Fails"</formula>
    </cfRule>
  </conditionalFormatting>
  <conditionalFormatting sqref="AG15:AG64">
    <cfRule type="expression" dxfId="47" priority="43">
      <formula>AH15="OVERDUE"</formula>
    </cfRule>
  </conditionalFormatting>
  <conditionalFormatting sqref="AH15:AH64">
    <cfRule type="cellIs" dxfId="46" priority="42" operator="equal">
      <formula>"Due 7d"</formula>
    </cfRule>
    <cfRule type="cellIs" dxfId="45" priority="41" operator="equal">
      <formula>"OVERDUE"</formula>
    </cfRule>
  </conditionalFormatting>
  <dataValidations count="9">
    <dataValidation type="list" allowBlank="1" sqref="C4" xr:uid="{00000000-0002-0000-0300-000000000000}">
      <formula1>P_Names</formula1>
      <formula2>0</formula2>
    </dataValidation>
    <dataValidation type="list" allowBlank="1" sqref="C5" xr:uid="{00000000-0002-0000-0300-000001000000}">
      <formula1>L_Types</formula1>
      <formula2>0</formula2>
    </dataValidation>
    <dataValidation type="list" allowBlank="1" sqref="C10" xr:uid="{00000000-0002-0000-0300-000002000000}">
      <formula1>L_ActivityStatus</formula1>
      <formula2>0</formula2>
    </dataValidation>
    <dataValidation type="list" allowBlank="1" sqref="C7 AF15:AF64" xr:uid="{00000000-0002-0000-0300-000003000000}">
      <formula1>L_Owners</formula1>
      <formula2>0</formula2>
    </dataValidation>
    <dataValidation type="date" operator="greaterThan" allowBlank="1" sqref="C8:C9 G15:I64 AG15:AG64" xr:uid="{00000000-0002-0000-0300-000004000000}">
      <formula1>36526</formula1>
      <formula2>0</formula2>
    </dataValidation>
    <dataValidation type="list" allowBlank="1" sqref="A15:A64" xr:uid="{00000000-0002-0000-0300-000005000000}">
      <formula1>V_Names</formula1>
      <formula2>0</formula2>
    </dataValidation>
    <dataValidation type="list" allowBlank="1" showErrorMessage="1" sqref="F15:F64" xr:uid="{00000000-0002-0000-0300-000006000000}">
      <formula1>L_VendorStatus</formula1>
      <formula2>0</formula2>
    </dataValidation>
    <dataValidation type="list" allowBlank="1" showErrorMessage="1" sqref="J15:J64" xr:uid="{00000000-0002-0000-0300-000007000000}">
      <formula1>L_Qual</formula1>
      <formula2>0</formula2>
    </dataValidation>
    <dataValidation type="list" allowBlank="1" showErrorMessage="1" sqref="L15:L64 N15:N64 P15:P64 R15:R64 T15:T64 V15:V64 X15:X64 Z15:Z64 AB15:AB64 AD15:AD64" xr:uid="{00000000-0002-0000-0300-000009000000}">
      <formula1>L_Rating</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794A1"/>
  </sheetPr>
  <dimension ref="A1:AI64"/>
  <sheetViews>
    <sheetView showGridLines="0" zoomScaleNormal="100" workbookViewId="0">
      <pane xSplit="1" ySplit="14" topLeftCell="B15" activePane="bottomRight" state="frozen"/>
      <selection pane="topRight" activeCell="B1" sqref="B1"/>
      <selection pane="bottomLeft" activeCell="A15" sqref="A15"/>
      <selection pane="bottomRight" activeCell="A6" sqref="A6"/>
    </sheetView>
  </sheetViews>
  <sheetFormatPr defaultColWidth="8.7109375" defaultRowHeight="15" x14ac:dyDescent="0.25"/>
  <cols>
    <col min="1" max="1" width="30" customWidth="1"/>
    <col min="2" max="2" width="16.140625" bestFit="1" customWidth="1"/>
    <col min="3" max="3" width="20" customWidth="1"/>
    <col min="4" max="4" width="26" customWidth="1"/>
    <col min="5" max="5" width="16" customWidth="1"/>
    <col min="6" max="6" width="18" customWidth="1"/>
    <col min="7" max="7" width="12" customWidth="1"/>
    <col min="8" max="8" width="24" customWidth="1"/>
    <col min="9" max="9" width="12" customWidth="1"/>
    <col min="10" max="10" width="16" customWidth="1"/>
    <col min="11" max="11" width="24" customWidth="1"/>
    <col min="12" max="12" width="13" customWidth="1"/>
    <col min="13" max="13" width="24" customWidth="1"/>
    <col min="14" max="14" width="13" customWidth="1"/>
    <col min="15" max="15" width="24" customWidth="1"/>
    <col min="16" max="16" width="13" customWidth="1"/>
    <col min="17" max="17" width="24" customWidth="1"/>
    <col min="18" max="18" width="13" customWidth="1"/>
    <col min="19" max="19" width="24" customWidth="1"/>
    <col min="20" max="20" width="13" customWidth="1"/>
    <col min="21" max="21" width="24" customWidth="1"/>
    <col min="22" max="22" width="13" customWidth="1"/>
    <col min="23" max="23" width="24" customWidth="1"/>
    <col min="24" max="24" width="13" customWidth="1"/>
    <col min="25" max="25" width="24" customWidth="1"/>
    <col min="26" max="26" width="13" customWidth="1"/>
    <col min="27" max="27" width="24" customWidth="1"/>
    <col min="28" max="28" width="13" customWidth="1"/>
    <col min="29" max="29" width="24" customWidth="1"/>
    <col min="30" max="30" width="13" customWidth="1"/>
    <col min="31" max="31" width="32" customWidth="1"/>
    <col min="32" max="32" width="18" customWidth="1"/>
    <col min="33" max="33" width="14" customWidth="1"/>
    <col min="34" max="34" width="11" customWidth="1"/>
    <col min="35" max="35" width="36" customWidth="1"/>
  </cols>
  <sheetData>
    <row r="1" spans="1:35" ht="20.25" x14ac:dyDescent="0.3">
      <c r="A1" s="6" t="str">
        <f>IF(C3="","RFI Activity (new - fill in the yellow cells)",C3&amp;" | "&amp;C6)</f>
        <v>RFI Activity (new - fill in the yellow cells)</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x14ac:dyDescent="0.25">
      <c r="A2" s="8" t="s">
        <v>119</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3" spans="1:35" x14ac:dyDescent="0.25">
      <c r="A3" s="7"/>
      <c r="B3" s="25" t="s">
        <v>120</v>
      </c>
      <c r="C3" s="5"/>
      <c r="D3" s="5"/>
      <c r="E3" s="5"/>
      <c r="F3" s="7"/>
      <c r="G3" s="7"/>
      <c r="H3" s="26" t="s">
        <v>78</v>
      </c>
      <c r="I3" s="27">
        <f>COUNTA($A$15:$A$64)</f>
        <v>0</v>
      </c>
      <c r="J3" s="7"/>
      <c r="K3" s="7"/>
      <c r="L3" s="7"/>
      <c r="M3" s="7"/>
      <c r="N3" s="7"/>
      <c r="O3" s="7"/>
      <c r="P3" s="7"/>
      <c r="Q3" s="7"/>
      <c r="R3" s="7"/>
      <c r="S3" s="7"/>
      <c r="T3" s="7"/>
      <c r="U3" s="7"/>
      <c r="V3" s="7"/>
      <c r="W3" s="7"/>
      <c r="X3" s="7"/>
      <c r="Y3" s="7"/>
      <c r="Z3" s="7"/>
      <c r="AA3" s="7"/>
      <c r="AB3" s="7"/>
      <c r="AC3" s="7"/>
      <c r="AD3" s="7"/>
      <c r="AE3" s="7"/>
      <c r="AF3" s="7"/>
      <c r="AG3" s="7"/>
      <c r="AH3" s="7"/>
      <c r="AI3" s="7"/>
    </row>
    <row r="4" spans="1:35" x14ac:dyDescent="0.25">
      <c r="A4" s="7"/>
      <c r="B4" s="25" t="s">
        <v>105</v>
      </c>
      <c r="C4" s="5"/>
      <c r="D4" s="5"/>
      <c r="E4" s="5"/>
      <c r="F4" s="7"/>
      <c r="G4" s="7"/>
      <c r="H4" s="26" t="s">
        <v>79</v>
      </c>
      <c r="I4" s="27">
        <f>COUNTIFS($A$15:$A$64,"&lt;&gt;",$F$15:$F$64,"&lt;&gt;Not Sent",$F$15:$F$64,"&lt;&gt;")</f>
        <v>0</v>
      </c>
      <c r="J4" s="7"/>
      <c r="K4" s="7"/>
      <c r="L4" s="7"/>
      <c r="M4" s="7"/>
      <c r="N4" s="7"/>
      <c r="O4" s="7"/>
      <c r="P4" s="7"/>
      <c r="Q4" s="7"/>
      <c r="R4" s="7"/>
      <c r="S4" s="7"/>
      <c r="T4" s="7"/>
      <c r="U4" s="7"/>
      <c r="V4" s="7"/>
      <c r="W4" s="7"/>
      <c r="X4" s="7"/>
      <c r="Y4" s="7"/>
      <c r="Z4" s="7"/>
      <c r="AA4" s="7"/>
      <c r="AB4" s="7"/>
      <c r="AC4" s="7"/>
      <c r="AD4" s="7"/>
      <c r="AE4" s="7"/>
      <c r="AF4" s="7"/>
      <c r="AG4" s="7"/>
      <c r="AH4" s="7"/>
      <c r="AI4" s="7"/>
    </row>
    <row r="5" spans="1:35" x14ac:dyDescent="0.25">
      <c r="A5" s="7"/>
      <c r="B5" s="25" t="s">
        <v>84</v>
      </c>
      <c r="C5" s="5"/>
      <c r="D5" s="5"/>
      <c r="E5" s="5"/>
      <c r="F5" s="7"/>
      <c r="G5" s="7"/>
      <c r="H5" s="26" t="s">
        <v>122</v>
      </c>
      <c r="I5" s="27">
        <f>COUNTIF($F$15:$F$64,"Response Received")+COUNTIF($F$15:$F$64,"Under Review")+COUNTIF($F$15:$F$64,"Complete")</f>
        <v>0</v>
      </c>
      <c r="J5" s="7"/>
      <c r="K5" s="7"/>
      <c r="L5" s="7"/>
      <c r="M5" s="7"/>
      <c r="N5" s="7"/>
      <c r="O5" s="7"/>
      <c r="P5" s="7"/>
      <c r="Q5" s="7"/>
      <c r="R5" s="7"/>
      <c r="S5" s="7"/>
      <c r="T5" s="7"/>
      <c r="U5" s="7"/>
      <c r="V5" s="7"/>
      <c r="W5" s="7"/>
      <c r="X5" s="7"/>
      <c r="Y5" s="7"/>
      <c r="Z5" s="7"/>
      <c r="AA5" s="7"/>
      <c r="AB5" s="7"/>
      <c r="AC5" s="7"/>
      <c r="AD5" s="7"/>
      <c r="AE5" s="7"/>
      <c r="AF5" s="7"/>
      <c r="AG5" s="7"/>
      <c r="AH5" s="7"/>
      <c r="AI5" s="7"/>
    </row>
    <row r="6" spans="1:35" x14ac:dyDescent="0.25">
      <c r="A6" s="7"/>
      <c r="B6" s="25" t="s">
        <v>108</v>
      </c>
      <c r="C6" s="5"/>
      <c r="D6" s="5"/>
      <c r="E6" s="5"/>
      <c r="F6" s="7"/>
      <c r="G6" s="7"/>
      <c r="H6" s="26" t="s">
        <v>124</v>
      </c>
      <c r="I6" s="27">
        <f>COUNTIF($F$15:$F$64,"Declined")+COUNTIF($F$15:$F$64,"No Response")</f>
        <v>0</v>
      </c>
      <c r="J6" s="7"/>
      <c r="K6" s="7"/>
      <c r="L6" s="7"/>
      <c r="M6" s="7"/>
      <c r="N6" s="7"/>
      <c r="O6" s="7"/>
      <c r="P6" s="7"/>
      <c r="Q6" s="7"/>
      <c r="R6" s="7"/>
      <c r="S6" s="7"/>
      <c r="T6" s="7"/>
      <c r="U6" s="7"/>
      <c r="V6" s="7"/>
      <c r="W6" s="7"/>
      <c r="X6" s="7"/>
      <c r="Y6" s="7"/>
      <c r="Z6" s="7"/>
      <c r="AA6" s="7"/>
      <c r="AB6" s="7"/>
      <c r="AC6" s="7"/>
      <c r="AD6" s="7"/>
      <c r="AE6" s="7"/>
      <c r="AF6" s="7"/>
      <c r="AG6" s="7"/>
      <c r="AH6" s="7"/>
      <c r="AI6" s="7"/>
    </row>
    <row r="7" spans="1:35" x14ac:dyDescent="0.25">
      <c r="A7" s="7"/>
      <c r="B7" s="25" t="s">
        <v>109</v>
      </c>
      <c r="C7" s="5"/>
      <c r="D7" s="5"/>
      <c r="E7" s="5"/>
      <c r="F7" s="7"/>
      <c r="G7" s="7"/>
      <c r="H7" s="26" t="s">
        <v>81</v>
      </c>
      <c r="I7" s="27">
        <f ca="1">COUNTIF($AH$15:$AH$64,"OVERDUE")</f>
        <v>0</v>
      </c>
      <c r="J7" s="7"/>
      <c r="K7" s="7"/>
      <c r="L7" s="7"/>
      <c r="M7" s="7"/>
      <c r="N7" s="7"/>
      <c r="O7" s="7"/>
      <c r="P7" s="7"/>
      <c r="Q7" s="7"/>
      <c r="R7" s="7"/>
      <c r="S7" s="7"/>
      <c r="T7" s="7"/>
      <c r="U7" s="7"/>
      <c r="V7" s="7"/>
      <c r="W7" s="7"/>
      <c r="X7" s="7"/>
      <c r="Y7" s="7"/>
      <c r="Z7" s="7"/>
      <c r="AA7" s="7"/>
      <c r="AB7" s="7"/>
      <c r="AC7" s="7"/>
      <c r="AD7" s="7"/>
      <c r="AE7" s="7"/>
      <c r="AF7" s="7"/>
      <c r="AG7" s="7"/>
      <c r="AH7" s="7"/>
      <c r="AI7" s="7"/>
    </row>
    <row r="8" spans="1:35" x14ac:dyDescent="0.25">
      <c r="A8" s="7"/>
      <c r="B8" s="25" t="s">
        <v>110</v>
      </c>
      <c r="C8" s="4"/>
      <c r="D8" s="4"/>
      <c r="E8" s="4"/>
      <c r="F8" s="7"/>
      <c r="G8" s="7"/>
      <c r="H8" s="26" t="s">
        <v>126</v>
      </c>
      <c r="I8" s="27">
        <f>COUNTIF($L$15:$L$64,"Review / Risk")+COUNTIF($N$15:$N$64,"Review / Risk")+COUNTIF($P$15:$P$64,"Review / Risk")+COUNTIF($R$15:$R$64,"Review / Risk")+COUNTIF($T$15:$T$64,"Review / Risk")+COUNTIF($V$15:$V$64,"Review / Risk")+COUNTIF($X$15:$X$64,"Review / Risk")+COUNTIF($Z$15:$Z$64,"Review / Risk")+COUNTIF($AB$15:$AB$64,"Review / Risk")+COUNTIF($AD$15:$AD$64,"Review / Risk")</f>
        <v>0</v>
      </c>
      <c r="J8" s="7"/>
      <c r="K8" s="7"/>
      <c r="L8" s="7"/>
      <c r="M8" s="7"/>
      <c r="N8" s="7"/>
      <c r="O8" s="7"/>
      <c r="P8" s="7"/>
      <c r="Q8" s="7"/>
      <c r="R8" s="7"/>
      <c r="S8" s="7"/>
      <c r="T8" s="7"/>
      <c r="U8" s="7"/>
      <c r="V8" s="7"/>
      <c r="W8" s="7"/>
      <c r="X8" s="7"/>
      <c r="Y8" s="7"/>
      <c r="Z8" s="7"/>
      <c r="AA8" s="7"/>
      <c r="AB8" s="7"/>
      <c r="AC8" s="7"/>
      <c r="AD8" s="7"/>
      <c r="AE8" s="7"/>
      <c r="AF8" s="7"/>
      <c r="AG8" s="7"/>
      <c r="AH8" s="7"/>
      <c r="AI8" s="7"/>
    </row>
    <row r="9" spans="1:35" x14ac:dyDescent="0.25">
      <c r="A9" s="7"/>
      <c r="B9" s="25" t="s">
        <v>111</v>
      </c>
      <c r="C9" s="4"/>
      <c r="D9" s="4"/>
      <c r="E9" s="4"/>
      <c r="F9" s="7"/>
      <c r="G9" s="7"/>
      <c r="H9" s="26" t="s">
        <v>127</v>
      </c>
      <c r="I9" s="27">
        <f>COUNTIF($L$15:$L$64,"Fails")+COUNTIF($N$15:$N$64,"Fails")+COUNTIF($P$15:$P$64,"Fails")+COUNTIF($R$15:$R$64,"Fails")+COUNTIF($T$15:$T$64,"Fails")+COUNTIF($V$15:$V$64,"Fails")+COUNTIF($X$15:$X$64,"Fails")+COUNTIF($Z$15:$Z$64,"Fails")+COUNTIF($AB$15:$AB$64,"Fails")+COUNTIF($AD$15:$AD$64,"Fails")</f>
        <v>0</v>
      </c>
      <c r="J9" s="7"/>
      <c r="K9" s="7"/>
      <c r="L9" s="7"/>
      <c r="M9" s="7"/>
      <c r="N9" s="7"/>
      <c r="O9" s="7"/>
      <c r="P9" s="7"/>
      <c r="Q9" s="7"/>
      <c r="R9" s="7"/>
      <c r="S9" s="7"/>
      <c r="T9" s="7"/>
      <c r="U9" s="7"/>
      <c r="V9" s="7"/>
      <c r="W9" s="7"/>
      <c r="X9" s="7"/>
      <c r="Y9" s="7"/>
      <c r="Z9" s="7"/>
      <c r="AA9" s="7"/>
      <c r="AB9" s="7"/>
      <c r="AC9" s="7"/>
      <c r="AD9" s="7"/>
      <c r="AE9" s="7"/>
      <c r="AF9" s="7"/>
      <c r="AG9" s="7"/>
      <c r="AH9" s="7"/>
      <c r="AI9" s="7"/>
    </row>
    <row r="10" spans="1:35" x14ac:dyDescent="0.25">
      <c r="A10" s="7"/>
      <c r="B10" s="25" t="s">
        <v>112</v>
      </c>
      <c r="C10" s="5"/>
      <c r="D10" s="5"/>
      <c r="E10" s="5"/>
      <c r="F10" s="7"/>
      <c r="G10" s="7"/>
      <c r="H10" s="26" t="s">
        <v>129</v>
      </c>
      <c r="I10" s="27" t="str">
        <f ca="1">IF(C9="","",C9-TODAY())</f>
        <v/>
      </c>
      <c r="J10" s="7"/>
      <c r="K10" s="7"/>
      <c r="L10" s="7"/>
      <c r="M10" s="7"/>
      <c r="N10" s="7"/>
      <c r="O10" s="7"/>
      <c r="P10" s="7"/>
      <c r="Q10" s="7"/>
      <c r="R10" s="7"/>
      <c r="S10" s="7"/>
      <c r="T10" s="7"/>
      <c r="U10" s="7"/>
      <c r="V10" s="7"/>
      <c r="W10" s="7"/>
      <c r="X10" s="7"/>
      <c r="Y10" s="7"/>
      <c r="Z10" s="7"/>
      <c r="AA10" s="7"/>
      <c r="AB10" s="7"/>
      <c r="AC10" s="7"/>
      <c r="AD10" s="7"/>
      <c r="AE10" s="7"/>
      <c r="AF10" s="7"/>
      <c r="AG10" s="7"/>
      <c r="AH10" s="7"/>
      <c r="AI10" s="7"/>
    </row>
    <row r="11" spans="1:35"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spans="1:35" ht="15" customHeight="1" x14ac:dyDescent="0.25">
      <c r="A12" s="3" t="s">
        <v>130</v>
      </c>
      <c r="B12" s="3"/>
      <c r="C12" s="3"/>
      <c r="D12" s="3"/>
      <c r="E12" s="3"/>
      <c r="F12" s="3" t="s">
        <v>131</v>
      </c>
      <c r="G12" s="3"/>
      <c r="H12" s="3"/>
      <c r="I12" s="3"/>
      <c r="J12" s="3"/>
      <c r="K12" s="3" t="str">
        <f>"KEY ITEMS - "&amp;IF($C$5="","pick a Vendor Type in C5",UPPER($C$5))</f>
        <v>KEY ITEMS - pick a Vendor Type in C5</v>
      </c>
      <c r="L12" s="3"/>
      <c r="M12" s="3"/>
      <c r="N12" s="3"/>
      <c r="O12" s="3"/>
      <c r="P12" s="3"/>
      <c r="Q12" s="3"/>
      <c r="R12" s="3"/>
      <c r="S12" s="3"/>
      <c r="T12" s="3"/>
      <c r="U12" s="3"/>
      <c r="V12" s="3"/>
      <c r="W12" s="3"/>
      <c r="X12" s="3"/>
      <c r="Y12" s="3"/>
      <c r="Z12" s="3"/>
      <c r="AA12" s="3"/>
      <c r="AB12" s="3"/>
      <c r="AC12" s="3"/>
      <c r="AD12" s="3"/>
      <c r="AE12" s="3" t="s">
        <v>132</v>
      </c>
      <c r="AF12" s="3"/>
      <c r="AG12" s="3"/>
      <c r="AH12" s="3"/>
      <c r="AI12" s="3"/>
    </row>
    <row r="13" spans="1:35" ht="43.5" customHeight="1" x14ac:dyDescent="0.25">
      <c r="A13" s="2" t="s">
        <v>133</v>
      </c>
      <c r="B13" s="2" t="s">
        <v>134</v>
      </c>
      <c r="C13" s="2" t="s">
        <v>135</v>
      </c>
      <c r="D13" s="2" t="s">
        <v>136</v>
      </c>
      <c r="E13" s="2" t="s">
        <v>137</v>
      </c>
      <c r="F13" s="2" t="s">
        <v>138</v>
      </c>
      <c r="G13" s="2" t="s">
        <v>139</v>
      </c>
      <c r="H13" s="2" t="s">
        <v>140</v>
      </c>
      <c r="I13" s="2" t="s">
        <v>141</v>
      </c>
      <c r="J13" s="2" t="s">
        <v>142</v>
      </c>
      <c r="K13" s="1" t="str">
        <f>IF($C$5="","Key item 1",IFERROR(IF(INDEX('Key Items'!$B$5:$O$14,1,MATCH($C$5,'Key Items'!$B$4:$O$4,0))="","Key item 1 (spare - type a name)",INDEX('Key Items'!$B$5:$O$14,1,MATCH($C$5,'Key Items'!$B$4:$O$4,0))),"Key item 1"))</f>
        <v>Key item 1</v>
      </c>
      <c r="L13" s="1"/>
      <c r="M13" s="1" t="str">
        <f>IF($C$5="","Key item 2",IFERROR(IF(INDEX('Key Items'!$B$5:$O$14,2,MATCH($C$5,'Key Items'!$B$4:$O$4,0))="","Key item 2 (spare - type a name)",INDEX('Key Items'!$B$5:$O$14,2,MATCH($C$5,'Key Items'!$B$4:$O$4,0))),"Key item 2"))</f>
        <v>Key item 2</v>
      </c>
      <c r="N13" s="1"/>
      <c r="O13" s="1" t="str">
        <f>IF($C$5="","Key item 3",IFERROR(IF(INDEX('Key Items'!$B$5:$O$14,3,MATCH($C$5,'Key Items'!$B$4:$O$4,0))="","Key item 3 (spare - type a name)",INDEX('Key Items'!$B$5:$O$14,3,MATCH($C$5,'Key Items'!$B$4:$O$4,0))),"Key item 3"))</f>
        <v>Key item 3</v>
      </c>
      <c r="P13" s="1"/>
      <c r="Q13" s="1" t="str">
        <f>IF($C$5="","Key item 4",IFERROR(IF(INDEX('Key Items'!$B$5:$O$14,4,MATCH($C$5,'Key Items'!$B$4:$O$4,0))="","Key item 4 (spare - type a name)",INDEX('Key Items'!$B$5:$O$14,4,MATCH($C$5,'Key Items'!$B$4:$O$4,0))),"Key item 4"))</f>
        <v>Key item 4</v>
      </c>
      <c r="R13" s="1"/>
      <c r="S13" s="1" t="str">
        <f>IF($C$5="","Key item 5",IFERROR(IF(INDEX('Key Items'!$B$5:$O$14,5,MATCH($C$5,'Key Items'!$B$4:$O$4,0))="","Key item 5 (spare - type a name)",INDEX('Key Items'!$B$5:$O$14,5,MATCH($C$5,'Key Items'!$B$4:$O$4,0))),"Key item 5"))</f>
        <v>Key item 5</v>
      </c>
      <c r="T13" s="1"/>
      <c r="U13" s="1" t="str">
        <f>IF($C$5="","Key item 6",IFERROR(IF(INDEX('Key Items'!$B$5:$O$14,6,MATCH($C$5,'Key Items'!$B$4:$O$4,0))="","Key item 6 (spare - type a name)",INDEX('Key Items'!$B$5:$O$14,6,MATCH($C$5,'Key Items'!$B$4:$O$4,0))),"Key item 6"))</f>
        <v>Key item 6</v>
      </c>
      <c r="V13" s="1"/>
      <c r="W13" s="1" t="str">
        <f>IF($C$5="","Key item 7",IFERROR(IF(INDEX('Key Items'!$B$5:$O$14,7,MATCH($C$5,'Key Items'!$B$4:$O$4,0))="","Key item 7 (spare - type a name)",INDEX('Key Items'!$B$5:$O$14,7,MATCH($C$5,'Key Items'!$B$4:$O$4,0))),"Key item 7"))</f>
        <v>Key item 7</v>
      </c>
      <c r="X13" s="1"/>
      <c r="Y13" s="1" t="str">
        <f>IF($C$5="","Key item 8",IFERROR(IF(INDEX('Key Items'!$B$5:$O$14,8,MATCH($C$5,'Key Items'!$B$4:$O$4,0))="","Key item 8 (spare - type a name)",INDEX('Key Items'!$B$5:$O$14,8,MATCH($C$5,'Key Items'!$B$4:$O$4,0))),"Key item 8"))</f>
        <v>Key item 8</v>
      </c>
      <c r="Z13" s="1"/>
      <c r="AA13" s="1" t="str">
        <f>IF($C$5="","Key item 9",IFERROR(IF(INDEX('Key Items'!$B$5:$O$14,9,MATCH($C$5,'Key Items'!$B$4:$O$4,0))="","Key item 9 (spare - type a name)",INDEX('Key Items'!$B$5:$O$14,9,MATCH($C$5,'Key Items'!$B$4:$O$4,0))),"Key item 9"))</f>
        <v>Key item 9</v>
      </c>
      <c r="AB13" s="1"/>
      <c r="AC13" s="1" t="str">
        <f>IF($C$5="","Key item 10",IFERROR(IF(INDEX('Key Items'!$B$5:$O$14,10,MATCH($C$5,'Key Items'!$B$4:$O$4,0))="","Key item 10 (spare - type a name)",INDEX('Key Items'!$B$5:$O$14,10,MATCH($C$5,'Key Items'!$B$4:$O$4,0))),"Key item 10"))</f>
        <v>Key item 10</v>
      </c>
      <c r="AD13" s="1"/>
      <c r="AE13" s="2" t="s">
        <v>143</v>
      </c>
      <c r="AF13" s="2" t="s">
        <v>144</v>
      </c>
      <c r="AG13" s="2" t="s">
        <v>145</v>
      </c>
      <c r="AH13" s="2" t="s">
        <v>146</v>
      </c>
      <c r="AI13" s="2" t="s">
        <v>117</v>
      </c>
    </row>
    <row r="14" spans="1:35" ht="19.5" customHeight="1" x14ac:dyDescent="0.25">
      <c r="A14" s="2"/>
      <c r="B14" s="2"/>
      <c r="C14" s="2"/>
      <c r="D14" s="2"/>
      <c r="E14" s="2"/>
      <c r="F14" s="2"/>
      <c r="G14" s="2"/>
      <c r="H14" s="2"/>
      <c r="I14" s="2"/>
      <c r="J14" s="2"/>
      <c r="K14" s="28" t="s">
        <v>147</v>
      </c>
      <c r="L14" s="28" t="s">
        <v>47</v>
      </c>
      <c r="M14" s="28" t="s">
        <v>147</v>
      </c>
      <c r="N14" s="28" t="s">
        <v>47</v>
      </c>
      <c r="O14" s="28" t="s">
        <v>147</v>
      </c>
      <c r="P14" s="28" t="s">
        <v>47</v>
      </c>
      <c r="Q14" s="28" t="s">
        <v>147</v>
      </c>
      <c r="R14" s="28" t="s">
        <v>47</v>
      </c>
      <c r="S14" s="28" t="s">
        <v>147</v>
      </c>
      <c r="T14" s="28" t="s">
        <v>47</v>
      </c>
      <c r="U14" s="28" t="s">
        <v>147</v>
      </c>
      <c r="V14" s="28" t="s">
        <v>47</v>
      </c>
      <c r="W14" s="28" t="s">
        <v>147</v>
      </c>
      <c r="X14" s="28" t="s">
        <v>47</v>
      </c>
      <c r="Y14" s="28" t="s">
        <v>147</v>
      </c>
      <c r="Z14" s="28" t="s">
        <v>47</v>
      </c>
      <c r="AA14" s="28" t="s">
        <v>147</v>
      </c>
      <c r="AB14" s="28" t="s">
        <v>47</v>
      </c>
      <c r="AC14" s="28" t="s">
        <v>147</v>
      </c>
      <c r="AD14" s="28" t="s">
        <v>47</v>
      </c>
      <c r="AE14" s="2"/>
      <c r="AF14" s="2"/>
      <c r="AG14" s="2"/>
      <c r="AH14" s="2"/>
      <c r="AI14" s="2"/>
    </row>
    <row r="15" spans="1:35" x14ac:dyDescent="0.25">
      <c r="A15" s="29"/>
      <c r="B15" s="30" t="str">
        <f>IF($A15="","",IFERROR(INDEX(Vendors!$A$5:$A$400,MATCH($A15,Vendors!$B$5:$B$400,0)),"Not in Vendors tab"))</f>
        <v/>
      </c>
      <c r="C15" s="30" t="str">
        <f>IF($A15="","",IFERROR(INDEX(Vendors!$H$5:$H$400,MATCH($A15,Vendors!$B$5:$B$400,0))&amp;"",""))</f>
        <v/>
      </c>
      <c r="D15" s="31" t="str">
        <f>IF($A15="","",IFERROR(INDEX(Vendors!$J$5:$J$400,MATCH($A15,Vendors!$B$5:$B$400,0))&amp;"",""))</f>
        <v/>
      </c>
      <c r="E15" s="30" t="str">
        <f>IF($A15="","",IFERROR(IF(INDEX(Vendors!$K$5:$K$400,MATCH($A15,Vendors!$B$5:$B$400,0))&amp;""="",INDEX(Vendors!$F$5:$F$400,MATCH($A15,Vendors!$B$5:$B$400,0))&amp;"",INDEX(Vendors!$K$5:$K$400,MATCH($A15,Vendors!$B$5:$B$400,0))&amp;""),""))</f>
        <v/>
      </c>
      <c r="F15" s="32"/>
      <c r="G15" s="33"/>
      <c r="H15" s="33"/>
      <c r="I15" s="33"/>
      <c r="J15" s="32"/>
      <c r="K15" s="29"/>
      <c r="L15" s="29"/>
      <c r="M15" s="29"/>
      <c r="N15" s="29"/>
      <c r="O15" s="29"/>
      <c r="P15" s="29"/>
      <c r="Q15" s="29"/>
      <c r="R15" s="29"/>
      <c r="S15" s="29"/>
      <c r="T15" s="29"/>
      <c r="U15" s="29"/>
      <c r="V15" s="29"/>
      <c r="W15" s="29"/>
      <c r="X15" s="29"/>
      <c r="Y15" s="29"/>
      <c r="Z15" s="29"/>
      <c r="AA15" s="29"/>
      <c r="AB15" s="29"/>
      <c r="AC15" s="29"/>
      <c r="AD15" s="29"/>
      <c r="AE15" s="29"/>
      <c r="AF15" s="29"/>
      <c r="AG15" s="34"/>
      <c r="AH15" s="31" t="str">
        <f t="shared" ref="AH15:AH46" ca="1" si="0">IF(OR($A15="",AG15=""),"",IF(OR(F15="Complete",F15="Declined",F15="No Response"),"",IF(AG15&lt;TODAY(),"OVERDUE",IF(AG15-TODAY()&lt;=7,"Due 7d",""))))</f>
        <v/>
      </c>
      <c r="AI15" s="29"/>
    </row>
    <row r="16" spans="1:35" x14ac:dyDescent="0.25">
      <c r="A16" s="29"/>
      <c r="B16" s="30" t="str">
        <f>IF($A16="","",IFERROR(INDEX(Vendors!$A$5:$A$400,MATCH($A16,Vendors!$B$5:$B$400,0)),"Not in Vendors tab"))</f>
        <v/>
      </c>
      <c r="C16" s="30" t="str">
        <f>IF($A16="","",IFERROR(INDEX(Vendors!$H$5:$H$400,MATCH($A16,Vendors!$B$5:$B$400,0))&amp;"",""))</f>
        <v/>
      </c>
      <c r="D16" s="31" t="str">
        <f>IF($A16="","",IFERROR(INDEX(Vendors!$J$5:$J$400,MATCH($A16,Vendors!$B$5:$B$400,0))&amp;"",""))</f>
        <v/>
      </c>
      <c r="E16" s="30" t="str">
        <f>IF($A16="","",IFERROR(IF(INDEX(Vendors!$K$5:$K$400,MATCH($A16,Vendors!$B$5:$B$400,0))&amp;""="",INDEX(Vendors!$F$5:$F$400,MATCH($A16,Vendors!$B$5:$B$400,0))&amp;"",INDEX(Vendors!$K$5:$K$400,MATCH($A16,Vendors!$B$5:$B$400,0))&amp;""),""))</f>
        <v/>
      </c>
      <c r="F16" s="32"/>
      <c r="G16" s="33"/>
      <c r="H16" s="33"/>
      <c r="I16" s="33"/>
      <c r="J16" s="32"/>
      <c r="K16" s="29"/>
      <c r="L16" s="29"/>
      <c r="M16" s="29"/>
      <c r="N16" s="29"/>
      <c r="O16" s="29"/>
      <c r="P16" s="29"/>
      <c r="Q16" s="29"/>
      <c r="R16" s="29"/>
      <c r="S16" s="29"/>
      <c r="T16" s="29"/>
      <c r="U16" s="29"/>
      <c r="V16" s="29"/>
      <c r="W16" s="29"/>
      <c r="X16" s="29"/>
      <c r="Y16" s="29"/>
      <c r="Z16" s="29"/>
      <c r="AA16" s="29"/>
      <c r="AB16" s="29"/>
      <c r="AC16" s="29"/>
      <c r="AD16" s="29"/>
      <c r="AE16" s="29"/>
      <c r="AF16" s="29"/>
      <c r="AG16" s="34"/>
      <c r="AH16" s="31" t="str">
        <f t="shared" ca="1" si="0"/>
        <v/>
      </c>
      <c r="AI16" s="29"/>
    </row>
    <row r="17" spans="1:35" x14ac:dyDescent="0.25">
      <c r="A17" s="29"/>
      <c r="B17" s="30" t="str">
        <f>IF($A17="","",IFERROR(INDEX(Vendors!$A$5:$A$400,MATCH($A17,Vendors!$B$5:$B$400,0)),"Not in Vendors tab"))</f>
        <v/>
      </c>
      <c r="C17" s="30" t="str">
        <f>IF($A17="","",IFERROR(INDEX(Vendors!$H$5:$H$400,MATCH($A17,Vendors!$B$5:$B$400,0))&amp;"",""))</f>
        <v/>
      </c>
      <c r="D17" s="31" t="str">
        <f>IF($A17="","",IFERROR(INDEX(Vendors!$J$5:$J$400,MATCH($A17,Vendors!$B$5:$B$400,0))&amp;"",""))</f>
        <v/>
      </c>
      <c r="E17" s="30" t="str">
        <f>IF($A17="","",IFERROR(IF(INDEX(Vendors!$K$5:$K$400,MATCH($A17,Vendors!$B$5:$B$400,0))&amp;""="",INDEX(Vendors!$F$5:$F$400,MATCH($A17,Vendors!$B$5:$B$400,0))&amp;"",INDEX(Vendors!$K$5:$K$400,MATCH($A17,Vendors!$B$5:$B$400,0))&amp;""),""))</f>
        <v/>
      </c>
      <c r="F17" s="32"/>
      <c r="G17" s="33"/>
      <c r="H17" s="33"/>
      <c r="I17" s="33"/>
      <c r="J17" s="32"/>
      <c r="K17" s="29"/>
      <c r="L17" s="29"/>
      <c r="M17" s="29"/>
      <c r="N17" s="29"/>
      <c r="O17" s="29"/>
      <c r="P17" s="29"/>
      <c r="Q17" s="29"/>
      <c r="R17" s="29"/>
      <c r="S17" s="29"/>
      <c r="T17" s="29"/>
      <c r="U17" s="29"/>
      <c r="V17" s="29"/>
      <c r="W17" s="29"/>
      <c r="X17" s="29"/>
      <c r="Y17" s="29"/>
      <c r="Z17" s="29"/>
      <c r="AA17" s="29"/>
      <c r="AB17" s="29"/>
      <c r="AC17" s="29"/>
      <c r="AD17" s="29"/>
      <c r="AE17" s="29"/>
      <c r="AF17" s="29"/>
      <c r="AG17" s="34"/>
      <c r="AH17" s="31" t="str">
        <f t="shared" ca="1" si="0"/>
        <v/>
      </c>
      <c r="AI17" s="29"/>
    </row>
    <row r="18" spans="1:35" x14ac:dyDescent="0.25">
      <c r="A18" s="29"/>
      <c r="B18" s="30" t="str">
        <f>IF($A18="","",IFERROR(INDEX(Vendors!$A$5:$A$400,MATCH($A18,Vendors!$B$5:$B$400,0)),"Not in Vendors tab"))</f>
        <v/>
      </c>
      <c r="C18" s="30" t="str">
        <f>IF($A18="","",IFERROR(INDEX(Vendors!$H$5:$H$400,MATCH($A18,Vendors!$B$5:$B$400,0))&amp;"",""))</f>
        <v/>
      </c>
      <c r="D18" s="31" t="str">
        <f>IF($A18="","",IFERROR(INDEX(Vendors!$J$5:$J$400,MATCH($A18,Vendors!$B$5:$B$400,0))&amp;"",""))</f>
        <v/>
      </c>
      <c r="E18" s="30" t="str">
        <f>IF($A18="","",IFERROR(IF(INDEX(Vendors!$K$5:$K$400,MATCH($A18,Vendors!$B$5:$B$400,0))&amp;""="",INDEX(Vendors!$F$5:$F$400,MATCH($A18,Vendors!$B$5:$B$400,0))&amp;"",INDEX(Vendors!$K$5:$K$400,MATCH($A18,Vendors!$B$5:$B$400,0))&amp;""),""))</f>
        <v/>
      </c>
      <c r="F18" s="32"/>
      <c r="G18" s="33"/>
      <c r="H18" s="33"/>
      <c r="I18" s="33"/>
      <c r="J18" s="32"/>
      <c r="K18" s="29"/>
      <c r="L18" s="29"/>
      <c r="M18" s="29"/>
      <c r="N18" s="29"/>
      <c r="O18" s="29"/>
      <c r="P18" s="29"/>
      <c r="Q18" s="29"/>
      <c r="R18" s="29"/>
      <c r="S18" s="29"/>
      <c r="T18" s="29"/>
      <c r="U18" s="29"/>
      <c r="V18" s="29"/>
      <c r="W18" s="29"/>
      <c r="X18" s="29"/>
      <c r="Y18" s="29"/>
      <c r="Z18" s="29"/>
      <c r="AA18" s="29"/>
      <c r="AB18" s="29"/>
      <c r="AC18" s="29"/>
      <c r="AD18" s="29"/>
      <c r="AE18" s="29"/>
      <c r="AF18" s="29"/>
      <c r="AG18" s="34"/>
      <c r="AH18" s="31" t="str">
        <f t="shared" ca="1" si="0"/>
        <v/>
      </c>
      <c r="AI18" s="29"/>
    </row>
    <row r="19" spans="1:35" x14ac:dyDescent="0.25">
      <c r="A19" s="29"/>
      <c r="B19" s="30" t="str">
        <f>IF($A19="","",IFERROR(INDEX(Vendors!$A$5:$A$400,MATCH($A19,Vendors!$B$5:$B$400,0)),"Not in Vendors tab"))</f>
        <v/>
      </c>
      <c r="C19" s="30" t="str">
        <f>IF($A19="","",IFERROR(INDEX(Vendors!$H$5:$H$400,MATCH($A19,Vendors!$B$5:$B$400,0))&amp;"",""))</f>
        <v/>
      </c>
      <c r="D19" s="31" t="str">
        <f>IF($A19="","",IFERROR(INDEX(Vendors!$J$5:$J$400,MATCH($A19,Vendors!$B$5:$B$400,0))&amp;"",""))</f>
        <v/>
      </c>
      <c r="E19" s="30" t="str">
        <f>IF($A19="","",IFERROR(IF(INDEX(Vendors!$K$5:$K$400,MATCH($A19,Vendors!$B$5:$B$400,0))&amp;""="",INDEX(Vendors!$F$5:$F$400,MATCH($A19,Vendors!$B$5:$B$400,0))&amp;"",INDEX(Vendors!$K$5:$K$400,MATCH($A19,Vendors!$B$5:$B$400,0))&amp;""),""))</f>
        <v/>
      </c>
      <c r="F19" s="32"/>
      <c r="G19" s="33"/>
      <c r="H19" s="33"/>
      <c r="I19" s="33"/>
      <c r="J19" s="32"/>
      <c r="K19" s="29"/>
      <c r="L19" s="29"/>
      <c r="M19" s="29"/>
      <c r="N19" s="29"/>
      <c r="O19" s="29"/>
      <c r="P19" s="29"/>
      <c r="Q19" s="29"/>
      <c r="R19" s="29"/>
      <c r="S19" s="29"/>
      <c r="T19" s="29"/>
      <c r="U19" s="29"/>
      <c r="V19" s="29"/>
      <c r="W19" s="29"/>
      <c r="X19" s="29"/>
      <c r="Y19" s="29"/>
      <c r="Z19" s="29"/>
      <c r="AA19" s="29"/>
      <c r="AB19" s="29"/>
      <c r="AC19" s="29"/>
      <c r="AD19" s="29"/>
      <c r="AE19" s="29"/>
      <c r="AF19" s="29"/>
      <c r="AG19" s="34"/>
      <c r="AH19" s="31" t="str">
        <f t="shared" ca="1" si="0"/>
        <v/>
      </c>
      <c r="AI19" s="29"/>
    </row>
    <row r="20" spans="1:35" x14ac:dyDescent="0.25">
      <c r="A20" s="29"/>
      <c r="B20" s="30" t="str">
        <f>IF($A20="","",IFERROR(INDEX(Vendors!$A$5:$A$400,MATCH($A20,Vendors!$B$5:$B$400,0)),"Not in Vendors tab"))</f>
        <v/>
      </c>
      <c r="C20" s="30" t="str">
        <f>IF($A20="","",IFERROR(INDEX(Vendors!$H$5:$H$400,MATCH($A20,Vendors!$B$5:$B$400,0))&amp;"",""))</f>
        <v/>
      </c>
      <c r="D20" s="31" t="str">
        <f>IF($A20="","",IFERROR(INDEX(Vendors!$J$5:$J$400,MATCH($A20,Vendors!$B$5:$B$400,0))&amp;"",""))</f>
        <v/>
      </c>
      <c r="E20" s="30" t="str">
        <f>IF($A20="","",IFERROR(IF(INDEX(Vendors!$K$5:$K$400,MATCH($A20,Vendors!$B$5:$B$400,0))&amp;""="",INDEX(Vendors!$F$5:$F$400,MATCH($A20,Vendors!$B$5:$B$400,0))&amp;"",INDEX(Vendors!$K$5:$K$400,MATCH($A20,Vendors!$B$5:$B$400,0))&amp;""),""))</f>
        <v/>
      </c>
      <c r="F20" s="32"/>
      <c r="G20" s="33"/>
      <c r="H20" s="33"/>
      <c r="I20" s="33"/>
      <c r="J20" s="32"/>
      <c r="K20" s="29"/>
      <c r="L20" s="29"/>
      <c r="M20" s="29"/>
      <c r="N20" s="29"/>
      <c r="O20" s="29"/>
      <c r="P20" s="29"/>
      <c r="Q20" s="29"/>
      <c r="R20" s="29"/>
      <c r="S20" s="29"/>
      <c r="T20" s="29"/>
      <c r="U20" s="29"/>
      <c r="V20" s="29"/>
      <c r="W20" s="29"/>
      <c r="X20" s="29"/>
      <c r="Y20" s="29"/>
      <c r="Z20" s="29"/>
      <c r="AA20" s="29"/>
      <c r="AB20" s="29"/>
      <c r="AC20" s="29"/>
      <c r="AD20" s="29"/>
      <c r="AE20" s="29"/>
      <c r="AF20" s="29"/>
      <c r="AG20" s="34"/>
      <c r="AH20" s="31" t="str">
        <f t="shared" ca="1" si="0"/>
        <v/>
      </c>
      <c r="AI20" s="29"/>
    </row>
    <row r="21" spans="1:35" x14ac:dyDescent="0.25">
      <c r="A21" s="29"/>
      <c r="B21" s="30" t="str">
        <f>IF($A21="","",IFERROR(INDEX(Vendors!$A$5:$A$400,MATCH($A21,Vendors!$B$5:$B$400,0)),"Not in Vendors tab"))</f>
        <v/>
      </c>
      <c r="C21" s="30" t="str">
        <f>IF($A21="","",IFERROR(INDEX(Vendors!$H$5:$H$400,MATCH($A21,Vendors!$B$5:$B$400,0))&amp;"",""))</f>
        <v/>
      </c>
      <c r="D21" s="31" t="str">
        <f>IF($A21="","",IFERROR(INDEX(Vendors!$J$5:$J$400,MATCH($A21,Vendors!$B$5:$B$400,0))&amp;"",""))</f>
        <v/>
      </c>
      <c r="E21" s="30" t="str">
        <f>IF($A21="","",IFERROR(IF(INDEX(Vendors!$K$5:$K$400,MATCH($A21,Vendors!$B$5:$B$400,0))&amp;""="",INDEX(Vendors!$F$5:$F$400,MATCH($A21,Vendors!$B$5:$B$400,0))&amp;"",INDEX(Vendors!$K$5:$K$400,MATCH($A21,Vendors!$B$5:$B$400,0))&amp;""),""))</f>
        <v/>
      </c>
      <c r="F21" s="32"/>
      <c r="G21" s="33"/>
      <c r="H21" s="33"/>
      <c r="I21" s="33"/>
      <c r="J21" s="32"/>
      <c r="K21" s="29"/>
      <c r="L21" s="29"/>
      <c r="M21" s="29"/>
      <c r="N21" s="29"/>
      <c r="O21" s="29"/>
      <c r="P21" s="29"/>
      <c r="Q21" s="29"/>
      <c r="R21" s="29"/>
      <c r="S21" s="29"/>
      <c r="T21" s="29"/>
      <c r="U21" s="29"/>
      <c r="V21" s="29"/>
      <c r="W21" s="29"/>
      <c r="X21" s="29"/>
      <c r="Y21" s="29"/>
      <c r="Z21" s="29"/>
      <c r="AA21" s="29"/>
      <c r="AB21" s="29"/>
      <c r="AC21" s="29"/>
      <c r="AD21" s="29"/>
      <c r="AE21" s="29"/>
      <c r="AF21" s="29"/>
      <c r="AG21" s="34"/>
      <c r="AH21" s="31" t="str">
        <f t="shared" ca="1" si="0"/>
        <v/>
      </c>
      <c r="AI21" s="29"/>
    </row>
    <row r="22" spans="1:35" x14ac:dyDescent="0.25">
      <c r="A22" s="29"/>
      <c r="B22" s="30" t="str">
        <f>IF($A22="","",IFERROR(INDEX(Vendors!$A$5:$A$400,MATCH($A22,Vendors!$B$5:$B$400,0)),"Not in Vendors tab"))</f>
        <v/>
      </c>
      <c r="C22" s="30" t="str">
        <f>IF($A22="","",IFERROR(INDEX(Vendors!$H$5:$H$400,MATCH($A22,Vendors!$B$5:$B$400,0))&amp;"",""))</f>
        <v/>
      </c>
      <c r="D22" s="31" t="str">
        <f>IF($A22="","",IFERROR(INDEX(Vendors!$J$5:$J$400,MATCH($A22,Vendors!$B$5:$B$400,0))&amp;"",""))</f>
        <v/>
      </c>
      <c r="E22" s="30" t="str">
        <f>IF($A22="","",IFERROR(IF(INDEX(Vendors!$K$5:$K$400,MATCH($A22,Vendors!$B$5:$B$400,0))&amp;""="",INDEX(Vendors!$F$5:$F$400,MATCH($A22,Vendors!$B$5:$B$400,0))&amp;"",INDEX(Vendors!$K$5:$K$400,MATCH($A22,Vendors!$B$5:$B$400,0))&amp;""),""))</f>
        <v/>
      </c>
      <c r="F22" s="32"/>
      <c r="G22" s="33"/>
      <c r="H22" s="33"/>
      <c r="I22" s="33"/>
      <c r="J22" s="32"/>
      <c r="K22" s="29"/>
      <c r="L22" s="29"/>
      <c r="M22" s="29"/>
      <c r="N22" s="29"/>
      <c r="O22" s="29"/>
      <c r="P22" s="29"/>
      <c r="Q22" s="29"/>
      <c r="R22" s="29"/>
      <c r="S22" s="29"/>
      <c r="T22" s="29"/>
      <c r="U22" s="29"/>
      <c r="V22" s="29"/>
      <c r="W22" s="29"/>
      <c r="X22" s="29"/>
      <c r="Y22" s="29"/>
      <c r="Z22" s="29"/>
      <c r="AA22" s="29"/>
      <c r="AB22" s="29"/>
      <c r="AC22" s="29"/>
      <c r="AD22" s="29"/>
      <c r="AE22" s="29"/>
      <c r="AF22" s="29"/>
      <c r="AG22" s="34"/>
      <c r="AH22" s="31" t="str">
        <f t="shared" ca="1" si="0"/>
        <v/>
      </c>
      <c r="AI22" s="29"/>
    </row>
    <row r="23" spans="1:35" x14ac:dyDescent="0.25">
      <c r="A23" s="29"/>
      <c r="B23" s="30" t="str">
        <f>IF($A23="","",IFERROR(INDEX(Vendors!$A$5:$A$400,MATCH($A23,Vendors!$B$5:$B$400,0)),"Not in Vendors tab"))</f>
        <v/>
      </c>
      <c r="C23" s="30" t="str">
        <f>IF($A23="","",IFERROR(INDEX(Vendors!$H$5:$H$400,MATCH($A23,Vendors!$B$5:$B$400,0))&amp;"",""))</f>
        <v/>
      </c>
      <c r="D23" s="31" t="str">
        <f>IF($A23="","",IFERROR(INDEX(Vendors!$J$5:$J$400,MATCH($A23,Vendors!$B$5:$B$400,0))&amp;"",""))</f>
        <v/>
      </c>
      <c r="E23" s="30" t="str">
        <f>IF($A23="","",IFERROR(IF(INDEX(Vendors!$K$5:$K$400,MATCH($A23,Vendors!$B$5:$B$400,0))&amp;""="",INDEX(Vendors!$F$5:$F$400,MATCH($A23,Vendors!$B$5:$B$400,0))&amp;"",INDEX(Vendors!$K$5:$K$400,MATCH($A23,Vendors!$B$5:$B$400,0))&amp;""),""))</f>
        <v/>
      </c>
      <c r="F23" s="32"/>
      <c r="G23" s="33"/>
      <c r="H23" s="33"/>
      <c r="I23" s="33"/>
      <c r="J23" s="32"/>
      <c r="K23" s="29"/>
      <c r="L23" s="29"/>
      <c r="M23" s="29"/>
      <c r="N23" s="29"/>
      <c r="O23" s="29"/>
      <c r="P23" s="29"/>
      <c r="Q23" s="29"/>
      <c r="R23" s="29"/>
      <c r="S23" s="29"/>
      <c r="T23" s="29"/>
      <c r="U23" s="29"/>
      <c r="V23" s="29"/>
      <c r="W23" s="29"/>
      <c r="X23" s="29"/>
      <c r="Y23" s="29"/>
      <c r="Z23" s="29"/>
      <c r="AA23" s="29"/>
      <c r="AB23" s="29"/>
      <c r="AC23" s="29"/>
      <c r="AD23" s="29"/>
      <c r="AE23" s="29"/>
      <c r="AF23" s="29"/>
      <c r="AG23" s="34"/>
      <c r="AH23" s="31" t="str">
        <f t="shared" ca="1" si="0"/>
        <v/>
      </c>
      <c r="AI23" s="29"/>
    </row>
    <row r="24" spans="1:35" x14ac:dyDescent="0.25">
      <c r="A24" s="29"/>
      <c r="B24" s="30" t="str">
        <f>IF($A24="","",IFERROR(INDEX(Vendors!$A$5:$A$400,MATCH($A24,Vendors!$B$5:$B$400,0)),"Not in Vendors tab"))</f>
        <v/>
      </c>
      <c r="C24" s="30" t="str">
        <f>IF($A24="","",IFERROR(INDEX(Vendors!$H$5:$H$400,MATCH($A24,Vendors!$B$5:$B$400,0))&amp;"",""))</f>
        <v/>
      </c>
      <c r="D24" s="31" t="str">
        <f>IF($A24="","",IFERROR(INDEX(Vendors!$J$5:$J$400,MATCH($A24,Vendors!$B$5:$B$400,0))&amp;"",""))</f>
        <v/>
      </c>
      <c r="E24" s="30" t="str">
        <f>IF($A24="","",IFERROR(IF(INDEX(Vendors!$K$5:$K$400,MATCH($A24,Vendors!$B$5:$B$400,0))&amp;""="",INDEX(Vendors!$F$5:$F$400,MATCH($A24,Vendors!$B$5:$B$400,0))&amp;"",INDEX(Vendors!$K$5:$K$400,MATCH($A24,Vendors!$B$5:$B$400,0))&amp;""),""))</f>
        <v/>
      </c>
      <c r="F24" s="32"/>
      <c r="G24" s="33"/>
      <c r="H24" s="33"/>
      <c r="I24" s="33"/>
      <c r="J24" s="32"/>
      <c r="K24" s="29"/>
      <c r="L24" s="29"/>
      <c r="M24" s="29"/>
      <c r="N24" s="29"/>
      <c r="O24" s="29"/>
      <c r="P24" s="29"/>
      <c r="Q24" s="29"/>
      <c r="R24" s="29"/>
      <c r="S24" s="29"/>
      <c r="T24" s="29"/>
      <c r="U24" s="29"/>
      <c r="V24" s="29"/>
      <c r="W24" s="29"/>
      <c r="X24" s="29"/>
      <c r="Y24" s="29"/>
      <c r="Z24" s="29"/>
      <c r="AA24" s="29"/>
      <c r="AB24" s="29"/>
      <c r="AC24" s="29"/>
      <c r="AD24" s="29"/>
      <c r="AE24" s="29"/>
      <c r="AF24" s="29"/>
      <c r="AG24" s="34"/>
      <c r="AH24" s="31" t="str">
        <f t="shared" ca="1" si="0"/>
        <v/>
      </c>
      <c r="AI24" s="29"/>
    </row>
    <row r="25" spans="1:35" x14ac:dyDescent="0.25">
      <c r="A25" s="29"/>
      <c r="B25" s="30" t="str">
        <f>IF($A25="","",IFERROR(INDEX(Vendors!$A$5:$A$400,MATCH($A25,Vendors!$B$5:$B$400,0)),"Not in Vendors tab"))</f>
        <v/>
      </c>
      <c r="C25" s="30" t="str">
        <f>IF($A25="","",IFERROR(INDEX(Vendors!$H$5:$H$400,MATCH($A25,Vendors!$B$5:$B$400,0))&amp;"",""))</f>
        <v/>
      </c>
      <c r="D25" s="31" t="str">
        <f>IF($A25="","",IFERROR(INDEX(Vendors!$J$5:$J$400,MATCH($A25,Vendors!$B$5:$B$400,0))&amp;"",""))</f>
        <v/>
      </c>
      <c r="E25" s="30" t="str">
        <f>IF($A25="","",IFERROR(IF(INDEX(Vendors!$K$5:$K$400,MATCH($A25,Vendors!$B$5:$B$400,0))&amp;""="",INDEX(Vendors!$F$5:$F$400,MATCH($A25,Vendors!$B$5:$B$400,0))&amp;"",INDEX(Vendors!$K$5:$K$400,MATCH($A25,Vendors!$B$5:$B$400,0))&amp;""),""))</f>
        <v/>
      </c>
      <c r="F25" s="32"/>
      <c r="G25" s="33"/>
      <c r="H25" s="33"/>
      <c r="I25" s="33"/>
      <c r="J25" s="32"/>
      <c r="K25" s="29"/>
      <c r="L25" s="29"/>
      <c r="M25" s="29"/>
      <c r="N25" s="29"/>
      <c r="O25" s="29"/>
      <c r="P25" s="29"/>
      <c r="Q25" s="29"/>
      <c r="R25" s="29"/>
      <c r="S25" s="29"/>
      <c r="T25" s="29"/>
      <c r="U25" s="29"/>
      <c r="V25" s="29"/>
      <c r="W25" s="29"/>
      <c r="X25" s="29"/>
      <c r="Y25" s="29"/>
      <c r="Z25" s="29"/>
      <c r="AA25" s="29"/>
      <c r="AB25" s="29"/>
      <c r="AC25" s="29"/>
      <c r="AD25" s="29"/>
      <c r="AE25" s="29"/>
      <c r="AF25" s="29"/>
      <c r="AG25" s="34"/>
      <c r="AH25" s="31" t="str">
        <f t="shared" ca="1" si="0"/>
        <v/>
      </c>
      <c r="AI25" s="29"/>
    </row>
    <row r="26" spans="1:35" x14ac:dyDescent="0.25">
      <c r="A26" s="29"/>
      <c r="B26" s="30" t="str">
        <f>IF($A26="","",IFERROR(INDEX(Vendors!$A$5:$A$400,MATCH($A26,Vendors!$B$5:$B$400,0)),"Not in Vendors tab"))</f>
        <v/>
      </c>
      <c r="C26" s="30" t="str">
        <f>IF($A26="","",IFERROR(INDEX(Vendors!$H$5:$H$400,MATCH($A26,Vendors!$B$5:$B$400,0))&amp;"",""))</f>
        <v/>
      </c>
      <c r="D26" s="31" t="str">
        <f>IF($A26="","",IFERROR(INDEX(Vendors!$J$5:$J$400,MATCH($A26,Vendors!$B$5:$B$400,0))&amp;"",""))</f>
        <v/>
      </c>
      <c r="E26" s="30" t="str">
        <f>IF($A26="","",IFERROR(IF(INDEX(Vendors!$K$5:$K$400,MATCH($A26,Vendors!$B$5:$B$400,0))&amp;""="",INDEX(Vendors!$F$5:$F$400,MATCH($A26,Vendors!$B$5:$B$400,0))&amp;"",INDEX(Vendors!$K$5:$K$400,MATCH($A26,Vendors!$B$5:$B$400,0))&amp;""),""))</f>
        <v/>
      </c>
      <c r="F26" s="32"/>
      <c r="G26" s="33"/>
      <c r="H26" s="33"/>
      <c r="I26" s="33"/>
      <c r="J26" s="32"/>
      <c r="K26" s="29"/>
      <c r="L26" s="29"/>
      <c r="M26" s="29"/>
      <c r="N26" s="29"/>
      <c r="O26" s="29"/>
      <c r="P26" s="29"/>
      <c r="Q26" s="29"/>
      <c r="R26" s="29"/>
      <c r="S26" s="29"/>
      <c r="T26" s="29"/>
      <c r="U26" s="29"/>
      <c r="V26" s="29"/>
      <c r="W26" s="29"/>
      <c r="X26" s="29"/>
      <c r="Y26" s="29"/>
      <c r="Z26" s="29"/>
      <c r="AA26" s="29"/>
      <c r="AB26" s="29"/>
      <c r="AC26" s="29"/>
      <c r="AD26" s="29"/>
      <c r="AE26" s="29"/>
      <c r="AF26" s="29"/>
      <c r="AG26" s="34"/>
      <c r="AH26" s="31" t="str">
        <f t="shared" ca="1" si="0"/>
        <v/>
      </c>
      <c r="AI26" s="29"/>
    </row>
    <row r="27" spans="1:35" x14ac:dyDescent="0.25">
      <c r="A27" s="29"/>
      <c r="B27" s="30" t="str">
        <f>IF($A27="","",IFERROR(INDEX(Vendors!$A$5:$A$400,MATCH($A27,Vendors!$B$5:$B$400,0)),"Not in Vendors tab"))</f>
        <v/>
      </c>
      <c r="C27" s="30" t="str">
        <f>IF($A27="","",IFERROR(INDEX(Vendors!$H$5:$H$400,MATCH($A27,Vendors!$B$5:$B$400,0))&amp;"",""))</f>
        <v/>
      </c>
      <c r="D27" s="31" t="str">
        <f>IF($A27="","",IFERROR(INDEX(Vendors!$J$5:$J$400,MATCH($A27,Vendors!$B$5:$B$400,0))&amp;"",""))</f>
        <v/>
      </c>
      <c r="E27" s="30" t="str">
        <f>IF($A27="","",IFERROR(IF(INDEX(Vendors!$K$5:$K$400,MATCH($A27,Vendors!$B$5:$B$400,0))&amp;""="",INDEX(Vendors!$F$5:$F$400,MATCH($A27,Vendors!$B$5:$B$400,0))&amp;"",INDEX(Vendors!$K$5:$K$400,MATCH($A27,Vendors!$B$5:$B$400,0))&amp;""),""))</f>
        <v/>
      </c>
      <c r="F27" s="32"/>
      <c r="G27" s="33"/>
      <c r="H27" s="33"/>
      <c r="I27" s="33"/>
      <c r="J27" s="32"/>
      <c r="K27" s="29"/>
      <c r="L27" s="29"/>
      <c r="M27" s="29"/>
      <c r="N27" s="29"/>
      <c r="O27" s="29"/>
      <c r="P27" s="29"/>
      <c r="Q27" s="29"/>
      <c r="R27" s="29"/>
      <c r="S27" s="29"/>
      <c r="T27" s="29"/>
      <c r="U27" s="29"/>
      <c r="V27" s="29"/>
      <c r="W27" s="29"/>
      <c r="X27" s="29"/>
      <c r="Y27" s="29"/>
      <c r="Z27" s="29"/>
      <c r="AA27" s="29"/>
      <c r="AB27" s="29"/>
      <c r="AC27" s="29"/>
      <c r="AD27" s="29"/>
      <c r="AE27" s="29"/>
      <c r="AF27" s="29"/>
      <c r="AG27" s="34"/>
      <c r="AH27" s="31" t="str">
        <f t="shared" ca="1" si="0"/>
        <v/>
      </c>
      <c r="AI27" s="29"/>
    </row>
    <row r="28" spans="1:35" x14ac:dyDescent="0.25">
      <c r="A28" s="29"/>
      <c r="B28" s="30" t="str">
        <f>IF($A28="","",IFERROR(INDEX(Vendors!$A$5:$A$400,MATCH($A28,Vendors!$B$5:$B$400,0)),"Not in Vendors tab"))</f>
        <v/>
      </c>
      <c r="C28" s="30" t="str">
        <f>IF($A28="","",IFERROR(INDEX(Vendors!$H$5:$H$400,MATCH($A28,Vendors!$B$5:$B$400,0))&amp;"",""))</f>
        <v/>
      </c>
      <c r="D28" s="31" t="str">
        <f>IF($A28="","",IFERROR(INDEX(Vendors!$J$5:$J$400,MATCH($A28,Vendors!$B$5:$B$400,0))&amp;"",""))</f>
        <v/>
      </c>
      <c r="E28" s="30" t="str">
        <f>IF($A28="","",IFERROR(IF(INDEX(Vendors!$K$5:$K$400,MATCH($A28,Vendors!$B$5:$B$400,0))&amp;""="",INDEX(Vendors!$F$5:$F$400,MATCH($A28,Vendors!$B$5:$B$400,0))&amp;"",INDEX(Vendors!$K$5:$K$400,MATCH($A28,Vendors!$B$5:$B$400,0))&amp;""),""))</f>
        <v/>
      </c>
      <c r="F28" s="32"/>
      <c r="G28" s="33"/>
      <c r="H28" s="33"/>
      <c r="I28" s="33"/>
      <c r="J28" s="32"/>
      <c r="K28" s="29"/>
      <c r="L28" s="29"/>
      <c r="M28" s="29"/>
      <c r="N28" s="29"/>
      <c r="O28" s="29"/>
      <c r="P28" s="29"/>
      <c r="Q28" s="29"/>
      <c r="R28" s="29"/>
      <c r="S28" s="29"/>
      <c r="T28" s="29"/>
      <c r="U28" s="29"/>
      <c r="V28" s="29"/>
      <c r="W28" s="29"/>
      <c r="X28" s="29"/>
      <c r="Y28" s="29"/>
      <c r="Z28" s="29"/>
      <c r="AA28" s="29"/>
      <c r="AB28" s="29"/>
      <c r="AC28" s="29"/>
      <c r="AD28" s="29"/>
      <c r="AE28" s="29"/>
      <c r="AF28" s="29"/>
      <c r="AG28" s="34"/>
      <c r="AH28" s="31" t="str">
        <f t="shared" ca="1" si="0"/>
        <v/>
      </c>
      <c r="AI28" s="29"/>
    </row>
    <row r="29" spans="1:35" x14ac:dyDescent="0.25">
      <c r="A29" s="29"/>
      <c r="B29" s="30" t="str">
        <f>IF($A29="","",IFERROR(INDEX(Vendors!$A$5:$A$400,MATCH($A29,Vendors!$B$5:$B$400,0)),"Not in Vendors tab"))</f>
        <v/>
      </c>
      <c r="C29" s="30" t="str">
        <f>IF($A29="","",IFERROR(INDEX(Vendors!$H$5:$H$400,MATCH($A29,Vendors!$B$5:$B$400,0))&amp;"",""))</f>
        <v/>
      </c>
      <c r="D29" s="31" t="str">
        <f>IF($A29="","",IFERROR(INDEX(Vendors!$J$5:$J$400,MATCH($A29,Vendors!$B$5:$B$400,0))&amp;"",""))</f>
        <v/>
      </c>
      <c r="E29" s="30" t="str">
        <f>IF($A29="","",IFERROR(IF(INDEX(Vendors!$K$5:$K$400,MATCH($A29,Vendors!$B$5:$B$400,0))&amp;""="",INDEX(Vendors!$F$5:$F$400,MATCH($A29,Vendors!$B$5:$B$400,0))&amp;"",INDEX(Vendors!$K$5:$K$400,MATCH($A29,Vendors!$B$5:$B$400,0))&amp;""),""))</f>
        <v/>
      </c>
      <c r="F29" s="32"/>
      <c r="G29" s="33"/>
      <c r="H29" s="33"/>
      <c r="I29" s="33"/>
      <c r="J29" s="32"/>
      <c r="K29" s="29"/>
      <c r="L29" s="29"/>
      <c r="M29" s="29"/>
      <c r="N29" s="29"/>
      <c r="O29" s="29"/>
      <c r="P29" s="29"/>
      <c r="Q29" s="29"/>
      <c r="R29" s="29"/>
      <c r="S29" s="29"/>
      <c r="T29" s="29"/>
      <c r="U29" s="29"/>
      <c r="V29" s="29"/>
      <c r="W29" s="29"/>
      <c r="X29" s="29"/>
      <c r="Y29" s="29"/>
      <c r="Z29" s="29"/>
      <c r="AA29" s="29"/>
      <c r="AB29" s="29"/>
      <c r="AC29" s="29"/>
      <c r="AD29" s="29"/>
      <c r="AE29" s="29"/>
      <c r="AF29" s="29"/>
      <c r="AG29" s="34"/>
      <c r="AH29" s="31" t="str">
        <f t="shared" ca="1" si="0"/>
        <v/>
      </c>
      <c r="AI29" s="29"/>
    </row>
    <row r="30" spans="1:35" x14ac:dyDescent="0.25">
      <c r="A30" s="29"/>
      <c r="B30" s="30" t="str">
        <f>IF($A30="","",IFERROR(INDEX(Vendors!$A$5:$A$400,MATCH($A30,Vendors!$B$5:$B$400,0)),"Not in Vendors tab"))</f>
        <v/>
      </c>
      <c r="C30" s="30" t="str">
        <f>IF($A30="","",IFERROR(INDEX(Vendors!$H$5:$H$400,MATCH($A30,Vendors!$B$5:$B$400,0))&amp;"",""))</f>
        <v/>
      </c>
      <c r="D30" s="31" t="str">
        <f>IF($A30="","",IFERROR(INDEX(Vendors!$J$5:$J$400,MATCH($A30,Vendors!$B$5:$B$400,0))&amp;"",""))</f>
        <v/>
      </c>
      <c r="E30" s="30" t="str">
        <f>IF($A30="","",IFERROR(IF(INDEX(Vendors!$K$5:$K$400,MATCH($A30,Vendors!$B$5:$B$400,0))&amp;""="",INDEX(Vendors!$F$5:$F$400,MATCH($A30,Vendors!$B$5:$B$400,0))&amp;"",INDEX(Vendors!$K$5:$K$400,MATCH($A30,Vendors!$B$5:$B$400,0))&amp;""),""))</f>
        <v/>
      </c>
      <c r="F30" s="32"/>
      <c r="G30" s="33"/>
      <c r="H30" s="33"/>
      <c r="I30" s="33"/>
      <c r="J30" s="32"/>
      <c r="K30" s="29"/>
      <c r="L30" s="29"/>
      <c r="M30" s="29"/>
      <c r="N30" s="29"/>
      <c r="O30" s="29"/>
      <c r="P30" s="29"/>
      <c r="Q30" s="29"/>
      <c r="R30" s="29"/>
      <c r="S30" s="29"/>
      <c r="T30" s="29"/>
      <c r="U30" s="29"/>
      <c r="V30" s="29"/>
      <c r="W30" s="29"/>
      <c r="X30" s="29"/>
      <c r="Y30" s="29"/>
      <c r="Z30" s="29"/>
      <c r="AA30" s="29"/>
      <c r="AB30" s="29"/>
      <c r="AC30" s="29"/>
      <c r="AD30" s="29"/>
      <c r="AE30" s="29"/>
      <c r="AF30" s="29"/>
      <c r="AG30" s="34"/>
      <c r="AH30" s="31" t="str">
        <f t="shared" ca="1" si="0"/>
        <v/>
      </c>
      <c r="AI30" s="29"/>
    </row>
    <row r="31" spans="1:35" x14ac:dyDescent="0.25">
      <c r="A31" s="29"/>
      <c r="B31" s="30" t="str">
        <f>IF($A31="","",IFERROR(INDEX(Vendors!$A$5:$A$400,MATCH($A31,Vendors!$B$5:$B$400,0)),"Not in Vendors tab"))</f>
        <v/>
      </c>
      <c r="C31" s="30" t="str">
        <f>IF($A31="","",IFERROR(INDEX(Vendors!$H$5:$H$400,MATCH($A31,Vendors!$B$5:$B$400,0))&amp;"",""))</f>
        <v/>
      </c>
      <c r="D31" s="31" t="str">
        <f>IF($A31="","",IFERROR(INDEX(Vendors!$J$5:$J$400,MATCH($A31,Vendors!$B$5:$B$400,0))&amp;"",""))</f>
        <v/>
      </c>
      <c r="E31" s="30" t="str">
        <f>IF($A31="","",IFERROR(IF(INDEX(Vendors!$K$5:$K$400,MATCH($A31,Vendors!$B$5:$B$400,0))&amp;""="",INDEX(Vendors!$F$5:$F$400,MATCH($A31,Vendors!$B$5:$B$400,0))&amp;"",INDEX(Vendors!$K$5:$K$400,MATCH($A31,Vendors!$B$5:$B$400,0))&amp;""),""))</f>
        <v/>
      </c>
      <c r="F31" s="32"/>
      <c r="G31" s="33"/>
      <c r="H31" s="33"/>
      <c r="I31" s="33"/>
      <c r="J31" s="32"/>
      <c r="K31" s="29"/>
      <c r="L31" s="29"/>
      <c r="M31" s="29"/>
      <c r="N31" s="29"/>
      <c r="O31" s="29"/>
      <c r="P31" s="29"/>
      <c r="Q31" s="29"/>
      <c r="R31" s="29"/>
      <c r="S31" s="29"/>
      <c r="T31" s="29"/>
      <c r="U31" s="29"/>
      <c r="V31" s="29"/>
      <c r="W31" s="29"/>
      <c r="X31" s="29"/>
      <c r="Y31" s="29"/>
      <c r="Z31" s="29"/>
      <c r="AA31" s="29"/>
      <c r="AB31" s="29"/>
      <c r="AC31" s="29"/>
      <c r="AD31" s="29"/>
      <c r="AE31" s="29"/>
      <c r="AF31" s="29"/>
      <c r="AG31" s="34"/>
      <c r="AH31" s="31" t="str">
        <f t="shared" ca="1" si="0"/>
        <v/>
      </c>
      <c r="AI31" s="29"/>
    </row>
    <row r="32" spans="1:35" x14ac:dyDescent="0.25">
      <c r="A32" s="29"/>
      <c r="B32" s="30" t="str">
        <f>IF($A32="","",IFERROR(INDEX(Vendors!$A$5:$A$400,MATCH($A32,Vendors!$B$5:$B$400,0)),"Not in Vendors tab"))</f>
        <v/>
      </c>
      <c r="C32" s="30" t="str">
        <f>IF($A32="","",IFERROR(INDEX(Vendors!$H$5:$H$400,MATCH($A32,Vendors!$B$5:$B$400,0))&amp;"",""))</f>
        <v/>
      </c>
      <c r="D32" s="31" t="str">
        <f>IF($A32="","",IFERROR(INDEX(Vendors!$J$5:$J$400,MATCH($A32,Vendors!$B$5:$B$400,0))&amp;"",""))</f>
        <v/>
      </c>
      <c r="E32" s="30" t="str">
        <f>IF($A32="","",IFERROR(IF(INDEX(Vendors!$K$5:$K$400,MATCH($A32,Vendors!$B$5:$B$400,0))&amp;""="",INDEX(Vendors!$F$5:$F$400,MATCH($A32,Vendors!$B$5:$B$400,0))&amp;"",INDEX(Vendors!$K$5:$K$400,MATCH($A32,Vendors!$B$5:$B$400,0))&amp;""),""))</f>
        <v/>
      </c>
      <c r="F32" s="32"/>
      <c r="G32" s="33"/>
      <c r="H32" s="33"/>
      <c r="I32" s="33"/>
      <c r="J32" s="32"/>
      <c r="K32" s="29"/>
      <c r="L32" s="29"/>
      <c r="M32" s="29"/>
      <c r="N32" s="29"/>
      <c r="O32" s="29"/>
      <c r="P32" s="29"/>
      <c r="Q32" s="29"/>
      <c r="R32" s="29"/>
      <c r="S32" s="29"/>
      <c r="T32" s="29"/>
      <c r="U32" s="29"/>
      <c r="V32" s="29"/>
      <c r="W32" s="29"/>
      <c r="X32" s="29"/>
      <c r="Y32" s="29"/>
      <c r="Z32" s="29"/>
      <c r="AA32" s="29"/>
      <c r="AB32" s="29"/>
      <c r="AC32" s="29"/>
      <c r="AD32" s="29"/>
      <c r="AE32" s="29"/>
      <c r="AF32" s="29"/>
      <c r="AG32" s="34"/>
      <c r="AH32" s="31" t="str">
        <f t="shared" ca="1" si="0"/>
        <v/>
      </c>
      <c r="AI32" s="29"/>
    </row>
    <row r="33" spans="1:35" x14ac:dyDescent="0.25">
      <c r="A33" s="29"/>
      <c r="B33" s="30" t="str">
        <f>IF($A33="","",IFERROR(INDEX(Vendors!$A$5:$A$400,MATCH($A33,Vendors!$B$5:$B$400,0)),"Not in Vendors tab"))</f>
        <v/>
      </c>
      <c r="C33" s="30" t="str">
        <f>IF($A33="","",IFERROR(INDEX(Vendors!$H$5:$H$400,MATCH($A33,Vendors!$B$5:$B$400,0))&amp;"",""))</f>
        <v/>
      </c>
      <c r="D33" s="31" t="str">
        <f>IF($A33="","",IFERROR(INDEX(Vendors!$J$5:$J$400,MATCH($A33,Vendors!$B$5:$B$400,0))&amp;"",""))</f>
        <v/>
      </c>
      <c r="E33" s="30" t="str">
        <f>IF($A33="","",IFERROR(IF(INDEX(Vendors!$K$5:$K$400,MATCH($A33,Vendors!$B$5:$B$400,0))&amp;""="",INDEX(Vendors!$F$5:$F$400,MATCH($A33,Vendors!$B$5:$B$400,0))&amp;"",INDEX(Vendors!$K$5:$K$400,MATCH($A33,Vendors!$B$5:$B$400,0))&amp;""),""))</f>
        <v/>
      </c>
      <c r="F33" s="32"/>
      <c r="G33" s="33"/>
      <c r="H33" s="33"/>
      <c r="I33" s="33"/>
      <c r="J33" s="32"/>
      <c r="K33" s="29"/>
      <c r="L33" s="29"/>
      <c r="M33" s="29"/>
      <c r="N33" s="29"/>
      <c r="O33" s="29"/>
      <c r="P33" s="29"/>
      <c r="Q33" s="29"/>
      <c r="R33" s="29"/>
      <c r="S33" s="29"/>
      <c r="T33" s="29"/>
      <c r="U33" s="29"/>
      <c r="V33" s="29"/>
      <c r="W33" s="29"/>
      <c r="X33" s="29"/>
      <c r="Y33" s="29"/>
      <c r="Z33" s="29"/>
      <c r="AA33" s="29"/>
      <c r="AB33" s="29"/>
      <c r="AC33" s="29"/>
      <c r="AD33" s="29"/>
      <c r="AE33" s="29"/>
      <c r="AF33" s="29"/>
      <c r="AG33" s="34"/>
      <c r="AH33" s="31" t="str">
        <f t="shared" ca="1" si="0"/>
        <v/>
      </c>
      <c r="AI33" s="29"/>
    </row>
    <row r="34" spans="1:35" x14ac:dyDescent="0.25">
      <c r="A34" s="29"/>
      <c r="B34" s="30" t="str">
        <f>IF($A34="","",IFERROR(INDEX(Vendors!$A$5:$A$400,MATCH($A34,Vendors!$B$5:$B$400,0)),"Not in Vendors tab"))</f>
        <v/>
      </c>
      <c r="C34" s="30" t="str">
        <f>IF($A34="","",IFERROR(INDEX(Vendors!$H$5:$H$400,MATCH($A34,Vendors!$B$5:$B$400,0))&amp;"",""))</f>
        <v/>
      </c>
      <c r="D34" s="31" t="str">
        <f>IF($A34="","",IFERROR(INDEX(Vendors!$J$5:$J$400,MATCH($A34,Vendors!$B$5:$B$400,0))&amp;"",""))</f>
        <v/>
      </c>
      <c r="E34" s="30" t="str">
        <f>IF($A34="","",IFERROR(IF(INDEX(Vendors!$K$5:$K$400,MATCH($A34,Vendors!$B$5:$B$400,0))&amp;""="",INDEX(Vendors!$F$5:$F$400,MATCH($A34,Vendors!$B$5:$B$400,0))&amp;"",INDEX(Vendors!$K$5:$K$400,MATCH($A34,Vendors!$B$5:$B$400,0))&amp;""),""))</f>
        <v/>
      </c>
      <c r="F34" s="32"/>
      <c r="G34" s="33"/>
      <c r="H34" s="33"/>
      <c r="I34" s="33"/>
      <c r="J34" s="32"/>
      <c r="K34" s="29"/>
      <c r="L34" s="29"/>
      <c r="M34" s="29"/>
      <c r="N34" s="29"/>
      <c r="O34" s="29"/>
      <c r="P34" s="29"/>
      <c r="Q34" s="29"/>
      <c r="R34" s="29"/>
      <c r="S34" s="29"/>
      <c r="T34" s="29"/>
      <c r="U34" s="29"/>
      <c r="V34" s="29"/>
      <c r="W34" s="29"/>
      <c r="X34" s="29"/>
      <c r="Y34" s="29"/>
      <c r="Z34" s="29"/>
      <c r="AA34" s="29"/>
      <c r="AB34" s="29"/>
      <c r="AC34" s="29"/>
      <c r="AD34" s="29"/>
      <c r="AE34" s="29"/>
      <c r="AF34" s="29"/>
      <c r="AG34" s="34"/>
      <c r="AH34" s="31" t="str">
        <f t="shared" ca="1" si="0"/>
        <v/>
      </c>
      <c r="AI34" s="29"/>
    </row>
    <row r="35" spans="1:35" x14ac:dyDescent="0.25">
      <c r="A35" s="29"/>
      <c r="B35" s="30" t="str">
        <f>IF($A35="","",IFERROR(INDEX(Vendors!$A$5:$A$400,MATCH($A35,Vendors!$B$5:$B$400,0)),"Not in Vendors tab"))</f>
        <v/>
      </c>
      <c r="C35" s="30" t="str">
        <f>IF($A35="","",IFERROR(INDEX(Vendors!$H$5:$H$400,MATCH($A35,Vendors!$B$5:$B$400,0))&amp;"",""))</f>
        <v/>
      </c>
      <c r="D35" s="31" t="str">
        <f>IF($A35="","",IFERROR(INDEX(Vendors!$J$5:$J$400,MATCH($A35,Vendors!$B$5:$B$400,0))&amp;"",""))</f>
        <v/>
      </c>
      <c r="E35" s="30" t="str">
        <f>IF($A35="","",IFERROR(IF(INDEX(Vendors!$K$5:$K$400,MATCH($A35,Vendors!$B$5:$B$400,0))&amp;""="",INDEX(Vendors!$F$5:$F$400,MATCH($A35,Vendors!$B$5:$B$400,0))&amp;"",INDEX(Vendors!$K$5:$K$400,MATCH($A35,Vendors!$B$5:$B$400,0))&amp;""),""))</f>
        <v/>
      </c>
      <c r="F35" s="32"/>
      <c r="G35" s="33"/>
      <c r="H35" s="33"/>
      <c r="I35" s="33"/>
      <c r="J35" s="32"/>
      <c r="K35" s="29"/>
      <c r="L35" s="29"/>
      <c r="M35" s="29"/>
      <c r="N35" s="29"/>
      <c r="O35" s="29"/>
      <c r="P35" s="29"/>
      <c r="Q35" s="29"/>
      <c r="R35" s="29"/>
      <c r="S35" s="29"/>
      <c r="T35" s="29"/>
      <c r="U35" s="29"/>
      <c r="V35" s="29"/>
      <c r="W35" s="29"/>
      <c r="X35" s="29"/>
      <c r="Y35" s="29"/>
      <c r="Z35" s="29"/>
      <c r="AA35" s="29"/>
      <c r="AB35" s="29"/>
      <c r="AC35" s="29"/>
      <c r="AD35" s="29"/>
      <c r="AE35" s="29"/>
      <c r="AF35" s="29"/>
      <c r="AG35" s="34"/>
      <c r="AH35" s="31" t="str">
        <f t="shared" ca="1" si="0"/>
        <v/>
      </c>
      <c r="AI35" s="29"/>
    </row>
    <row r="36" spans="1:35" x14ac:dyDescent="0.25">
      <c r="A36" s="29"/>
      <c r="B36" s="30" t="str">
        <f>IF($A36="","",IFERROR(INDEX(Vendors!$A$5:$A$400,MATCH($A36,Vendors!$B$5:$B$400,0)),"Not in Vendors tab"))</f>
        <v/>
      </c>
      <c r="C36" s="30" t="str">
        <f>IF($A36="","",IFERROR(INDEX(Vendors!$H$5:$H$400,MATCH($A36,Vendors!$B$5:$B$400,0))&amp;"",""))</f>
        <v/>
      </c>
      <c r="D36" s="31" t="str">
        <f>IF($A36="","",IFERROR(INDEX(Vendors!$J$5:$J$400,MATCH($A36,Vendors!$B$5:$B$400,0))&amp;"",""))</f>
        <v/>
      </c>
      <c r="E36" s="30" t="str">
        <f>IF($A36="","",IFERROR(IF(INDEX(Vendors!$K$5:$K$400,MATCH($A36,Vendors!$B$5:$B$400,0))&amp;""="",INDEX(Vendors!$F$5:$F$400,MATCH($A36,Vendors!$B$5:$B$400,0))&amp;"",INDEX(Vendors!$K$5:$K$400,MATCH($A36,Vendors!$B$5:$B$400,0))&amp;""),""))</f>
        <v/>
      </c>
      <c r="F36" s="32"/>
      <c r="G36" s="33"/>
      <c r="H36" s="33"/>
      <c r="I36" s="33"/>
      <c r="J36" s="32"/>
      <c r="K36" s="29"/>
      <c r="L36" s="29"/>
      <c r="M36" s="29"/>
      <c r="N36" s="29"/>
      <c r="O36" s="29"/>
      <c r="P36" s="29"/>
      <c r="Q36" s="29"/>
      <c r="R36" s="29"/>
      <c r="S36" s="29"/>
      <c r="T36" s="29"/>
      <c r="U36" s="29"/>
      <c r="V36" s="29"/>
      <c r="W36" s="29"/>
      <c r="X36" s="29"/>
      <c r="Y36" s="29"/>
      <c r="Z36" s="29"/>
      <c r="AA36" s="29"/>
      <c r="AB36" s="29"/>
      <c r="AC36" s="29"/>
      <c r="AD36" s="29"/>
      <c r="AE36" s="29"/>
      <c r="AF36" s="29"/>
      <c r="AG36" s="34"/>
      <c r="AH36" s="31" t="str">
        <f t="shared" ca="1" si="0"/>
        <v/>
      </c>
      <c r="AI36" s="29"/>
    </row>
    <row r="37" spans="1:35" x14ac:dyDescent="0.25">
      <c r="A37" s="29"/>
      <c r="B37" s="30" t="str">
        <f>IF($A37="","",IFERROR(INDEX(Vendors!$A$5:$A$400,MATCH($A37,Vendors!$B$5:$B$400,0)),"Not in Vendors tab"))</f>
        <v/>
      </c>
      <c r="C37" s="30" t="str">
        <f>IF($A37="","",IFERROR(INDEX(Vendors!$H$5:$H$400,MATCH($A37,Vendors!$B$5:$B$400,0))&amp;"",""))</f>
        <v/>
      </c>
      <c r="D37" s="31" t="str">
        <f>IF($A37="","",IFERROR(INDEX(Vendors!$J$5:$J$400,MATCH($A37,Vendors!$B$5:$B$400,0))&amp;"",""))</f>
        <v/>
      </c>
      <c r="E37" s="30" t="str">
        <f>IF($A37="","",IFERROR(IF(INDEX(Vendors!$K$5:$K$400,MATCH($A37,Vendors!$B$5:$B$400,0))&amp;""="",INDEX(Vendors!$F$5:$F$400,MATCH($A37,Vendors!$B$5:$B$400,0))&amp;"",INDEX(Vendors!$K$5:$K$400,MATCH($A37,Vendors!$B$5:$B$400,0))&amp;""),""))</f>
        <v/>
      </c>
      <c r="F37" s="32"/>
      <c r="G37" s="33"/>
      <c r="H37" s="33"/>
      <c r="I37" s="33"/>
      <c r="J37" s="32"/>
      <c r="K37" s="29"/>
      <c r="L37" s="29"/>
      <c r="M37" s="29"/>
      <c r="N37" s="29"/>
      <c r="O37" s="29"/>
      <c r="P37" s="29"/>
      <c r="Q37" s="29"/>
      <c r="R37" s="29"/>
      <c r="S37" s="29"/>
      <c r="T37" s="29"/>
      <c r="U37" s="29"/>
      <c r="V37" s="29"/>
      <c r="W37" s="29"/>
      <c r="X37" s="29"/>
      <c r="Y37" s="29"/>
      <c r="Z37" s="29"/>
      <c r="AA37" s="29"/>
      <c r="AB37" s="29"/>
      <c r="AC37" s="29"/>
      <c r="AD37" s="29"/>
      <c r="AE37" s="29"/>
      <c r="AF37" s="29"/>
      <c r="AG37" s="34"/>
      <c r="AH37" s="31" t="str">
        <f t="shared" ca="1" si="0"/>
        <v/>
      </c>
      <c r="AI37" s="29"/>
    </row>
    <row r="38" spans="1:35" x14ac:dyDescent="0.25">
      <c r="A38" s="29"/>
      <c r="B38" s="30" t="str">
        <f>IF($A38="","",IFERROR(INDEX(Vendors!$A$5:$A$400,MATCH($A38,Vendors!$B$5:$B$400,0)),"Not in Vendors tab"))</f>
        <v/>
      </c>
      <c r="C38" s="30" t="str">
        <f>IF($A38="","",IFERROR(INDEX(Vendors!$H$5:$H$400,MATCH($A38,Vendors!$B$5:$B$400,0))&amp;"",""))</f>
        <v/>
      </c>
      <c r="D38" s="31" t="str">
        <f>IF($A38="","",IFERROR(INDEX(Vendors!$J$5:$J$400,MATCH($A38,Vendors!$B$5:$B$400,0))&amp;"",""))</f>
        <v/>
      </c>
      <c r="E38" s="30" t="str">
        <f>IF($A38="","",IFERROR(IF(INDEX(Vendors!$K$5:$K$400,MATCH($A38,Vendors!$B$5:$B$400,0))&amp;""="",INDEX(Vendors!$F$5:$F$400,MATCH($A38,Vendors!$B$5:$B$400,0))&amp;"",INDEX(Vendors!$K$5:$K$400,MATCH($A38,Vendors!$B$5:$B$400,0))&amp;""),""))</f>
        <v/>
      </c>
      <c r="F38" s="32"/>
      <c r="G38" s="33"/>
      <c r="H38" s="33"/>
      <c r="I38" s="33"/>
      <c r="J38" s="32"/>
      <c r="K38" s="29"/>
      <c r="L38" s="29"/>
      <c r="M38" s="29"/>
      <c r="N38" s="29"/>
      <c r="O38" s="29"/>
      <c r="P38" s="29"/>
      <c r="Q38" s="29"/>
      <c r="R38" s="29"/>
      <c r="S38" s="29"/>
      <c r="T38" s="29"/>
      <c r="U38" s="29"/>
      <c r="V38" s="29"/>
      <c r="W38" s="29"/>
      <c r="X38" s="29"/>
      <c r="Y38" s="29"/>
      <c r="Z38" s="29"/>
      <c r="AA38" s="29"/>
      <c r="AB38" s="29"/>
      <c r="AC38" s="29"/>
      <c r="AD38" s="29"/>
      <c r="AE38" s="29"/>
      <c r="AF38" s="29"/>
      <c r="AG38" s="34"/>
      <c r="AH38" s="31" t="str">
        <f t="shared" ca="1" si="0"/>
        <v/>
      </c>
      <c r="AI38" s="29"/>
    </row>
    <row r="39" spans="1:35" x14ac:dyDescent="0.25">
      <c r="A39" s="29"/>
      <c r="B39" s="30" t="str">
        <f>IF($A39="","",IFERROR(INDEX(Vendors!$A$5:$A$400,MATCH($A39,Vendors!$B$5:$B$400,0)),"Not in Vendors tab"))</f>
        <v/>
      </c>
      <c r="C39" s="30" t="str">
        <f>IF($A39="","",IFERROR(INDEX(Vendors!$H$5:$H$400,MATCH($A39,Vendors!$B$5:$B$400,0))&amp;"",""))</f>
        <v/>
      </c>
      <c r="D39" s="31" t="str">
        <f>IF($A39="","",IFERROR(INDEX(Vendors!$J$5:$J$400,MATCH($A39,Vendors!$B$5:$B$400,0))&amp;"",""))</f>
        <v/>
      </c>
      <c r="E39" s="30" t="str">
        <f>IF($A39="","",IFERROR(IF(INDEX(Vendors!$K$5:$K$400,MATCH($A39,Vendors!$B$5:$B$400,0))&amp;""="",INDEX(Vendors!$F$5:$F$400,MATCH($A39,Vendors!$B$5:$B$400,0))&amp;"",INDEX(Vendors!$K$5:$K$400,MATCH($A39,Vendors!$B$5:$B$400,0))&amp;""),""))</f>
        <v/>
      </c>
      <c r="F39" s="32"/>
      <c r="G39" s="33"/>
      <c r="H39" s="33"/>
      <c r="I39" s="33"/>
      <c r="J39" s="32"/>
      <c r="K39" s="29"/>
      <c r="L39" s="29"/>
      <c r="M39" s="29"/>
      <c r="N39" s="29"/>
      <c r="O39" s="29"/>
      <c r="P39" s="29"/>
      <c r="Q39" s="29"/>
      <c r="R39" s="29"/>
      <c r="S39" s="29"/>
      <c r="T39" s="29"/>
      <c r="U39" s="29"/>
      <c r="V39" s="29"/>
      <c r="W39" s="29"/>
      <c r="X39" s="29"/>
      <c r="Y39" s="29"/>
      <c r="Z39" s="29"/>
      <c r="AA39" s="29"/>
      <c r="AB39" s="29"/>
      <c r="AC39" s="29"/>
      <c r="AD39" s="29"/>
      <c r="AE39" s="29"/>
      <c r="AF39" s="29"/>
      <c r="AG39" s="34"/>
      <c r="AH39" s="31" t="str">
        <f t="shared" ca="1" si="0"/>
        <v/>
      </c>
      <c r="AI39" s="29"/>
    </row>
    <row r="40" spans="1:35" x14ac:dyDescent="0.25">
      <c r="A40" s="29"/>
      <c r="B40" s="30" t="str">
        <f>IF($A40="","",IFERROR(INDEX(Vendors!$A$5:$A$400,MATCH($A40,Vendors!$B$5:$B$400,0)),"Not in Vendors tab"))</f>
        <v/>
      </c>
      <c r="C40" s="30" t="str">
        <f>IF($A40="","",IFERROR(INDEX(Vendors!$H$5:$H$400,MATCH($A40,Vendors!$B$5:$B$400,0))&amp;"",""))</f>
        <v/>
      </c>
      <c r="D40" s="31" t="str">
        <f>IF($A40="","",IFERROR(INDEX(Vendors!$J$5:$J$400,MATCH($A40,Vendors!$B$5:$B$400,0))&amp;"",""))</f>
        <v/>
      </c>
      <c r="E40" s="30" t="str">
        <f>IF($A40="","",IFERROR(IF(INDEX(Vendors!$K$5:$K$400,MATCH($A40,Vendors!$B$5:$B$400,0))&amp;""="",INDEX(Vendors!$F$5:$F$400,MATCH($A40,Vendors!$B$5:$B$400,0))&amp;"",INDEX(Vendors!$K$5:$K$400,MATCH($A40,Vendors!$B$5:$B$400,0))&amp;""),""))</f>
        <v/>
      </c>
      <c r="F40" s="32"/>
      <c r="G40" s="33"/>
      <c r="H40" s="33"/>
      <c r="I40" s="33"/>
      <c r="J40" s="32"/>
      <c r="K40" s="29"/>
      <c r="L40" s="29"/>
      <c r="M40" s="29"/>
      <c r="N40" s="29"/>
      <c r="O40" s="29"/>
      <c r="P40" s="29"/>
      <c r="Q40" s="29"/>
      <c r="R40" s="29"/>
      <c r="S40" s="29"/>
      <c r="T40" s="29"/>
      <c r="U40" s="29"/>
      <c r="V40" s="29"/>
      <c r="W40" s="29"/>
      <c r="X40" s="29"/>
      <c r="Y40" s="29"/>
      <c r="Z40" s="29"/>
      <c r="AA40" s="29"/>
      <c r="AB40" s="29"/>
      <c r="AC40" s="29"/>
      <c r="AD40" s="29"/>
      <c r="AE40" s="29"/>
      <c r="AF40" s="29"/>
      <c r="AG40" s="34"/>
      <c r="AH40" s="31" t="str">
        <f t="shared" ca="1" si="0"/>
        <v/>
      </c>
      <c r="AI40" s="29"/>
    </row>
    <row r="41" spans="1:35" x14ac:dyDescent="0.25">
      <c r="A41" s="29"/>
      <c r="B41" s="30" t="str">
        <f>IF($A41="","",IFERROR(INDEX(Vendors!$A$5:$A$400,MATCH($A41,Vendors!$B$5:$B$400,0)),"Not in Vendors tab"))</f>
        <v/>
      </c>
      <c r="C41" s="30" t="str">
        <f>IF($A41="","",IFERROR(INDEX(Vendors!$H$5:$H$400,MATCH($A41,Vendors!$B$5:$B$400,0))&amp;"",""))</f>
        <v/>
      </c>
      <c r="D41" s="31" t="str">
        <f>IF($A41="","",IFERROR(INDEX(Vendors!$J$5:$J$400,MATCH($A41,Vendors!$B$5:$B$400,0))&amp;"",""))</f>
        <v/>
      </c>
      <c r="E41" s="30" t="str">
        <f>IF($A41="","",IFERROR(IF(INDEX(Vendors!$K$5:$K$400,MATCH($A41,Vendors!$B$5:$B$400,0))&amp;""="",INDEX(Vendors!$F$5:$F$400,MATCH($A41,Vendors!$B$5:$B$400,0))&amp;"",INDEX(Vendors!$K$5:$K$400,MATCH($A41,Vendors!$B$5:$B$400,0))&amp;""),""))</f>
        <v/>
      </c>
      <c r="F41" s="32"/>
      <c r="G41" s="33"/>
      <c r="H41" s="33"/>
      <c r="I41" s="33"/>
      <c r="J41" s="32"/>
      <c r="K41" s="29"/>
      <c r="L41" s="29"/>
      <c r="M41" s="29"/>
      <c r="N41" s="29"/>
      <c r="O41" s="29"/>
      <c r="P41" s="29"/>
      <c r="Q41" s="29"/>
      <c r="R41" s="29"/>
      <c r="S41" s="29"/>
      <c r="T41" s="29"/>
      <c r="U41" s="29"/>
      <c r="V41" s="29"/>
      <c r="W41" s="29"/>
      <c r="X41" s="29"/>
      <c r="Y41" s="29"/>
      <c r="Z41" s="29"/>
      <c r="AA41" s="29"/>
      <c r="AB41" s="29"/>
      <c r="AC41" s="29"/>
      <c r="AD41" s="29"/>
      <c r="AE41" s="29"/>
      <c r="AF41" s="29"/>
      <c r="AG41" s="34"/>
      <c r="AH41" s="31" t="str">
        <f t="shared" ca="1" si="0"/>
        <v/>
      </c>
      <c r="AI41" s="29"/>
    </row>
    <row r="42" spans="1:35" x14ac:dyDescent="0.25">
      <c r="A42" s="29"/>
      <c r="B42" s="30" t="str">
        <f>IF($A42="","",IFERROR(INDEX(Vendors!$A$5:$A$400,MATCH($A42,Vendors!$B$5:$B$400,0)),"Not in Vendors tab"))</f>
        <v/>
      </c>
      <c r="C42" s="30" t="str">
        <f>IF($A42="","",IFERROR(INDEX(Vendors!$H$5:$H$400,MATCH($A42,Vendors!$B$5:$B$400,0))&amp;"",""))</f>
        <v/>
      </c>
      <c r="D42" s="31" t="str">
        <f>IF($A42="","",IFERROR(INDEX(Vendors!$J$5:$J$400,MATCH($A42,Vendors!$B$5:$B$400,0))&amp;"",""))</f>
        <v/>
      </c>
      <c r="E42" s="30" t="str">
        <f>IF($A42="","",IFERROR(IF(INDEX(Vendors!$K$5:$K$400,MATCH($A42,Vendors!$B$5:$B$400,0))&amp;""="",INDEX(Vendors!$F$5:$F$400,MATCH($A42,Vendors!$B$5:$B$400,0))&amp;"",INDEX(Vendors!$K$5:$K$400,MATCH($A42,Vendors!$B$5:$B$400,0))&amp;""),""))</f>
        <v/>
      </c>
      <c r="F42" s="32"/>
      <c r="G42" s="33"/>
      <c r="H42" s="33"/>
      <c r="I42" s="33"/>
      <c r="J42" s="32"/>
      <c r="K42" s="29"/>
      <c r="L42" s="29"/>
      <c r="M42" s="29"/>
      <c r="N42" s="29"/>
      <c r="O42" s="29"/>
      <c r="P42" s="29"/>
      <c r="Q42" s="29"/>
      <c r="R42" s="29"/>
      <c r="S42" s="29"/>
      <c r="T42" s="29"/>
      <c r="U42" s="29"/>
      <c r="V42" s="29"/>
      <c r="W42" s="29"/>
      <c r="X42" s="29"/>
      <c r="Y42" s="29"/>
      <c r="Z42" s="29"/>
      <c r="AA42" s="29"/>
      <c r="AB42" s="29"/>
      <c r="AC42" s="29"/>
      <c r="AD42" s="29"/>
      <c r="AE42" s="29"/>
      <c r="AF42" s="29"/>
      <c r="AG42" s="34"/>
      <c r="AH42" s="31" t="str">
        <f t="shared" ca="1" si="0"/>
        <v/>
      </c>
      <c r="AI42" s="29"/>
    </row>
    <row r="43" spans="1:35" x14ac:dyDescent="0.25">
      <c r="A43" s="29"/>
      <c r="B43" s="30" t="str">
        <f>IF($A43="","",IFERROR(INDEX(Vendors!$A$5:$A$400,MATCH($A43,Vendors!$B$5:$B$400,0)),"Not in Vendors tab"))</f>
        <v/>
      </c>
      <c r="C43" s="30" t="str">
        <f>IF($A43="","",IFERROR(INDEX(Vendors!$H$5:$H$400,MATCH($A43,Vendors!$B$5:$B$400,0))&amp;"",""))</f>
        <v/>
      </c>
      <c r="D43" s="31" t="str">
        <f>IF($A43="","",IFERROR(INDEX(Vendors!$J$5:$J$400,MATCH($A43,Vendors!$B$5:$B$400,0))&amp;"",""))</f>
        <v/>
      </c>
      <c r="E43" s="30" t="str">
        <f>IF($A43="","",IFERROR(IF(INDEX(Vendors!$K$5:$K$400,MATCH($A43,Vendors!$B$5:$B$400,0))&amp;""="",INDEX(Vendors!$F$5:$F$400,MATCH($A43,Vendors!$B$5:$B$400,0))&amp;"",INDEX(Vendors!$K$5:$K$400,MATCH($A43,Vendors!$B$5:$B$400,0))&amp;""),""))</f>
        <v/>
      </c>
      <c r="F43" s="32"/>
      <c r="G43" s="33"/>
      <c r="H43" s="33"/>
      <c r="I43" s="33"/>
      <c r="J43" s="32"/>
      <c r="K43" s="29"/>
      <c r="L43" s="29"/>
      <c r="M43" s="29"/>
      <c r="N43" s="29"/>
      <c r="O43" s="29"/>
      <c r="P43" s="29"/>
      <c r="Q43" s="29"/>
      <c r="R43" s="29"/>
      <c r="S43" s="29"/>
      <c r="T43" s="29"/>
      <c r="U43" s="29"/>
      <c r="V43" s="29"/>
      <c r="W43" s="29"/>
      <c r="X43" s="29"/>
      <c r="Y43" s="29"/>
      <c r="Z43" s="29"/>
      <c r="AA43" s="29"/>
      <c r="AB43" s="29"/>
      <c r="AC43" s="29"/>
      <c r="AD43" s="29"/>
      <c r="AE43" s="29"/>
      <c r="AF43" s="29"/>
      <c r="AG43" s="34"/>
      <c r="AH43" s="31" t="str">
        <f t="shared" ca="1" si="0"/>
        <v/>
      </c>
      <c r="AI43" s="29"/>
    </row>
    <row r="44" spans="1:35" x14ac:dyDescent="0.25">
      <c r="A44" s="29"/>
      <c r="B44" s="30" t="str">
        <f>IF($A44="","",IFERROR(INDEX(Vendors!$A$5:$A$400,MATCH($A44,Vendors!$B$5:$B$400,0)),"Not in Vendors tab"))</f>
        <v/>
      </c>
      <c r="C44" s="30" t="str">
        <f>IF($A44="","",IFERROR(INDEX(Vendors!$H$5:$H$400,MATCH($A44,Vendors!$B$5:$B$400,0))&amp;"",""))</f>
        <v/>
      </c>
      <c r="D44" s="31" t="str">
        <f>IF($A44="","",IFERROR(INDEX(Vendors!$J$5:$J$400,MATCH($A44,Vendors!$B$5:$B$400,0))&amp;"",""))</f>
        <v/>
      </c>
      <c r="E44" s="30" t="str">
        <f>IF($A44="","",IFERROR(IF(INDEX(Vendors!$K$5:$K$400,MATCH($A44,Vendors!$B$5:$B$400,0))&amp;""="",INDEX(Vendors!$F$5:$F$400,MATCH($A44,Vendors!$B$5:$B$400,0))&amp;"",INDEX(Vendors!$K$5:$K$400,MATCH($A44,Vendors!$B$5:$B$400,0))&amp;""),""))</f>
        <v/>
      </c>
      <c r="F44" s="32"/>
      <c r="G44" s="33"/>
      <c r="H44" s="33"/>
      <c r="I44" s="33"/>
      <c r="J44" s="32"/>
      <c r="K44" s="29"/>
      <c r="L44" s="29"/>
      <c r="M44" s="29"/>
      <c r="N44" s="29"/>
      <c r="O44" s="29"/>
      <c r="P44" s="29"/>
      <c r="Q44" s="29"/>
      <c r="R44" s="29"/>
      <c r="S44" s="29"/>
      <c r="T44" s="29"/>
      <c r="U44" s="29"/>
      <c r="V44" s="29"/>
      <c r="W44" s="29"/>
      <c r="X44" s="29"/>
      <c r="Y44" s="29"/>
      <c r="Z44" s="29"/>
      <c r="AA44" s="29"/>
      <c r="AB44" s="29"/>
      <c r="AC44" s="29"/>
      <c r="AD44" s="29"/>
      <c r="AE44" s="29"/>
      <c r="AF44" s="29"/>
      <c r="AG44" s="34"/>
      <c r="AH44" s="31" t="str">
        <f t="shared" ca="1" si="0"/>
        <v/>
      </c>
      <c r="AI44" s="29"/>
    </row>
    <row r="45" spans="1:35" x14ac:dyDescent="0.25">
      <c r="A45" s="29"/>
      <c r="B45" s="30" t="str">
        <f>IF($A45="","",IFERROR(INDEX(Vendors!$A$5:$A$400,MATCH($A45,Vendors!$B$5:$B$400,0)),"Not in Vendors tab"))</f>
        <v/>
      </c>
      <c r="C45" s="30" t="str">
        <f>IF($A45="","",IFERROR(INDEX(Vendors!$H$5:$H$400,MATCH($A45,Vendors!$B$5:$B$400,0))&amp;"",""))</f>
        <v/>
      </c>
      <c r="D45" s="31" t="str">
        <f>IF($A45="","",IFERROR(INDEX(Vendors!$J$5:$J$400,MATCH($A45,Vendors!$B$5:$B$400,0))&amp;"",""))</f>
        <v/>
      </c>
      <c r="E45" s="30" t="str">
        <f>IF($A45="","",IFERROR(IF(INDEX(Vendors!$K$5:$K$400,MATCH($A45,Vendors!$B$5:$B$400,0))&amp;""="",INDEX(Vendors!$F$5:$F$400,MATCH($A45,Vendors!$B$5:$B$400,0))&amp;"",INDEX(Vendors!$K$5:$K$400,MATCH($A45,Vendors!$B$5:$B$400,0))&amp;""),""))</f>
        <v/>
      </c>
      <c r="F45" s="32"/>
      <c r="G45" s="33"/>
      <c r="H45" s="33"/>
      <c r="I45" s="33"/>
      <c r="J45" s="32"/>
      <c r="K45" s="29"/>
      <c r="L45" s="29"/>
      <c r="M45" s="29"/>
      <c r="N45" s="29"/>
      <c r="O45" s="29"/>
      <c r="P45" s="29"/>
      <c r="Q45" s="29"/>
      <c r="R45" s="29"/>
      <c r="S45" s="29"/>
      <c r="T45" s="29"/>
      <c r="U45" s="29"/>
      <c r="V45" s="29"/>
      <c r="W45" s="29"/>
      <c r="X45" s="29"/>
      <c r="Y45" s="29"/>
      <c r="Z45" s="29"/>
      <c r="AA45" s="29"/>
      <c r="AB45" s="29"/>
      <c r="AC45" s="29"/>
      <c r="AD45" s="29"/>
      <c r="AE45" s="29"/>
      <c r="AF45" s="29"/>
      <c r="AG45" s="34"/>
      <c r="AH45" s="31" t="str">
        <f t="shared" ca="1" si="0"/>
        <v/>
      </c>
      <c r="AI45" s="29"/>
    </row>
    <row r="46" spans="1:35" x14ac:dyDescent="0.25">
      <c r="A46" s="29"/>
      <c r="B46" s="30" t="str">
        <f>IF($A46="","",IFERROR(INDEX(Vendors!$A$5:$A$400,MATCH($A46,Vendors!$B$5:$B$400,0)),"Not in Vendors tab"))</f>
        <v/>
      </c>
      <c r="C46" s="30" t="str">
        <f>IF($A46="","",IFERROR(INDEX(Vendors!$H$5:$H$400,MATCH($A46,Vendors!$B$5:$B$400,0))&amp;"",""))</f>
        <v/>
      </c>
      <c r="D46" s="31" t="str">
        <f>IF($A46="","",IFERROR(INDEX(Vendors!$J$5:$J$400,MATCH($A46,Vendors!$B$5:$B$400,0))&amp;"",""))</f>
        <v/>
      </c>
      <c r="E46" s="30" t="str">
        <f>IF($A46="","",IFERROR(IF(INDEX(Vendors!$K$5:$K$400,MATCH($A46,Vendors!$B$5:$B$400,0))&amp;""="",INDEX(Vendors!$F$5:$F$400,MATCH($A46,Vendors!$B$5:$B$400,0))&amp;"",INDEX(Vendors!$K$5:$K$400,MATCH($A46,Vendors!$B$5:$B$400,0))&amp;""),""))</f>
        <v/>
      </c>
      <c r="F46" s="32"/>
      <c r="G46" s="33"/>
      <c r="H46" s="33"/>
      <c r="I46" s="33"/>
      <c r="J46" s="32"/>
      <c r="K46" s="29"/>
      <c r="L46" s="29"/>
      <c r="M46" s="29"/>
      <c r="N46" s="29"/>
      <c r="O46" s="29"/>
      <c r="P46" s="29"/>
      <c r="Q46" s="29"/>
      <c r="R46" s="29"/>
      <c r="S46" s="29"/>
      <c r="T46" s="29"/>
      <c r="U46" s="29"/>
      <c r="V46" s="29"/>
      <c r="W46" s="29"/>
      <c r="X46" s="29"/>
      <c r="Y46" s="29"/>
      <c r="Z46" s="29"/>
      <c r="AA46" s="29"/>
      <c r="AB46" s="29"/>
      <c r="AC46" s="29"/>
      <c r="AD46" s="29"/>
      <c r="AE46" s="29"/>
      <c r="AF46" s="29"/>
      <c r="AG46" s="34"/>
      <c r="AH46" s="31" t="str">
        <f t="shared" ca="1" si="0"/>
        <v/>
      </c>
      <c r="AI46" s="29"/>
    </row>
    <row r="47" spans="1:35" x14ac:dyDescent="0.25">
      <c r="A47" s="29"/>
      <c r="B47" s="30" t="str">
        <f>IF($A47="","",IFERROR(INDEX(Vendors!$A$5:$A$400,MATCH($A47,Vendors!$B$5:$B$400,0)),"Not in Vendors tab"))</f>
        <v/>
      </c>
      <c r="C47" s="30" t="str">
        <f>IF($A47="","",IFERROR(INDEX(Vendors!$H$5:$H$400,MATCH($A47,Vendors!$B$5:$B$400,0))&amp;"",""))</f>
        <v/>
      </c>
      <c r="D47" s="31" t="str">
        <f>IF($A47="","",IFERROR(INDEX(Vendors!$J$5:$J$400,MATCH($A47,Vendors!$B$5:$B$400,0))&amp;"",""))</f>
        <v/>
      </c>
      <c r="E47" s="30" t="str">
        <f>IF($A47="","",IFERROR(IF(INDEX(Vendors!$K$5:$K$400,MATCH($A47,Vendors!$B$5:$B$400,0))&amp;""="",INDEX(Vendors!$F$5:$F$400,MATCH($A47,Vendors!$B$5:$B$400,0))&amp;"",INDEX(Vendors!$K$5:$K$400,MATCH($A47,Vendors!$B$5:$B$400,0))&amp;""),""))</f>
        <v/>
      </c>
      <c r="F47" s="32"/>
      <c r="G47" s="33"/>
      <c r="H47" s="33"/>
      <c r="I47" s="33"/>
      <c r="J47" s="32"/>
      <c r="K47" s="29"/>
      <c r="L47" s="29"/>
      <c r="M47" s="29"/>
      <c r="N47" s="29"/>
      <c r="O47" s="29"/>
      <c r="P47" s="29"/>
      <c r="Q47" s="29"/>
      <c r="R47" s="29"/>
      <c r="S47" s="29"/>
      <c r="T47" s="29"/>
      <c r="U47" s="29"/>
      <c r="V47" s="29"/>
      <c r="W47" s="29"/>
      <c r="X47" s="29"/>
      <c r="Y47" s="29"/>
      <c r="Z47" s="29"/>
      <c r="AA47" s="29"/>
      <c r="AB47" s="29"/>
      <c r="AC47" s="29"/>
      <c r="AD47" s="29"/>
      <c r="AE47" s="29"/>
      <c r="AF47" s="29"/>
      <c r="AG47" s="34"/>
      <c r="AH47" s="31" t="str">
        <f t="shared" ref="AH47:AH78" ca="1" si="1">IF(OR($A47="",AG47=""),"",IF(OR(F47="Complete",F47="Declined",F47="No Response"),"",IF(AG47&lt;TODAY(),"OVERDUE",IF(AG47-TODAY()&lt;=7,"Due 7d",""))))</f>
        <v/>
      </c>
      <c r="AI47" s="29"/>
    </row>
    <row r="48" spans="1:35" x14ac:dyDescent="0.25">
      <c r="A48" s="29"/>
      <c r="B48" s="30" t="str">
        <f>IF($A48="","",IFERROR(INDEX(Vendors!$A$5:$A$400,MATCH($A48,Vendors!$B$5:$B$400,0)),"Not in Vendors tab"))</f>
        <v/>
      </c>
      <c r="C48" s="30" t="str">
        <f>IF($A48="","",IFERROR(INDEX(Vendors!$H$5:$H$400,MATCH($A48,Vendors!$B$5:$B$400,0))&amp;"",""))</f>
        <v/>
      </c>
      <c r="D48" s="31" t="str">
        <f>IF($A48="","",IFERROR(INDEX(Vendors!$J$5:$J$400,MATCH($A48,Vendors!$B$5:$B$400,0))&amp;"",""))</f>
        <v/>
      </c>
      <c r="E48" s="30" t="str">
        <f>IF($A48="","",IFERROR(IF(INDEX(Vendors!$K$5:$K$400,MATCH($A48,Vendors!$B$5:$B$400,0))&amp;""="",INDEX(Vendors!$F$5:$F$400,MATCH($A48,Vendors!$B$5:$B$400,0))&amp;"",INDEX(Vendors!$K$5:$K$400,MATCH($A48,Vendors!$B$5:$B$400,0))&amp;""),""))</f>
        <v/>
      </c>
      <c r="F48" s="32"/>
      <c r="G48" s="33"/>
      <c r="H48" s="33"/>
      <c r="I48" s="33"/>
      <c r="J48" s="32"/>
      <c r="K48" s="29"/>
      <c r="L48" s="29"/>
      <c r="M48" s="29"/>
      <c r="N48" s="29"/>
      <c r="O48" s="29"/>
      <c r="P48" s="29"/>
      <c r="Q48" s="29"/>
      <c r="R48" s="29"/>
      <c r="S48" s="29"/>
      <c r="T48" s="29"/>
      <c r="U48" s="29"/>
      <c r="V48" s="29"/>
      <c r="W48" s="29"/>
      <c r="X48" s="29"/>
      <c r="Y48" s="29"/>
      <c r="Z48" s="29"/>
      <c r="AA48" s="29"/>
      <c r="AB48" s="29"/>
      <c r="AC48" s="29"/>
      <c r="AD48" s="29"/>
      <c r="AE48" s="29"/>
      <c r="AF48" s="29"/>
      <c r="AG48" s="34"/>
      <c r="AH48" s="31" t="str">
        <f t="shared" ca="1" si="1"/>
        <v/>
      </c>
      <c r="AI48" s="29"/>
    </row>
    <row r="49" spans="1:35" x14ac:dyDescent="0.25">
      <c r="A49" s="29"/>
      <c r="B49" s="30" t="str">
        <f>IF($A49="","",IFERROR(INDEX(Vendors!$A$5:$A$400,MATCH($A49,Vendors!$B$5:$B$400,0)),"Not in Vendors tab"))</f>
        <v/>
      </c>
      <c r="C49" s="30" t="str">
        <f>IF($A49="","",IFERROR(INDEX(Vendors!$H$5:$H$400,MATCH($A49,Vendors!$B$5:$B$400,0))&amp;"",""))</f>
        <v/>
      </c>
      <c r="D49" s="31" t="str">
        <f>IF($A49="","",IFERROR(INDEX(Vendors!$J$5:$J$400,MATCH($A49,Vendors!$B$5:$B$400,0))&amp;"",""))</f>
        <v/>
      </c>
      <c r="E49" s="30" t="str">
        <f>IF($A49="","",IFERROR(IF(INDEX(Vendors!$K$5:$K$400,MATCH($A49,Vendors!$B$5:$B$400,0))&amp;""="",INDEX(Vendors!$F$5:$F$400,MATCH($A49,Vendors!$B$5:$B$400,0))&amp;"",INDEX(Vendors!$K$5:$K$400,MATCH($A49,Vendors!$B$5:$B$400,0))&amp;""),""))</f>
        <v/>
      </c>
      <c r="F49" s="32"/>
      <c r="G49" s="33"/>
      <c r="H49" s="33"/>
      <c r="I49" s="33"/>
      <c r="J49" s="32"/>
      <c r="K49" s="29"/>
      <c r="L49" s="29"/>
      <c r="M49" s="29"/>
      <c r="N49" s="29"/>
      <c r="O49" s="29"/>
      <c r="P49" s="29"/>
      <c r="Q49" s="29"/>
      <c r="R49" s="29"/>
      <c r="S49" s="29"/>
      <c r="T49" s="29"/>
      <c r="U49" s="29"/>
      <c r="V49" s="29"/>
      <c r="W49" s="29"/>
      <c r="X49" s="29"/>
      <c r="Y49" s="29"/>
      <c r="Z49" s="29"/>
      <c r="AA49" s="29"/>
      <c r="AB49" s="29"/>
      <c r="AC49" s="29"/>
      <c r="AD49" s="29"/>
      <c r="AE49" s="29"/>
      <c r="AF49" s="29"/>
      <c r="AG49" s="34"/>
      <c r="AH49" s="31" t="str">
        <f t="shared" ca="1" si="1"/>
        <v/>
      </c>
      <c r="AI49" s="29"/>
    </row>
    <row r="50" spans="1:35" x14ac:dyDescent="0.25">
      <c r="A50" s="29"/>
      <c r="B50" s="30" t="str">
        <f>IF($A50="","",IFERROR(INDEX(Vendors!$A$5:$A$400,MATCH($A50,Vendors!$B$5:$B$400,0)),"Not in Vendors tab"))</f>
        <v/>
      </c>
      <c r="C50" s="30" t="str">
        <f>IF($A50="","",IFERROR(INDEX(Vendors!$H$5:$H$400,MATCH($A50,Vendors!$B$5:$B$400,0))&amp;"",""))</f>
        <v/>
      </c>
      <c r="D50" s="31" t="str">
        <f>IF($A50="","",IFERROR(INDEX(Vendors!$J$5:$J$400,MATCH($A50,Vendors!$B$5:$B$400,0))&amp;"",""))</f>
        <v/>
      </c>
      <c r="E50" s="30" t="str">
        <f>IF($A50="","",IFERROR(IF(INDEX(Vendors!$K$5:$K$400,MATCH($A50,Vendors!$B$5:$B$400,0))&amp;""="",INDEX(Vendors!$F$5:$F$400,MATCH($A50,Vendors!$B$5:$B$400,0))&amp;"",INDEX(Vendors!$K$5:$K$400,MATCH($A50,Vendors!$B$5:$B$400,0))&amp;""),""))</f>
        <v/>
      </c>
      <c r="F50" s="32"/>
      <c r="G50" s="33"/>
      <c r="H50" s="33"/>
      <c r="I50" s="33"/>
      <c r="J50" s="32"/>
      <c r="K50" s="29"/>
      <c r="L50" s="29"/>
      <c r="M50" s="29"/>
      <c r="N50" s="29"/>
      <c r="O50" s="29"/>
      <c r="P50" s="29"/>
      <c r="Q50" s="29"/>
      <c r="R50" s="29"/>
      <c r="S50" s="29"/>
      <c r="T50" s="29"/>
      <c r="U50" s="29"/>
      <c r="V50" s="29"/>
      <c r="W50" s="29"/>
      <c r="X50" s="29"/>
      <c r="Y50" s="29"/>
      <c r="Z50" s="29"/>
      <c r="AA50" s="29"/>
      <c r="AB50" s="29"/>
      <c r="AC50" s="29"/>
      <c r="AD50" s="29"/>
      <c r="AE50" s="29"/>
      <c r="AF50" s="29"/>
      <c r="AG50" s="34"/>
      <c r="AH50" s="31" t="str">
        <f t="shared" ca="1" si="1"/>
        <v/>
      </c>
      <c r="AI50" s="29"/>
    </row>
    <row r="51" spans="1:35" x14ac:dyDescent="0.25">
      <c r="A51" s="29"/>
      <c r="B51" s="30" t="str">
        <f>IF($A51="","",IFERROR(INDEX(Vendors!$A$5:$A$400,MATCH($A51,Vendors!$B$5:$B$400,0)),"Not in Vendors tab"))</f>
        <v/>
      </c>
      <c r="C51" s="30" t="str">
        <f>IF($A51="","",IFERROR(INDEX(Vendors!$H$5:$H$400,MATCH($A51,Vendors!$B$5:$B$400,0))&amp;"",""))</f>
        <v/>
      </c>
      <c r="D51" s="31" t="str">
        <f>IF($A51="","",IFERROR(INDEX(Vendors!$J$5:$J$400,MATCH($A51,Vendors!$B$5:$B$400,0))&amp;"",""))</f>
        <v/>
      </c>
      <c r="E51" s="30" t="str">
        <f>IF($A51="","",IFERROR(IF(INDEX(Vendors!$K$5:$K$400,MATCH($A51,Vendors!$B$5:$B$400,0))&amp;""="",INDEX(Vendors!$F$5:$F$400,MATCH($A51,Vendors!$B$5:$B$400,0))&amp;"",INDEX(Vendors!$K$5:$K$400,MATCH($A51,Vendors!$B$5:$B$400,0))&amp;""),""))</f>
        <v/>
      </c>
      <c r="F51" s="32"/>
      <c r="G51" s="33"/>
      <c r="H51" s="33"/>
      <c r="I51" s="33"/>
      <c r="J51" s="32"/>
      <c r="K51" s="29"/>
      <c r="L51" s="29"/>
      <c r="M51" s="29"/>
      <c r="N51" s="29"/>
      <c r="O51" s="29"/>
      <c r="P51" s="29"/>
      <c r="Q51" s="29"/>
      <c r="R51" s="29"/>
      <c r="S51" s="29"/>
      <c r="T51" s="29"/>
      <c r="U51" s="29"/>
      <c r="V51" s="29"/>
      <c r="W51" s="29"/>
      <c r="X51" s="29"/>
      <c r="Y51" s="29"/>
      <c r="Z51" s="29"/>
      <c r="AA51" s="29"/>
      <c r="AB51" s="29"/>
      <c r="AC51" s="29"/>
      <c r="AD51" s="29"/>
      <c r="AE51" s="29"/>
      <c r="AF51" s="29"/>
      <c r="AG51" s="34"/>
      <c r="AH51" s="31" t="str">
        <f t="shared" ca="1" si="1"/>
        <v/>
      </c>
      <c r="AI51" s="29"/>
    </row>
    <row r="52" spans="1:35" x14ac:dyDescent="0.25">
      <c r="A52" s="29"/>
      <c r="B52" s="30" t="str">
        <f>IF($A52="","",IFERROR(INDEX(Vendors!$A$5:$A$400,MATCH($A52,Vendors!$B$5:$B$400,0)),"Not in Vendors tab"))</f>
        <v/>
      </c>
      <c r="C52" s="30" t="str">
        <f>IF($A52="","",IFERROR(INDEX(Vendors!$H$5:$H$400,MATCH($A52,Vendors!$B$5:$B$400,0))&amp;"",""))</f>
        <v/>
      </c>
      <c r="D52" s="31" t="str">
        <f>IF($A52="","",IFERROR(INDEX(Vendors!$J$5:$J$400,MATCH($A52,Vendors!$B$5:$B$400,0))&amp;"",""))</f>
        <v/>
      </c>
      <c r="E52" s="30" t="str">
        <f>IF($A52="","",IFERROR(IF(INDEX(Vendors!$K$5:$K$400,MATCH($A52,Vendors!$B$5:$B$400,0))&amp;""="",INDEX(Vendors!$F$5:$F$400,MATCH($A52,Vendors!$B$5:$B$400,0))&amp;"",INDEX(Vendors!$K$5:$K$400,MATCH($A52,Vendors!$B$5:$B$400,0))&amp;""),""))</f>
        <v/>
      </c>
      <c r="F52" s="32"/>
      <c r="G52" s="33"/>
      <c r="H52" s="33"/>
      <c r="I52" s="33"/>
      <c r="J52" s="32"/>
      <c r="K52" s="29"/>
      <c r="L52" s="29"/>
      <c r="M52" s="29"/>
      <c r="N52" s="29"/>
      <c r="O52" s="29"/>
      <c r="P52" s="29"/>
      <c r="Q52" s="29"/>
      <c r="R52" s="29"/>
      <c r="S52" s="29"/>
      <c r="T52" s="29"/>
      <c r="U52" s="29"/>
      <c r="V52" s="29"/>
      <c r="W52" s="29"/>
      <c r="X52" s="29"/>
      <c r="Y52" s="29"/>
      <c r="Z52" s="29"/>
      <c r="AA52" s="29"/>
      <c r="AB52" s="29"/>
      <c r="AC52" s="29"/>
      <c r="AD52" s="29"/>
      <c r="AE52" s="29"/>
      <c r="AF52" s="29"/>
      <c r="AG52" s="34"/>
      <c r="AH52" s="31" t="str">
        <f t="shared" ca="1" si="1"/>
        <v/>
      </c>
      <c r="AI52" s="29"/>
    </row>
    <row r="53" spans="1:35" x14ac:dyDescent="0.25">
      <c r="A53" s="29"/>
      <c r="B53" s="30" t="str">
        <f>IF($A53="","",IFERROR(INDEX(Vendors!$A$5:$A$400,MATCH($A53,Vendors!$B$5:$B$400,0)),"Not in Vendors tab"))</f>
        <v/>
      </c>
      <c r="C53" s="30" t="str">
        <f>IF($A53="","",IFERROR(INDEX(Vendors!$H$5:$H$400,MATCH($A53,Vendors!$B$5:$B$400,0))&amp;"",""))</f>
        <v/>
      </c>
      <c r="D53" s="31" t="str">
        <f>IF($A53="","",IFERROR(INDEX(Vendors!$J$5:$J$400,MATCH($A53,Vendors!$B$5:$B$400,0))&amp;"",""))</f>
        <v/>
      </c>
      <c r="E53" s="30" t="str">
        <f>IF($A53="","",IFERROR(IF(INDEX(Vendors!$K$5:$K$400,MATCH($A53,Vendors!$B$5:$B$400,0))&amp;""="",INDEX(Vendors!$F$5:$F$400,MATCH($A53,Vendors!$B$5:$B$400,0))&amp;"",INDEX(Vendors!$K$5:$K$400,MATCH($A53,Vendors!$B$5:$B$400,0))&amp;""),""))</f>
        <v/>
      </c>
      <c r="F53" s="32"/>
      <c r="G53" s="33"/>
      <c r="H53" s="33"/>
      <c r="I53" s="33"/>
      <c r="J53" s="32"/>
      <c r="K53" s="29"/>
      <c r="L53" s="29"/>
      <c r="M53" s="29"/>
      <c r="N53" s="29"/>
      <c r="O53" s="29"/>
      <c r="P53" s="29"/>
      <c r="Q53" s="29"/>
      <c r="R53" s="29"/>
      <c r="S53" s="29"/>
      <c r="T53" s="29"/>
      <c r="U53" s="29"/>
      <c r="V53" s="29"/>
      <c r="W53" s="29"/>
      <c r="X53" s="29"/>
      <c r="Y53" s="29"/>
      <c r="Z53" s="29"/>
      <c r="AA53" s="29"/>
      <c r="AB53" s="29"/>
      <c r="AC53" s="29"/>
      <c r="AD53" s="29"/>
      <c r="AE53" s="29"/>
      <c r="AF53" s="29"/>
      <c r="AG53" s="34"/>
      <c r="AH53" s="31" t="str">
        <f t="shared" ca="1" si="1"/>
        <v/>
      </c>
      <c r="AI53" s="29"/>
    </row>
    <row r="54" spans="1:35" x14ac:dyDescent="0.25">
      <c r="A54" s="29"/>
      <c r="B54" s="30" t="str">
        <f>IF($A54="","",IFERROR(INDEX(Vendors!$A$5:$A$400,MATCH($A54,Vendors!$B$5:$B$400,0)),"Not in Vendors tab"))</f>
        <v/>
      </c>
      <c r="C54" s="30" t="str">
        <f>IF($A54="","",IFERROR(INDEX(Vendors!$H$5:$H$400,MATCH($A54,Vendors!$B$5:$B$400,0))&amp;"",""))</f>
        <v/>
      </c>
      <c r="D54" s="31" t="str">
        <f>IF($A54="","",IFERROR(INDEX(Vendors!$J$5:$J$400,MATCH($A54,Vendors!$B$5:$B$400,0))&amp;"",""))</f>
        <v/>
      </c>
      <c r="E54" s="30" t="str">
        <f>IF($A54="","",IFERROR(IF(INDEX(Vendors!$K$5:$K$400,MATCH($A54,Vendors!$B$5:$B$400,0))&amp;""="",INDEX(Vendors!$F$5:$F$400,MATCH($A54,Vendors!$B$5:$B$400,0))&amp;"",INDEX(Vendors!$K$5:$K$400,MATCH($A54,Vendors!$B$5:$B$400,0))&amp;""),""))</f>
        <v/>
      </c>
      <c r="F54" s="32"/>
      <c r="G54" s="33"/>
      <c r="H54" s="33"/>
      <c r="I54" s="33"/>
      <c r="J54" s="32"/>
      <c r="K54" s="29"/>
      <c r="L54" s="29"/>
      <c r="M54" s="29"/>
      <c r="N54" s="29"/>
      <c r="O54" s="29"/>
      <c r="P54" s="29"/>
      <c r="Q54" s="29"/>
      <c r="R54" s="29"/>
      <c r="S54" s="29"/>
      <c r="T54" s="29"/>
      <c r="U54" s="29"/>
      <c r="V54" s="29"/>
      <c r="W54" s="29"/>
      <c r="X54" s="29"/>
      <c r="Y54" s="29"/>
      <c r="Z54" s="29"/>
      <c r="AA54" s="29"/>
      <c r="AB54" s="29"/>
      <c r="AC54" s="29"/>
      <c r="AD54" s="29"/>
      <c r="AE54" s="29"/>
      <c r="AF54" s="29"/>
      <c r="AG54" s="34"/>
      <c r="AH54" s="31" t="str">
        <f t="shared" ca="1" si="1"/>
        <v/>
      </c>
      <c r="AI54" s="29"/>
    </row>
    <row r="55" spans="1:35" x14ac:dyDescent="0.25">
      <c r="A55" s="29"/>
      <c r="B55" s="30" t="str">
        <f>IF($A55="","",IFERROR(INDEX(Vendors!$A$5:$A$400,MATCH($A55,Vendors!$B$5:$B$400,0)),"Not in Vendors tab"))</f>
        <v/>
      </c>
      <c r="C55" s="30" t="str">
        <f>IF($A55="","",IFERROR(INDEX(Vendors!$H$5:$H$400,MATCH($A55,Vendors!$B$5:$B$400,0))&amp;"",""))</f>
        <v/>
      </c>
      <c r="D55" s="31" t="str">
        <f>IF($A55="","",IFERROR(INDEX(Vendors!$J$5:$J$400,MATCH($A55,Vendors!$B$5:$B$400,0))&amp;"",""))</f>
        <v/>
      </c>
      <c r="E55" s="30" t="str">
        <f>IF($A55="","",IFERROR(IF(INDEX(Vendors!$K$5:$K$400,MATCH($A55,Vendors!$B$5:$B$400,0))&amp;""="",INDEX(Vendors!$F$5:$F$400,MATCH($A55,Vendors!$B$5:$B$400,0))&amp;"",INDEX(Vendors!$K$5:$K$400,MATCH($A55,Vendors!$B$5:$B$400,0))&amp;""),""))</f>
        <v/>
      </c>
      <c r="F55" s="32"/>
      <c r="G55" s="33"/>
      <c r="H55" s="33"/>
      <c r="I55" s="33"/>
      <c r="J55" s="32"/>
      <c r="K55" s="29"/>
      <c r="L55" s="29"/>
      <c r="M55" s="29"/>
      <c r="N55" s="29"/>
      <c r="O55" s="29"/>
      <c r="P55" s="29"/>
      <c r="Q55" s="29"/>
      <c r="R55" s="29"/>
      <c r="S55" s="29"/>
      <c r="T55" s="29"/>
      <c r="U55" s="29"/>
      <c r="V55" s="29"/>
      <c r="W55" s="29"/>
      <c r="X55" s="29"/>
      <c r="Y55" s="29"/>
      <c r="Z55" s="29"/>
      <c r="AA55" s="29"/>
      <c r="AB55" s="29"/>
      <c r="AC55" s="29"/>
      <c r="AD55" s="29"/>
      <c r="AE55" s="29"/>
      <c r="AF55" s="29"/>
      <c r="AG55" s="34"/>
      <c r="AH55" s="31" t="str">
        <f t="shared" ca="1" si="1"/>
        <v/>
      </c>
      <c r="AI55" s="29"/>
    </row>
    <row r="56" spans="1:35" x14ac:dyDescent="0.25">
      <c r="A56" s="29"/>
      <c r="B56" s="30" t="str">
        <f>IF($A56="","",IFERROR(INDEX(Vendors!$A$5:$A$400,MATCH($A56,Vendors!$B$5:$B$400,0)),"Not in Vendors tab"))</f>
        <v/>
      </c>
      <c r="C56" s="30" t="str">
        <f>IF($A56="","",IFERROR(INDEX(Vendors!$H$5:$H$400,MATCH($A56,Vendors!$B$5:$B$400,0))&amp;"",""))</f>
        <v/>
      </c>
      <c r="D56" s="31" t="str">
        <f>IF($A56="","",IFERROR(INDEX(Vendors!$J$5:$J$400,MATCH($A56,Vendors!$B$5:$B$400,0))&amp;"",""))</f>
        <v/>
      </c>
      <c r="E56" s="30" t="str">
        <f>IF($A56="","",IFERROR(IF(INDEX(Vendors!$K$5:$K$400,MATCH($A56,Vendors!$B$5:$B$400,0))&amp;""="",INDEX(Vendors!$F$5:$F$400,MATCH($A56,Vendors!$B$5:$B$400,0))&amp;"",INDEX(Vendors!$K$5:$K$400,MATCH($A56,Vendors!$B$5:$B$400,0))&amp;""),""))</f>
        <v/>
      </c>
      <c r="F56" s="32"/>
      <c r="G56" s="33"/>
      <c r="H56" s="33"/>
      <c r="I56" s="33"/>
      <c r="J56" s="32"/>
      <c r="K56" s="29"/>
      <c r="L56" s="29"/>
      <c r="M56" s="29"/>
      <c r="N56" s="29"/>
      <c r="O56" s="29"/>
      <c r="P56" s="29"/>
      <c r="Q56" s="29"/>
      <c r="R56" s="29"/>
      <c r="S56" s="29"/>
      <c r="T56" s="29"/>
      <c r="U56" s="29"/>
      <c r="V56" s="29"/>
      <c r="W56" s="29"/>
      <c r="X56" s="29"/>
      <c r="Y56" s="29"/>
      <c r="Z56" s="29"/>
      <c r="AA56" s="29"/>
      <c r="AB56" s="29"/>
      <c r="AC56" s="29"/>
      <c r="AD56" s="29"/>
      <c r="AE56" s="29"/>
      <c r="AF56" s="29"/>
      <c r="AG56" s="34"/>
      <c r="AH56" s="31" t="str">
        <f t="shared" ca="1" si="1"/>
        <v/>
      </c>
      <c r="AI56" s="29"/>
    </row>
    <row r="57" spans="1:35" x14ac:dyDescent="0.25">
      <c r="A57" s="29"/>
      <c r="B57" s="30" t="str">
        <f>IF($A57="","",IFERROR(INDEX(Vendors!$A$5:$A$400,MATCH($A57,Vendors!$B$5:$B$400,0)),"Not in Vendors tab"))</f>
        <v/>
      </c>
      <c r="C57" s="30" t="str">
        <f>IF($A57="","",IFERROR(INDEX(Vendors!$H$5:$H$400,MATCH($A57,Vendors!$B$5:$B$400,0))&amp;"",""))</f>
        <v/>
      </c>
      <c r="D57" s="31" t="str">
        <f>IF($A57="","",IFERROR(INDEX(Vendors!$J$5:$J$400,MATCH($A57,Vendors!$B$5:$B$400,0))&amp;"",""))</f>
        <v/>
      </c>
      <c r="E57" s="30" t="str">
        <f>IF($A57="","",IFERROR(IF(INDEX(Vendors!$K$5:$K$400,MATCH($A57,Vendors!$B$5:$B$400,0))&amp;""="",INDEX(Vendors!$F$5:$F$400,MATCH($A57,Vendors!$B$5:$B$400,0))&amp;"",INDEX(Vendors!$K$5:$K$400,MATCH($A57,Vendors!$B$5:$B$400,0))&amp;""),""))</f>
        <v/>
      </c>
      <c r="F57" s="32"/>
      <c r="G57" s="33"/>
      <c r="H57" s="33"/>
      <c r="I57" s="33"/>
      <c r="J57" s="32"/>
      <c r="K57" s="29"/>
      <c r="L57" s="29"/>
      <c r="M57" s="29"/>
      <c r="N57" s="29"/>
      <c r="O57" s="29"/>
      <c r="P57" s="29"/>
      <c r="Q57" s="29"/>
      <c r="R57" s="29"/>
      <c r="S57" s="29"/>
      <c r="T57" s="29"/>
      <c r="U57" s="29"/>
      <c r="V57" s="29"/>
      <c r="W57" s="29"/>
      <c r="X57" s="29"/>
      <c r="Y57" s="29"/>
      <c r="Z57" s="29"/>
      <c r="AA57" s="29"/>
      <c r="AB57" s="29"/>
      <c r="AC57" s="29"/>
      <c r="AD57" s="29"/>
      <c r="AE57" s="29"/>
      <c r="AF57" s="29"/>
      <c r="AG57" s="34"/>
      <c r="AH57" s="31" t="str">
        <f t="shared" ca="1" si="1"/>
        <v/>
      </c>
      <c r="AI57" s="29"/>
    </row>
    <row r="58" spans="1:35" x14ac:dyDescent="0.25">
      <c r="A58" s="29"/>
      <c r="B58" s="30" t="str">
        <f>IF($A58="","",IFERROR(INDEX(Vendors!$A$5:$A$400,MATCH($A58,Vendors!$B$5:$B$400,0)),"Not in Vendors tab"))</f>
        <v/>
      </c>
      <c r="C58" s="30" t="str">
        <f>IF($A58="","",IFERROR(INDEX(Vendors!$H$5:$H$400,MATCH($A58,Vendors!$B$5:$B$400,0))&amp;"",""))</f>
        <v/>
      </c>
      <c r="D58" s="31" t="str">
        <f>IF($A58="","",IFERROR(INDEX(Vendors!$J$5:$J$400,MATCH($A58,Vendors!$B$5:$B$400,0))&amp;"",""))</f>
        <v/>
      </c>
      <c r="E58" s="30" t="str">
        <f>IF($A58="","",IFERROR(IF(INDEX(Vendors!$K$5:$K$400,MATCH($A58,Vendors!$B$5:$B$400,0))&amp;""="",INDEX(Vendors!$F$5:$F$400,MATCH($A58,Vendors!$B$5:$B$400,0))&amp;"",INDEX(Vendors!$K$5:$K$400,MATCH($A58,Vendors!$B$5:$B$400,0))&amp;""),""))</f>
        <v/>
      </c>
      <c r="F58" s="32"/>
      <c r="G58" s="33"/>
      <c r="H58" s="33"/>
      <c r="I58" s="33"/>
      <c r="J58" s="32"/>
      <c r="K58" s="29"/>
      <c r="L58" s="29"/>
      <c r="M58" s="29"/>
      <c r="N58" s="29"/>
      <c r="O58" s="29"/>
      <c r="P58" s="29"/>
      <c r="Q58" s="29"/>
      <c r="R58" s="29"/>
      <c r="S58" s="29"/>
      <c r="T58" s="29"/>
      <c r="U58" s="29"/>
      <c r="V58" s="29"/>
      <c r="W58" s="29"/>
      <c r="X58" s="29"/>
      <c r="Y58" s="29"/>
      <c r="Z58" s="29"/>
      <c r="AA58" s="29"/>
      <c r="AB58" s="29"/>
      <c r="AC58" s="29"/>
      <c r="AD58" s="29"/>
      <c r="AE58" s="29"/>
      <c r="AF58" s="29"/>
      <c r="AG58" s="34"/>
      <c r="AH58" s="31" t="str">
        <f t="shared" ca="1" si="1"/>
        <v/>
      </c>
      <c r="AI58" s="29"/>
    </row>
    <row r="59" spans="1:35" x14ac:dyDescent="0.25">
      <c r="A59" s="29"/>
      <c r="B59" s="30" t="str">
        <f>IF($A59="","",IFERROR(INDEX(Vendors!$A$5:$A$400,MATCH($A59,Vendors!$B$5:$B$400,0)),"Not in Vendors tab"))</f>
        <v/>
      </c>
      <c r="C59" s="30" t="str">
        <f>IF($A59="","",IFERROR(INDEX(Vendors!$H$5:$H$400,MATCH($A59,Vendors!$B$5:$B$400,0))&amp;"",""))</f>
        <v/>
      </c>
      <c r="D59" s="31" t="str">
        <f>IF($A59="","",IFERROR(INDEX(Vendors!$J$5:$J$400,MATCH($A59,Vendors!$B$5:$B$400,0))&amp;"",""))</f>
        <v/>
      </c>
      <c r="E59" s="30" t="str">
        <f>IF($A59="","",IFERROR(IF(INDEX(Vendors!$K$5:$K$400,MATCH($A59,Vendors!$B$5:$B$400,0))&amp;""="",INDEX(Vendors!$F$5:$F$400,MATCH($A59,Vendors!$B$5:$B$400,0))&amp;"",INDEX(Vendors!$K$5:$K$400,MATCH($A59,Vendors!$B$5:$B$400,0))&amp;""),""))</f>
        <v/>
      </c>
      <c r="F59" s="32"/>
      <c r="G59" s="33"/>
      <c r="H59" s="33"/>
      <c r="I59" s="33"/>
      <c r="J59" s="32"/>
      <c r="K59" s="29"/>
      <c r="L59" s="29"/>
      <c r="M59" s="29"/>
      <c r="N59" s="29"/>
      <c r="O59" s="29"/>
      <c r="P59" s="29"/>
      <c r="Q59" s="29"/>
      <c r="R59" s="29"/>
      <c r="S59" s="29"/>
      <c r="T59" s="29"/>
      <c r="U59" s="29"/>
      <c r="V59" s="29"/>
      <c r="W59" s="29"/>
      <c r="X59" s="29"/>
      <c r="Y59" s="29"/>
      <c r="Z59" s="29"/>
      <c r="AA59" s="29"/>
      <c r="AB59" s="29"/>
      <c r="AC59" s="29"/>
      <c r="AD59" s="29"/>
      <c r="AE59" s="29"/>
      <c r="AF59" s="29"/>
      <c r="AG59" s="34"/>
      <c r="AH59" s="31" t="str">
        <f t="shared" ca="1" si="1"/>
        <v/>
      </c>
      <c r="AI59" s="29"/>
    </row>
    <row r="60" spans="1:35" x14ac:dyDescent="0.25">
      <c r="A60" s="29"/>
      <c r="B60" s="30" t="str">
        <f>IF($A60="","",IFERROR(INDEX(Vendors!$A$5:$A$400,MATCH($A60,Vendors!$B$5:$B$400,0)),"Not in Vendors tab"))</f>
        <v/>
      </c>
      <c r="C60" s="30" t="str">
        <f>IF($A60="","",IFERROR(INDEX(Vendors!$H$5:$H$400,MATCH($A60,Vendors!$B$5:$B$400,0))&amp;"",""))</f>
        <v/>
      </c>
      <c r="D60" s="31" t="str">
        <f>IF($A60="","",IFERROR(INDEX(Vendors!$J$5:$J$400,MATCH($A60,Vendors!$B$5:$B$400,0))&amp;"",""))</f>
        <v/>
      </c>
      <c r="E60" s="30" t="str">
        <f>IF($A60="","",IFERROR(IF(INDEX(Vendors!$K$5:$K$400,MATCH($A60,Vendors!$B$5:$B$400,0))&amp;""="",INDEX(Vendors!$F$5:$F$400,MATCH($A60,Vendors!$B$5:$B$400,0))&amp;"",INDEX(Vendors!$K$5:$K$400,MATCH($A60,Vendors!$B$5:$B$400,0))&amp;""),""))</f>
        <v/>
      </c>
      <c r="F60" s="32"/>
      <c r="G60" s="33"/>
      <c r="H60" s="33"/>
      <c r="I60" s="33"/>
      <c r="J60" s="32"/>
      <c r="K60" s="29"/>
      <c r="L60" s="29"/>
      <c r="M60" s="29"/>
      <c r="N60" s="29"/>
      <c r="O60" s="29"/>
      <c r="P60" s="29"/>
      <c r="Q60" s="29"/>
      <c r="R60" s="29"/>
      <c r="S60" s="29"/>
      <c r="T60" s="29"/>
      <c r="U60" s="29"/>
      <c r="V60" s="29"/>
      <c r="W60" s="29"/>
      <c r="X60" s="29"/>
      <c r="Y60" s="29"/>
      <c r="Z60" s="29"/>
      <c r="AA60" s="29"/>
      <c r="AB60" s="29"/>
      <c r="AC60" s="29"/>
      <c r="AD60" s="29"/>
      <c r="AE60" s="29"/>
      <c r="AF60" s="29"/>
      <c r="AG60" s="34"/>
      <c r="AH60" s="31" t="str">
        <f t="shared" ca="1" si="1"/>
        <v/>
      </c>
      <c r="AI60" s="29"/>
    </row>
    <row r="61" spans="1:35" x14ac:dyDescent="0.25">
      <c r="A61" s="29"/>
      <c r="B61" s="30" t="str">
        <f>IF($A61="","",IFERROR(INDEX(Vendors!$A$5:$A$400,MATCH($A61,Vendors!$B$5:$B$400,0)),"Not in Vendors tab"))</f>
        <v/>
      </c>
      <c r="C61" s="30" t="str">
        <f>IF($A61="","",IFERROR(INDEX(Vendors!$H$5:$H$400,MATCH($A61,Vendors!$B$5:$B$400,0))&amp;"",""))</f>
        <v/>
      </c>
      <c r="D61" s="31" t="str">
        <f>IF($A61="","",IFERROR(INDEX(Vendors!$J$5:$J$400,MATCH($A61,Vendors!$B$5:$B$400,0))&amp;"",""))</f>
        <v/>
      </c>
      <c r="E61" s="30" t="str">
        <f>IF($A61="","",IFERROR(IF(INDEX(Vendors!$K$5:$K$400,MATCH($A61,Vendors!$B$5:$B$400,0))&amp;""="",INDEX(Vendors!$F$5:$F$400,MATCH($A61,Vendors!$B$5:$B$400,0))&amp;"",INDEX(Vendors!$K$5:$K$400,MATCH($A61,Vendors!$B$5:$B$400,0))&amp;""),""))</f>
        <v/>
      </c>
      <c r="F61" s="32"/>
      <c r="G61" s="33"/>
      <c r="H61" s="33"/>
      <c r="I61" s="33"/>
      <c r="J61" s="32"/>
      <c r="K61" s="29"/>
      <c r="L61" s="29"/>
      <c r="M61" s="29"/>
      <c r="N61" s="29"/>
      <c r="O61" s="29"/>
      <c r="P61" s="29"/>
      <c r="Q61" s="29"/>
      <c r="R61" s="29"/>
      <c r="S61" s="29"/>
      <c r="T61" s="29"/>
      <c r="U61" s="29"/>
      <c r="V61" s="29"/>
      <c r="W61" s="29"/>
      <c r="X61" s="29"/>
      <c r="Y61" s="29"/>
      <c r="Z61" s="29"/>
      <c r="AA61" s="29"/>
      <c r="AB61" s="29"/>
      <c r="AC61" s="29"/>
      <c r="AD61" s="29"/>
      <c r="AE61" s="29"/>
      <c r="AF61" s="29"/>
      <c r="AG61" s="34"/>
      <c r="AH61" s="31" t="str">
        <f t="shared" ca="1" si="1"/>
        <v/>
      </c>
      <c r="AI61" s="29"/>
    </row>
    <row r="62" spans="1:35" x14ac:dyDescent="0.25">
      <c r="A62" s="29"/>
      <c r="B62" s="30" t="str">
        <f>IF($A62="","",IFERROR(INDEX(Vendors!$A$5:$A$400,MATCH($A62,Vendors!$B$5:$B$400,0)),"Not in Vendors tab"))</f>
        <v/>
      </c>
      <c r="C62" s="30" t="str">
        <f>IF($A62="","",IFERROR(INDEX(Vendors!$H$5:$H$400,MATCH($A62,Vendors!$B$5:$B$400,0))&amp;"",""))</f>
        <v/>
      </c>
      <c r="D62" s="31" t="str">
        <f>IF($A62="","",IFERROR(INDEX(Vendors!$J$5:$J$400,MATCH($A62,Vendors!$B$5:$B$400,0))&amp;"",""))</f>
        <v/>
      </c>
      <c r="E62" s="30" t="str">
        <f>IF($A62="","",IFERROR(IF(INDEX(Vendors!$K$5:$K$400,MATCH($A62,Vendors!$B$5:$B$400,0))&amp;""="",INDEX(Vendors!$F$5:$F$400,MATCH($A62,Vendors!$B$5:$B$400,0))&amp;"",INDEX(Vendors!$K$5:$K$400,MATCH($A62,Vendors!$B$5:$B$400,0))&amp;""),""))</f>
        <v/>
      </c>
      <c r="F62" s="32"/>
      <c r="G62" s="33"/>
      <c r="H62" s="33"/>
      <c r="I62" s="33"/>
      <c r="J62" s="32"/>
      <c r="K62" s="29"/>
      <c r="L62" s="29"/>
      <c r="M62" s="29"/>
      <c r="N62" s="29"/>
      <c r="O62" s="29"/>
      <c r="P62" s="29"/>
      <c r="Q62" s="29"/>
      <c r="R62" s="29"/>
      <c r="S62" s="29"/>
      <c r="T62" s="29"/>
      <c r="U62" s="29"/>
      <c r="V62" s="29"/>
      <c r="W62" s="29"/>
      <c r="X62" s="29"/>
      <c r="Y62" s="29"/>
      <c r="Z62" s="29"/>
      <c r="AA62" s="29"/>
      <c r="AB62" s="29"/>
      <c r="AC62" s="29"/>
      <c r="AD62" s="29"/>
      <c r="AE62" s="29"/>
      <c r="AF62" s="29"/>
      <c r="AG62" s="34"/>
      <c r="AH62" s="31" t="str">
        <f t="shared" ca="1" si="1"/>
        <v/>
      </c>
      <c r="AI62" s="29"/>
    </row>
    <row r="63" spans="1:35" x14ac:dyDescent="0.25">
      <c r="A63" s="29"/>
      <c r="B63" s="30" t="str">
        <f>IF($A63="","",IFERROR(INDEX(Vendors!$A$5:$A$400,MATCH($A63,Vendors!$B$5:$B$400,0)),"Not in Vendors tab"))</f>
        <v/>
      </c>
      <c r="C63" s="30" t="str">
        <f>IF($A63="","",IFERROR(INDEX(Vendors!$H$5:$H$400,MATCH($A63,Vendors!$B$5:$B$400,0))&amp;"",""))</f>
        <v/>
      </c>
      <c r="D63" s="31" t="str">
        <f>IF($A63="","",IFERROR(INDEX(Vendors!$J$5:$J$400,MATCH($A63,Vendors!$B$5:$B$400,0))&amp;"",""))</f>
        <v/>
      </c>
      <c r="E63" s="30" t="str">
        <f>IF($A63="","",IFERROR(IF(INDEX(Vendors!$K$5:$K$400,MATCH($A63,Vendors!$B$5:$B$400,0))&amp;""="",INDEX(Vendors!$F$5:$F$400,MATCH($A63,Vendors!$B$5:$B$400,0))&amp;"",INDEX(Vendors!$K$5:$K$400,MATCH($A63,Vendors!$B$5:$B$400,0))&amp;""),""))</f>
        <v/>
      </c>
      <c r="F63" s="32"/>
      <c r="G63" s="33"/>
      <c r="H63" s="33"/>
      <c r="I63" s="33"/>
      <c r="J63" s="32"/>
      <c r="K63" s="29"/>
      <c r="L63" s="29"/>
      <c r="M63" s="29"/>
      <c r="N63" s="29"/>
      <c r="O63" s="29"/>
      <c r="P63" s="29"/>
      <c r="Q63" s="29"/>
      <c r="R63" s="29"/>
      <c r="S63" s="29"/>
      <c r="T63" s="29"/>
      <c r="U63" s="29"/>
      <c r="V63" s="29"/>
      <c r="W63" s="29"/>
      <c r="X63" s="29"/>
      <c r="Y63" s="29"/>
      <c r="Z63" s="29"/>
      <c r="AA63" s="29"/>
      <c r="AB63" s="29"/>
      <c r="AC63" s="29"/>
      <c r="AD63" s="29"/>
      <c r="AE63" s="29"/>
      <c r="AF63" s="29"/>
      <c r="AG63" s="34"/>
      <c r="AH63" s="31" t="str">
        <f t="shared" ca="1" si="1"/>
        <v/>
      </c>
      <c r="AI63" s="29"/>
    </row>
    <row r="64" spans="1:35" x14ac:dyDescent="0.25">
      <c r="A64" s="29"/>
      <c r="B64" s="30" t="str">
        <f>IF($A64="","",IFERROR(INDEX(Vendors!$A$5:$A$400,MATCH($A64,Vendors!$B$5:$B$400,0)),"Not in Vendors tab"))</f>
        <v/>
      </c>
      <c r="C64" s="30" t="str">
        <f>IF($A64="","",IFERROR(INDEX(Vendors!$H$5:$H$400,MATCH($A64,Vendors!$B$5:$B$400,0))&amp;"",""))</f>
        <v/>
      </c>
      <c r="D64" s="31" t="str">
        <f>IF($A64="","",IFERROR(INDEX(Vendors!$J$5:$J$400,MATCH($A64,Vendors!$B$5:$B$400,0))&amp;"",""))</f>
        <v/>
      </c>
      <c r="E64" s="30" t="str">
        <f>IF($A64="","",IFERROR(IF(INDEX(Vendors!$K$5:$K$400,MATCH($A64,Vendors!$B$5:$B$400,0))&amp;""="",INDEX(Vendors!$F$5:$F$400,MATCH($A64,Vendors!$B$5:$B$400,0))&amp;"",INDEX(Vendors!$K$5:$K$400,MATCH($A64,Vendors!$B$5:$B$400,0))&amp;""),""))</f>
        <v/>
      </c>
      <c r="F64" s="32"/>
      <c r="G64" s="33"/>
      <c r="H64" s="33"/>
      <c r="I64" s="33"/>
      <c r="J64" s="32"/>
      <c r="K64" s="29"/>
      <c r="L64" s="29"/>
      <c r="M64" s="29"/>
      <c r="N64" s="29"/>
      <c r="O64" s="29"/>
      <c r="P64" s="29"/>
      <c r="Q64" s="29"/>
      <c r="R64" s="29"/>
      <c r="S64" s="29"/>
      <c r="T64" s="29"/>
      <c r="U64" s="29"/>
      <c r="V64" s="29"/>
      <c r="W64" s="29"/>
      <c r="X64" s="29"/>
      <c r="Y64" s="29"/>
      <c r="Z64" s="29"/>
      <c r="AA64" s="29"/>
      <c r="AB64" s="29"/>
      <c r="AC64" s="29"/>
      <c r="AD64" s="29"/>
      <c r="AE64" s="29"/>
      <c r="AF64" s="29"/>
      <c r="AG64" s="34"/>
      <c r="AH64" s="31" t="str">
        <f t="shared" ca="1" si="1"/>
        <v/>
      </c>
      <c r="AI64" s="29"/>
    </row>
  </sheetData>
  <autoFilter ref="A14:AI64" xr:uid="{00000000-0009-0000-0000-000004000000}"/>
  <mergeCells count="37">
    <mergeCell ref="AI13:AI14"/>
    <mergeCell ref="AC13:AD13"/>
    <mergeCell ref="AE13:AE14"/>
    <mergeCell ref="AF13:AF14"/>
    <mergeCell ref="AG13:AG14"/>
    <mergeCell ref="AH13:AH14"/>
    <mergeCell ref="S13:T13"/>
    <mergeCell ref="U13:V13"/>
    <mergeCell ref="W13:X13"/>
    <mergeCell ref="Y13:Z13"/>
    <mergeCell ref="AA13:AB13"/>
    <mergeCell ref="K12:AD12"/>
    <mergeCell ref="AE12:AI12"/>
    <mergeCell ref="A13:A14"/>
    <mergeCell ref="B13:B14"/>
    <mergeCell ref="C13:C14"/>
    <mergeCell ref="D13:D14"/>
    <mergeCell ref="E13:E14"/>
    <mergeCell ref="F13:F14"/>
    <mergeCell ref="G13:G14"/>
    <mergeCell ref="H13:H14"/>
    <mergeCell ref="I13:I14"/>
    <mergeCell ref="J13:J14"/>
    <mergeCell ref="K13:L13"/>
    <mergeCell ref="M13:N13"/>
    <mergeCell ref="O13:P13"/>
    <mergeCell ref="Q13:R13"/>
    <mergeCell ref="C8:E8"/>
    <mergeCell ref="C9:E9"/>
    <mergeCell ref="C10:E10"/>
    <mergeCell ref="A12:E12"/>
    <mergeCell ref="F12:J12"/>
    <mergeCell ref="C3:E3"/>
    <mergeCell ref="C4:E4"/>
    <mergeCell ref="C5:E5"/>
    <mergeCell ref="C6:E6"/>
    <mergeCell ref="C7:E7"/>
  </mergeCells>
  <conditionalFormatting sqref="F15:F64">
    <cfRule type="cellIs" dxfId="44" priority="38" operator="equal">
      <formula>"Declined"</formula>
    </cfRule>
    <cfRule type="cellIs" dxfId="43" priority="37" operator="equal">
      <formula>"Under Review"</formula>
    </cfRule>
    <cfRule type="cellIs" dxfId="42" priority="36" operator="equal">
      <formula>"Clarifications Open"</formula>
    </cfRule>
    <cfRule type="cellIs" dxfId="41" priority="35" operator="equal">
      <formula>"Acknowledged"</formula>
    </cfRule>
    <cfRule type="cellIs" dxfId="40" priority="34" operator="equal">
      <formula>"Sent"</formula>
    </cfRule>
    <cfRule type="cellIs" dxfId="39" priority="33" operator="equal">
      <formula>"Complete"</formula>
    </cfRule>
    <cfRule type="cellIs" dxfId="38" priority="32" operator="equal">
      <formula>"Response Received"</formula>
    </cfRule>
    <cfRule type="cellIs" dxfId="37" priority="40" operator="equal">
      <formula>"Not Sent"</formula>
    </cfRule>
    <cfRule type="cellIs" dxfId="36" priority="39" operator="equal">
      <formula>"No Response"</formula>
    </cfRule>
  </conditionalFormatting>
  <conditionalFormatting sqref="I7">
    <cfRule type="cellIs" dxfId="35" priority="44" operator="greaterThan">
      <formula>0</formula>
    </cfRule>
  </conditionalFormatting>
  <conditionalFormatting sqref="I8">
    <cfRule type="cellIs" dxfId="34" priority="46" operator="greaterThan">
      <formula>0</formula>
    </cfRule>
  </conditionalFormatting>
  <conditionalFormatting sqref="I9">
    <cfRule type="cellIs" dxfId="33" priority="45" operator="greaterThan">
      <formula>0</formula>
    </cfRule>
  </conditionalFormatting>
  <conditionalFormatting sqref="L15:L64">
    <cfRule type="cellIs" dxfId="32" priority="2" operator="equal">
      <formula>"Meets"</formula>
    </cfRule>
    <cfRule type="cellIs" dxfId="31" priority="3" operator="equal">
      <formula>"Review / Risk"</formula>
    </cfRule>
    <cfRule type="cellIs" dxfId="30" priority="4" operator="equal">
      <formula>"Fails"</formula>
    </cfRule>
  </conditionalFormatting>
  <conditionalFormatting sqref="N15:N64">
    <cfRule type="cellIs" dxfId="29" priority="5" operator="equal">
      <formula>"Meets"</formula>
    </cfRule>
    <cfRule type="cellIs" dxfId="28" priority="6" operator="equal">
      <formula>"Review / Risk"</formula>
    </cfRule>
    <cfRule type="cellIs" dxfId="27" priority="7" operator="equal">
      <formula>"Fails"</formula>
    </cfRule>
  </conditionalFormatting>
  <conditionalFormatting sqref="P15:P64">
    <cfRule type="cellIs" dxfId="26" priority="8" operator="equal">
      <formula>"Meets"</formula>
    </cfRule>
    <cfRule type="cellIs" dxfId="25" priority="9" operator="equal">
      <formula>"Review / Risk"</formula>
    </cfRule>
    <cfRule type="cellIs" dxfId="24" priority="10" operator="equal">
      <formula>"Fails"</formula>
    </cfRule>
  </conditionalFormatting>
  <conditionalFormatting sqref="R15:R64">
    <cfRule type="cellIs" dxfId="23" priority="11" operator="equal">
      <formula>"Meets"</formula>
    </cfRule>
    <cfRule type="cellIs" dxfId="22" priority="12" operator="equal">
      <formula>"Review / Risk"</formula>
    </cfRule>
    <cfRule type="cellIs" dxfId="21" priority="13" operator="equal">
      <formula>"Fails"</formula>
    </cfRule>
  </conditionalFormatting>
  <conditionalFormatting sqref="T15:T64">
    <cfRule type="cellIs" dxfId="20" priority="16" operator="equal">
      <formula>"Fails"</formula>
    </cfRule>
    <cfRule type="cellIs" dxfId="19" priority="15" operator="equal">
      <formula>"Review / Risk"</formula>
    </cfRule>
    <cfRule type="cellIs" dxfId="18" priority="14" operator="equal">
      <formula>"Meets"</formula>
    </cfRule>
  </conditionalFormatting>
  <conditionalFormatting sqref="V15:V64">
    <cfRule type="cellIs" dxfId="17" priority="19" operator="equal">
      <formula>"Fails"</formula>
    </cfRule>
    <cfRule type="cellIs" dxfId="16" priority="18" operator="equal">
      <formula>"Review / Risk"</formula>
    </cfRule>
    <cfRule type="cellIs" dxfId="15" priority="17" operator="equal">
      <formula>"Meets"</formula>
    </cfRule>
  </conditionalFormatting>
  <conditionalFormatting sqref="X15:X64">
    <cfRule type="cellIs" dxfId="14" priority="22" operator="equal">
      <formula>"Fails"</formula>
    </cfRule>
    <cfRule type="cellIs" dxfId="13" priority="21" operator="equal">
      <formula>"Review / Risk"</formula>
    </cfRule>
    <cfRule type="cellIs" dxfId="12" priority="20" operator="equal">
      <formula>"Meets"</formula>
    </cfRule>
  </conditionalFormatting>
  <conditionalFormatting sqref="Z15:Z64">
    <cfRule type="cellIs" dxfId="11" priority="25" operator="equal">
      <formula>"Fails"</formula>
    </cfRule>
    <cfRule type="cellIs" dxfId="10" priority="23" operator="equal">
      <formula>"Meets"</formula>
    </cfRule>
    <cfRule type="cellIs" dxfId="9" priority="24" operator="equal">
      <formula>"Review / Risk"</formula>
    </cfRule>
  </conditionalFormatting>
  <conditionalFormatting sqref="AB15:AB64">
    <cfRule type="cellIs" dxfId="8" priority="26" operator="equal">
      <formula>"Meets"</formula>
    </cfRule>
    <cfRule type="cellIs" dxfId="7" priority="27" operator="equal">
      <formula>"Review / Risk"</formula>
    </cfRule>
    <cfRule type="cellIs" dxfId="6" priority="28" operator="equal">
      <formula>"Fails"</formula>
    </cfRule>
  </conditionalFormatting>
  <conditionalFormatting sqref="AD15:AD64">
    <cfRule type="cellIs" dxfId="5" priority="29" operator="equal">
      <formula>"Meets"</formula>
    </cfRule>
    <cfRule type="cellIs" dxfId="4" priority="30" operator="equal">
      <formula>"Review / Risk"</formula>
    </cfRule>
    <cfRule type="cellIs" dxfId="3" priority="31" operator="equal">
      <formula>"Fails"</formula>
    </cfRule>
  </conditionalFormatting>
  <conditionalFormatting sqref="AG15:AG64">
    <cfRule type="expression" dxfId="2" priority="43">
      <formula>AH15="OVERDUE"</formula>
    </cfRule>
  </conditionalFormatting>
  <conditionalFormatting sqref="AH15:AH64">
    <cfRule type="cellIs" dxfId="1" priority="42" operator="equal">
      <formula>"Due 7d"</formula>
    </cfRule>
    <cfRule type="cellIs" dxfId="0" priority="41" operator="equal">
      <formula>"OVERDUE"</formula>
    </cfRule>
  </conditionalFormatting>
  <dataValidations count="9">
    <dataValidation type="date" operator="greaterThan" allowBlank="1" sqref="C8:C9 G15:I64 AG15:AG64" xr:uid="{00000000-0002-0000-0400-000000000000}">
      <formula1>36526</formula1>
      <formula2>0</formula2>
    </dataValidation>
    <dataValidation type="list" allowBlank="1" sqref="C4" xr:uid="{00000000-0002-0000-0400-000001000000}">
      <formula1>P_Names</formula1>
      <formula2>0</formula2>
    </dataValidation>
    <dataValidation type="list" allowBlank="1" sqref="C5" xr:uid="{00000000-0002-0000-0400-000002000000}">
      <formula1>L_Types</formula1>
      <formula2>0</formula2>
    </dataValidation>
    <dataValidation type="list" allowBlank="1" sqref="C10" xr:uid="{00000000-0002-0000-0400-000003000000}">
      <formula1>L_ActivityStatus</formula1>
      <formula2>0</formula2>
    </dataValidation>
    <dataValidation type="list" allowBlank="1" sqref="C7 AF15:AF64" xr:uid="{00000000-0002-0000-0400-000004000000}">
      <formula1>L_Owners</formula1>
      <formula2>0</formula2>
    </dataValidation>
    <dataValidation type="list" allowBlank="1" sqref="A15:A64" xr:uid="{00000000-0002-0000-0400-000005000000}">
      <formula1>V_Names</formula1>
      <formula2>0</formula2>
    </dataValidation>
    <dataValidation type="list" allowBlank="1" showErrorMessage="1" sqref="F15:F64" xr:uid="{00000000-0002-0000-0400-000006000000}">
      <formula1>L_VendorStatus</formula1>
      <formula2>0</formula2>
    </dataValidation>
    <dataValidation type="list" allowBlank="1" showErrorMessage="1" sqref="J15:J64" xr:uid="{00000000-0002-0000-0400-000007000000}">
      <formula1>L_Qual</formula1>
      <formula2>0</formula2>
    </dataValidation>
    <dataValidation type="list" allowBlank="1" showErrorMessage="1" sqref="L15:L64 N15:N64 P15:P64 R15:R64 T15:T64 V15:V64 X15:X64 Z15:Z64 AB15:AB64 AD15:AD64" xr:uid="{00000000-0002-0000-0400-000009000000}">
      <formula1>L_Rating</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00"/>
  <sheetViews>
    <sheetView zoomScaleNormal="100" workbookViewId="0">
      <pane xSplit="2" ySplit="4" topLeftCell="C20" activePane="bottomRight" state="frozen"/>
      <selection pane="topRight" activeCell="C1" sqref="C1"/>
      <selection pane="bottomLeft" activeCell="A5" sqref="A5"/>
      <selection pane="bottomRight"/>
    </sheetView>
  </sheetViews>
  <sheetFormatPr defaultColWidth="8.7109375" defaultRowHeight="15" x14ac:dyDescent="0.25"/>
  <cols>
    <col min="1" max="1" width="11" customWidth="1"/>
    <col min="2" max="2" width="34" customWidth="1"/>
    <col min="3" max="3" width="24" customWidth="1"/>
    <col min="4" max="4" width="44" customWidth="1"/>
    <col min="5" max="5" width="28" customWidth="1"/>
    <col min="6" max="6" width="16" customWidth="1"/>
    <col min="7" max="7" width="30" customWidth="1"/>
    <col min="8" max="8" width="22" customWidth="1"/>
    <col min="9" max="9" width="20" customWidth="1"/>
    <col min="10" max="10" width="28" customWidth="1"/>
    <col min="11" max="13" width="16" customWidth="1"/>
    <col min="14" max="14" width="36" customWidth="1"/>
  </cols>
  <sheetData>
    <row r="1" spans="1:14" ht="20.25" x14ac:dyDescent="0.3">
      <c r="A1" s="6" t="s">
        <v>21</v>
      </c>
      <c r="B1" s="7"/>
      <c r="C1" s="7"/>
      <c r="D1" s="7"/>
      <c r="E1" s="7"/>
      <c r="F1" s="7"/>
      <c r="G1" s="7"/>
      <c r="H1" s="7"/>
      <c r="I1" s="7"/>
      <c r="J1" s="7"/>
      <c r="K1" s="7"/>
      <c r="L1" s="7"/>
      <c r="M1" s="7"/>
      <c r="N1" s="7"/>
    </row>
    <row r="2" spans="1:14" x14ac:dyDescent="0.25">
      <c r="A2" s="8" t="s">
        <v>163</v>
      </c>
      <c r="B2" s="7"/>
      <c r="C2" s="7"/>
      <c r="D2" s="7"/>
      <c r="E2" s="7"/>
      <c r="F2" s="7"/>
      <c r="G2" s="7"/>
      <c r="H2" s="7"/>
      <c r="I2" s="7"/>
      <c r="J2" s="7"/>
      <c r="K2" s="7"/>
      <c r="L2" s="7"/>
      <c r="M2" s="7"/>
      <c r="N2" s="7"/>
    </row>
    <row r="3" spans="1:14" x14ac:dyDescent="0.25">
      <c r="A3" s="7"/>
      <c r="B3" s="7"/>
      <c r="C3" s="7"/>
      <c r="D3" s="7"/>
      <c r="E3" s="7"/>
      <c r="F3" s="7"/>
      <c r="G3" s="7"/>
      <c r="H3" s="7"/>
      <c r="I3" s="7"/>
      <c r="J3" s="7"/>
      <c r="K3" s="7"/>
      <c r="L3" s="7"/>
      <c r="M3" s="7"/>
      <c r="N3" s="7"/>
    </row>
    <row r="4" spans="1:14" ht="25.5" x14ac:dyDescent="0.25">
      <c r="A4" s="18" t="s">
        <v>134</v>
      </c>
      <c r="B4" s="18" t="s">
        <v>164</v>
      </c>
      <c r="C4" s="18" t="s">
        <v>84</v>
      </c>
      <c r="D4" s="18" t="s">
        <v>165</v>
      </c>
      <c r="E4" s="18" t="s">
        <v>166</v>
      </c>
      <c r="F4" s="18" t="s">
        <v>167</v>
      </c>
      <c r="G4" s="18" t="s">
        <v>168</v>
      </c>
      <c r="H4" s="18" t="s">
        <v>169</v>
      </c>
      <c r="I4" s="18" t="s">
        <v>170</v>
      </c>
      <c r="J4" s="18" t="s">
        <v>136</v>
      </c>
      <c r="K4" s="18" t="s">
        <v>171</v>
      </c>
      <c r="L4" s="18" t="s">
        <v>142</v>
      </c>
      <c r="M4" s="18" t="s">
        <v>172</v>
      </c>
      <c r="N4" s="18" t="s">
        <v>117</v>
      </c>
    </row>
    <row r="5" spans="1:14" ht="57" x14ac:dyDescent="0.25">
      <c r="A5" s="32" t="s">
        <v>173</v>
      </c>
      <c r="B5" s="32" t="s">
        <v>174</v>
      </c>
      <c r="C5" s="32" t="s">
        <v>90</v>
      </c>
      <c r="D5" s="29" t="s">
        <v>175</v>
      </c>
      <c r="E5" s="32" t="s">
        <v>176</v>
      </c>
      <c r="F5" s="32"/>
      <c r="G5" s="32" t="s">
        <v>177</v>
      </c>
      <c r="H5" s="32"/>
      <c r="I5" s="32"/>
      <c r="J5" s="32"/>
      <c r="K5" s="32"/>
      <c r="L5" s="32" t="s">
        <v>150</v>
      </c>
      <c r="M5" s="32" t="s">
        <v>178</v>
      </c>
      <c r="N5" s="32"/>
    </row>
    <row r="6" spans="1:14" ht="42.75" x14ac:dyDescent="0.25">
      <c r="A6" s="32" t="s">
        <v>179</v>
      </c>
      <c r="B6" s="32" t="s">
        <v>180</v>
      </c>
      <c r="C6" s="32" t="s">
        <v>90</v>
      </c>
      <c r="D6" s="29" t="s">
        <v>181</v>
      </c>
      <c r="E6" s="32" t="s">
        <v>182</v>
      </c>
      <c r="F6" s="32" t="s">
        <v>183</v>
      </c>
      <c r="G6" s="32" t="s">
        <v>184</v>
      </c>
      <c r="H6" s="32"/>
      <c r="I6" s="32"/>
      <c r="J6" s="32"/>
      <c r="K6" s="32"/>
      <c r="L6" s="32" t="s">
        <v>150</v>
      </c>
      <c r="M6" s="32" t="s">
        <v>178</v>
      </c>
      <c r="N6" s="32"/>
    </row>
    <row r="7" spans="1:14" ht="42.75" x14ac:dyDescent="0.25">
      <c r="A7" s="32" t="s">
        <v>185</v>
      </c>
      <c r="B7" s="32" t="s">
        <v>186</v>
      </c>
      <c r="C7" s="32" t="s">
        <v>90</v>
      </c>
      <c r="D7" s="29" t="s">
        <v>187</v>
      </c>
      <c r="E7" s="32" t="s">
        <v>188</v>
      </c>
      <c r="F7" s="32"/>
      <c r="G7" s="32"/>
      <c r="H7" s="32"/>
      <c r="I7" s="32"/>
      <c r="J7" s="32"/>
      <c r="K7" s="32"/>
      <c r="L7" s="32" t="s">
        <v>150</v>
      </c>
      <c r="M7" s="32" t="s">
        <v>178</v>
      </c>
      <c r="N7" s="32"/>
    </row>
    <row r="8" spans="1:14" ht="42.75" x14ac:dyDescent="0.25">
      <c r="A8" s="32" t="s">
        <v>189</v>
      </c>
      <c r="B8" s="32" t="s">
        <v>190</v>
      </c>
      <c r="C8" s="32" t="s">
        <v>90</v>
      </c>
      <c r="D8" s="29" t="s">
        <v>191</v>
      </c>
      <c r="E8" s="32" t="s">
        <v>192</v>
      </c>
      <c r="F8" s="32"/>
      <c r="G8" s="32" t="s">
        <v>193</v>
      </c>
      <c r="H8" s="32"/>
      <c r="I8" s="32"/>
      <c r="J8" s="32"/>
      <c r="K8" s="32"/>
      <c r="L8" s="32" t="s">
        <v>150</v>
      </c>
      <c r="M8" s="32" t="s">
        <v>178</v>
      </c>
      <c r="N8" s="32"/>
    </row>
    <row r="9" spans="1:14" ht="42.75" x14ac:dyDescent="0.25">
      <c r="A9" s="32" t="s">
        <v>194</v>
      </c>
      <c r="B9" s="32" t="s">
        <v>195</v>
      </c>
      <c r="C9" s="32" t="s">
        <v>90</v>
      </c>
      <c r="D9" s="29" t="s">
        <v>196</v>
      </c>
      <c r="E9" s="32" t="s">
        <v>197</v>
      </c>
      <c r="F9" s="32" t="s">
        <v>198</v>
      </c>
      <c r="G9" s="32" t="s">
        <v>199</v>
      </c>
      <c r="H9" s="32"/>
      <c r="I9" s="32"/>
      <c r="J9" s="32"/>
      <c r="K9" s="32"/>
      <c r="L9" s="32" t="s">
        <v>150</v>
      </c>
      <c r="M9" s="32" t="s">
        <v>178</v>
      </c>
      <c r="N9" s="32"/>
    </row>
    <row r="10" spans="1:14" ht="42.75" x14ac:dyDescent="0.25">
      <c r="A10" s="32" t="s">
        <v>200</v>
      </c>
      <c r="B10" s="32" t="s">
        <v>201</v>
      </c>
      <c r="C10" s="32" t="s">
        <v>90</v>
      </c>
      <c r="D10" s="29" t="s">
        <v>202</v>
      </c>
      <c r="E10" s="32" t="s">
        <v>203</v>
      </c>
      <c r="F10" s="32" t="s">
        <v>204</v>
      </c>
      <c r="G10" s="32" t="s">
        <v>205</v>
      </c>
      <c r="H10" s="32"/>
      <c r="I10" s="32"/>
      <c r="J10" s="32"/>
      <c r="K10" s="32"/>
      <c r="L10" s="32" t="s">
        <v>150</v>
      </c>
      <c r="M10" s="32" t="s">
        <v>178</v>
      </c>
      <c r="N10" s="32"/>
    </row>
    <row r="11" spans="1:14" ht="42.75" x14ac:dyDescent="0.25">
      <c r="A11" s="32" t="s">
        <v>206</v>
      </c>
      <c r="B11" s="32" t="s">
        <v>207</v>
      </c>
      <c r="C11" s="32" t="s">
        <v>90</v>
      </c>
      <c r="D11" s="29" t="s">
        <v>208</v>
      </c>
      <c r="E11" s="32" t="s">
        <v>209</v>
      </c>
      <c r="F11" s="32" t="s">
        <v>210</v>
      </c>
      <c r="G11" s="32" t="s">
        <v>211</v>
      </c>
      <c r="H11" s="32"/>
      <c r="I11" s="32"/>
      <c r="J11" s="32"/>
      <c r="K11" s="32"/>
      <c r="L11" s="32" t="s">
        <v>150</v>
      </c>
      <c r="M11" s="32" t="s">
        <v>178</v>
      </c>
      <c r="N11" s="32"/>
    </row>
    <row r="12" spans="1:14" ht="42.75" x14ac:dyDescent="0.25">
      <c r="A12" s="32" t="s">
        <v>212</v>
      </c>
      <c r="B12" s="32" t="s">
        <v>213</v>
      </c>
      <c r="C12" s="32" t="s">
        <v>90</v>
      </c>
      <c r="D12" s="29" t="s">
        <v>214</v>
      </c>
      <c r="E12" s="32" t="s">
        <v>215</v>
      </c>
      <c r="F12" s="32" t="s">
        <v>216</v>
      </c>
      <c r="G12" s="32" t="s">
        <v>217</v>
      </c>
      <c r="H12" s="32"/>
      <c r="I12" s="32"/>
      <c r="J12" s="32"/>
      <c r="K12" s="32"/>
      <c r="L12" s="32" t="s">
        <v>150</v>
      </c>
      <c r="M12" s="32" t="s">
        <v>178</v>
      </c>
      <c r="N12" s="32"/>
    </row>
    <row r="13" spans="1:14" ht="42.75" x14ac:dyDescent="0.25">
      <c r="A13" s="32" t="s">
        <v>218</v>
      </c>
      <c r="B13" s="32" t="s">
        <v>219</v>
      </c>
      <c r="C13" s="32" t="s">
        <v>91</v>
      </c>
      <c r="D13" s="29" t="s">
        <v>220</v>
      </c>
      <c r="E13" s="32" t="s">
        <v>221</v>
      </c>
      <c r="F13" s="32"/>
      <c r="G13" s="32" t="s">
        <v>222</v>
      </c>
      <c r="H13" s="32"/>
      <c r="I13" s="32"/>
      <c r="J13" s="32"/>
      <c r="K13" s="32"/>
      <c r="L13" s="32" t="s">
        <v>150</v>
      </c>
      <c r="M13" s="32" t="s">
        <v>178</v>
      </c>
      <c r="N13" s="32"/>
    </row>
    <row r="14" spans="1:14" ht="42.75" x14ac:dyDescent="0.25">
      <c r="A14" s="32" t="s">
        <v>223</v>
      </c>
      <c r="B14" s="32" t="s">
        <v>207</v>
      </c>
      <c r="C14" s="32" t="s">
        <v>91</v>
      </c>
      <c r="D14" s="29" t="s">
        <v>224</v>
      </c>
      <c r="E14" s="32" t="s">
        <v>209</v>
      </c>
      <c r="F14" s="32" t="s">
        <v>210</v>
      </c>
      <c r="G14" s="32" t="s">
        <v>211</v>
      </c>
      <c r="H14" s="32"/>
      <c r="I14" s="32"/>
      <c r="J14" s="32"/>
      <c r="K14" s="32"/>
      <c r="L14" s="32" t="s">
        <v>150</v>
      </c>
      <c r="M14" s="32" t="s">
        <v>178</v>
      </c>
      <c r="N14" s="32"/>
    </row>
    <row r="15" spans="1:14" ht="42.75" x14ac:dyDescent="0.25">
      <c r="A15" s="32" t="s">
        <v>225</v>
      </c>
      <c r="B15" s="32" t="s">
        <v>226</v>
      </c>
      <c r="C15" s="32" t="s">
        <v>91</v>
      </c>
      <c r="D15" s="29" t="s">
        <v>227</v>
      </c>
      <c r="E15" s="32" t="s">
        <v>228</v>
      </c>
      <c r="F15" s="32"/>
      <c r="G15" s="32" t="s">
        <v>229</v>
      </c>
      <c r="H15" s="32"/>
      <c r="I15" s="32"/>
      <c r="J15" s="32"/>
      <c r="K15" s="32"/>
      <c r="L15" s="32" t="s">
        <v>150</v>
      </c>
      <c r="M15" s="32" t="s">
        <v>178</v>
      </c>
      <c r="N15" s="32"/>
    </row>
    <row r="16" spans="1:14" ht="42.75" x14ac:dyDescent="0.25">
      <c r="A16" s="32" t="s">
        <v>230</v>
      </c>
      <c r="B16" s="32" t="s">
        <v>231</v>
      </c>
      <c r="C16" s="32" t="s">
        <v>91</v>
      </c>
      <c r="D16" s="29" t="s">
        <v>232</v>
      </c>
      <c r="E16" s="32" t="s">
        <v>233</v>
      </c>
      <c r="F16" s="32" t="s">
        <v>234</v>
      </c>
      <c r="G16" s="32" t="s">
        <v>235</v>
      </c>
      <c r="H16" s="32"/>
      <c r="I16" s="32"/>
      <c r="J16" s="32"/>
      <c r="K16" s="32"/>
      <c r="L16" s="32" t="s">
        <v>150</v>
      </c>
      <c r="M16" s="32" t="s">
        <v>178</v>
      </c>
      <c r="N16" s="32"/>
    </row>
    <row r="17" spans="1:14" ht="42.75" x14ac:dyDescent="0.25">
      <c r="A17" s="32" t="s">
        <v>236</v>
      </c>
      <c r="B17" s="32" t="s">
        <v>237</v>
      </c>
      <c r="C17" s="32" t="s">
        <v>91</v>
      </c>
      <c r="D17" s="29" t="s">
        <v>238</v>
      </c>
      <c r="E17" s="32" t="s">
        <v>239</v>
      </c>
      <c r="F17" s="32" t="s">
        <v>240</v>
      </c>
      <c r="G17" s="32" t="s">
        <v>241</v>
      </c>
      <c r="H17" s="32"/>
      <c r="I17" s="32"/>
      <c r="J17" s="32"/>
      <c r="K17" s="32"/>
      <c r="L17" s="32" t="s">
        <v>150</v>
      </c>
      <c r="M17" s="32" t="s">
        <v>178</v>
      </c>
      <c r="N17" s="32"/>
    </row>
    <row r="18" spans="1:14" ht="42.75" x14ac:dyDescent="0.25">
      <c r="A18" s="32" t="s">
        <v>242</v>
      </c>
      <c r="B18" s="32" t="s">
        <v>195</v>
      </c>
      <c r="C18" s="32" t="s">
        <v>91</v>
      </c>
      <c r="D18" s="29" t="s">
        <v>243</v>
      </c>
      <c r="E18" s="32" t="s">
        <v>197</v>
      </c>
      <c r="F18" s="32" t="s">
        <v>198</v>
      </c>
      <c r="G18" s="32" t="s">
        <v>199</v>
      </c>
      <c r="H18" s="32"/>
      <c r="I18" s="32"/>
      <c r="J18" s="32"/>
      <c r="K18" s="32"/>
      <c r="L18" s="32" t="s">
        <v>150</v>
      </c>
      <c r="M18" s="32" t="s">
        <v>178</v>
      </c>
      <c r="N18" s="32"/>
    </row>
    <row r="19" spans="1:14" ht="28.5" x14ac:dyDescent="0.25">
      <c r="A19" s="32" t="s">
        <v>244</v>
      </c>
      <c r="B19" s="32" t="s">
        <v>245</v>
      </c>
      <c r="C19" s="32" t="s">
        <v>91</v>
      </c>
      <c r="D19" s="29" t="s">
        <v>246</v>
      </c>
      <c r="E19" s="32" t="s">
        <v>247</v>
      </c>
      <c r="F19" s="32"/>
      <c r="G19" s="32" t="s">
        <v>248</v>
      </c>
      <c r="H19" s="32"/>
      <c r="I19" s="32"/>
      <c r="J19" s="32"/>
      <c r="K19" s="32"/>
      <c r="L19" s="32" t="s">
        <v>150</v>
      </c>
      <c r="M19" s="32" t="s">
        <v>178</v>
      </c>
      <c r="N19" s="32"/>
    </row>
    <row r="20" spans="1:14" ht="28.5" x14ac:dyDescent="0.25">
      <c r="A20" s="32" t="s">
        <v>249</v>
      </c>
      <c r="B20" s="32" t="s">
        <v>250</v>
      </c>
      <c r="C20" s="32" t="s">
        <v>92</v>
      </c>
      <c r="D20" s="29" t="s">
        <v>251</v>
      </c>
      <c r="E20" s="32" t="s">
        <v>252</v>
      </c>
      <c r="F20" s="32" t="s">
        <v>253</v>
      </c>
      <c r="G20" s="32" t="s">
        <v>254</v>
      </c>
      <c r="H20" s="32"/>
      <c r="I20" s="32"/>
      <c r="J20" s="32"/>
      <c r="K20" s="32"/>
      <c r="L20" s="32" t="s">
        <v>150</v>
      </c>
      <c r="M20" s="32" t="s">
        <v>178</v>
      </c>
      <c r="N20" s="32"/>
    </row>
    <row r="21" spans="1:14" ht="42.75" x14ac:dyDescent="0.25">
      <c r="A21" s="32" t="s">
        <v>255</v>
      </c>
      <c r="B21" s="32" t="s">
        <v>256</v>
      </c>
      <c r="C21" s="32" t="s">
        <v>92</v>
      </c>
      <c r="D21" s="29" t="s">
        <v>257</v>
      </c>
      <c r="E21" s="32" t="s">
        <v>258</v>
      </c>
      <c r="F21" s="32" t="s">
        <v>259</v>
      </c>
      <c r="G21" s="32" t="s">
        <v>260</v>
      </c>
      <c r="H21" s="32"/>
      <c r="I21" s="32"/>
      <c r="J21" s="32"/>
      <c r="K21" s="32"/>
      <c r="L21" s="32" t="s">
        <v>150</v>
      </c>
      <c r="M21" s="32" t="s">
        <v>178</v>
      </c>
      <c r="N21" s="32"/>
    </row>
    <row r="22" spans="1:14" ht="42.75" x14ac:dyDescent="0.25">
      <c r="A22" s="32" t="s">
        <v>261</v>
      </c>
      <c r="B22" s="32" t="s">
        <v>245</v>
      </c>
      <c r="C22" s="32" t="s">
        <v>92</v>
      </c>
      <c r="D22" s="29" t="s">
        <v>262</v>
      </c>
      <c r="E22" s="32" t="s">
        <v>247</v>
      </c>
      <c r="F22" s="32"/>
      <c r="G22" s="32" t="s">
        <v>248</v>
      </c>
      <c r="H22" s="32"/>
      <c r="I22" s="32"/>
      <c r="J22" s="32"/>
      <c r="K22" s="32"/>
      <c r="L22" s="32" t="s">
        <v>150</v>
      </c>
      <c r="M22" s="32" t="s">
        <v>178</v>
      </c>
      <c r="N22" s="32"/>
    </row>
    <row r="23" spans="1:14" ht="42.75" x14ac:dyDescent="0.25">
      <c r="A23" s="32" t="s">
        <v>263</v>
      </c>
      <c r="B23" s="32" t="s">
        <v>264</v>
      </c>
      <c r="C23" s="32" t="s">
        <v>92</v>
      </c>
      <c r="D23" s="29" t="s">
        <v>265</v>
      </c>
      <c r="E23" s="32" t="s">
        <v>266</v>
      </c>
      <c r="F23" s="32" t="s">
        <v>267</v>
      </c>
      <c r="G23" s="32" t="s">
        <v>268</v>
      </c>
      <c r="H23" s="32"/>
      <c r="I23" s="32"/>
      <c r="J23" s="32"/>
      <c r="K23" s="32"/>
      <c r="L23" s="32" t="s">
        <v>150</v>
      </c>
      <c r="M23" s="32" t="s">
        <v>178</v>
      </c>
      <c r="N23" s="32"/>
    </row>
    <row r="24" spans="1:14" ht="42.75" x14ac:dyDescent="0.25">
      <c r="A24" s="32" t="s">
        <v>269</v>
      </c>
      <c r="B24" s="32" t="s">
        <v>270</v>
      </c>
      <c r="C24" s="32" t="s">
        <v>92</v>
      </c>
      <c r="D24" s="29" t="s">
        <v>271</v>
      </c>
      <c r="E24" s="32" t="s">
        <v>272</v>
      </c>
      <c r="F24" s="32"/>
      <c r="G24" s="32"/>
      <c r="H24" s="32"/>
      <c r="I24" s="32"/>
      <c r="J24" s="32"/>
      <c r="K24" s="32"/>
      <c r="L24" s="32" t="s">
        <v>150</v>
      </c>
      <c r="M24" s="32" t="s">
        <v>178</v>
      </c>
      <c r="N24" s="32"/>
    </row>
    <row r="25" spans="1:14" ht="57" x14ac:dyDescent="0.25">
      <c r="A25" s="32" t="s">
        <v>273</v>
      </c>
      <c r="B25" s="32" t="s">
        <v>274</v>
      </c>
      <c r="C25" s="32" t="s">
        <v>92</v>
      </c>
      <c r="D25" s="29" t="s">
        <v>275</v>
      </c>
      <c r="E25" s="32" t="s">
        <v>276</v>
      </c>
      <c r="F25" s="32"/>
      <c r="G25" s="32"/>
      <c r="H25" s="32"/>
      <c r="I25" s="32"/>
      <c r="J25" s="32"/>
      <c r="K25" s="32"/>
      <c r="L25" s="32" t="s">
        <v>150</v>
      </c>
      <c r="M25" s="32" t="s">
        <v>178</v>
      </c>
      <c r="N25" s="32"/>
    </row>
    <row r="26" spans="1:14" ht="42.75" x14ac:dyDescent="0.25">
      <c r="A26" s="32" t="s">
        <v>277</v>
      </c>
      <c r="B26" s="32" t="s">
        <v>270</v>
      </c>
      <c r="C26" s="32" t="s">
        <v>93</v>
      </c>
      <c r="D26" s="29" t="s">
        <v>278</v>
      </c>
      <c r="E26" s="32" t="s">
        <v>272</v>
      </c>
      <c r="F26" s="32"/>
      <c r="G26" s="32"/>
      <c r="H26" s="32"/>
      <c r="I26" s="32"/>
      <c r="J26" s="32"/>
      <c r="K26" s="32"/>
      <c r="L26" s="32" t="s">
        <v>150</v>
      </c>
      <c r="M26" s="32" t="s">
        <v>178</v>
      </c>
      <c r="N26" s="32"/>
    </row>
    <row r="27" spans="1:14" ht="42.75" x14ac:dyDescent="0.25">
      <c r="A27" s="32" t="s">
        <v>279</v>
      </c>
      <c r="B27" s="32" t="s">
        <v>245</v>
      </c>
      <c r="C27" s="32" t="s">
        <v>93</v>
      </c>
      <c r="D27" s="29" t="s">
        <v>280</v>
      </c>
      <c r="E27" s="32" t="s">
        <v>247</v>
      </c>
      <c r="F27" s="32"/>
      <c r="G27" s="32" t="s">
        <v>248</v>
      </c>
      <c r="H27" s="32"/>
      <c r="I27" s="32"/>
      <c r="J27" s="32"/>
      <c r="K27" s="32"/>
      <c r="L27" s="32" t="s">
        <v>150</v>
      </c>
      <c r="M27" s="32" t="s">
        <v>178</v>
      </c>
      <c r="N27" s="32"/>
    </row>
    <row r="28" spans="1:14" ht="42.75" x14ac:dyDescent="0.25">
      <c r="A28" s="32" t="s">
        <v>281</v>
      </c>
      <c r="B28" s="32" t="s">
        <v>256</v>
      </c>
      <c r="C28" s="32" t="s">
        <v>93</v>
      </c>
      <c r="D28" s="29" t="s">
        <v>282</v>
      </c>
      <c r="E28" s="32" t="s">
        <v>258</v>
      </c>
      <c r="F28" s="32" t="s">
        <v>259</v>
      </c>
      <c r="G28" s="32" t="s">
        <v>260</v>
      </c>
      <c r="H28" s="32"/>
      <c r="I28" s="32"/>
      <c r="J28" s="32"/>
      <c r="K28" s="32"/>
      <c r="L28" s="32" t="s">
        <v>150</v>
      </c>
      <c r="M28" s="32" t="s">
        <v>178</v>
      </c>
      <c r="N28" s="32"/>
    </row>
    <row r="29" spans="1:14" ht="42.75" x14ac:dyDescent="0.25">
      <c r="A29" s="32" t="s">
        <v>283</v>
      </c>
      <c r="B29" s="32" t="s">
        <v>264</v>
      </c>
      <c r="C29" s="32" t="s">
        <v>93</v>
      </c>
      <c r="D29" s="29" t="s">
        <v>284</v>
      </c>
      <c r="E29" s="32" t="s">
        <v>266</v>
      </c>
      <c r="F29" s="32" t="s">
        <v>267</v>
      </c>
      <c r="G29" s="32" t="s">
        <v>268</v>
      </c>
      <c r="H29" s="32"/>
      <c r="I29" s="32"/>
      <c r="J29" s="32"/>
      <c r="K29" s="32"/>
      <c r="L29" s="32" t="s">
        <v>150</v>
      </c>
      <c r="M29" s="32" t="s">
        <v>178</v>
      </c>
      <c r="N29" s="32"/>
    </row>
    <row r="30" spans="1:14" ht="42.75" x14ac:dyDescent="0.25">
      <c r="A30" s="32" t="s">
        <v>285</v>
      </c>
      <c r="B30" s="32" t="s">
        <v>286</v>
      </c>
      <c r="C30" s="32" t="s">
        <v>93</v>
      </c>
      <c r="D30" s="29" t="s">
        <v>287</v>
      </c>
      <c r="E30" s="32" t="s">
        <v>288</v>
      </c>
      <c r="F30" s="32" t="s">
        <v>289</v>
      </c>
      <c r="G30" s="32" t="s">
        <v>290</v>
      </c>
      <c r="H30" s="32"/>
      <c r="I30" s="32"/>
      <c r="J30" s="32"/>
      <c r="K30" s="32"/>
      <c r="L30" s="32" t="s">
        <v>150</v>
      </c>
      <c r="M30" s="32" t="s">
        <v>178</v>
      </c>
      <c r="N30" s="32"/>
    </row>
    <row r="31" spans="1:14" ht="42.75" x14ac:dyDescent="0.25">
      <c r="A31" s="32" t="s">
        <v>291</v>
      </c>
      <c r="B31" s="32" t="s">
        <v>292</v>
      </c>
      <c r="C31" s="32" t="s">
        <v>93</v>
      </c>
      <c r="D31" s="29" t="s">
        <v>293</v>
      </c>
      <c r="E31" s="32" t="s">
        <v>294</v>
      </c>
      <c r="F31" s="32" t="s">
        <v>295</v>
      </c>
      <c r="G31" s="32" t="s">
        <v>296</v>
      </c>
      <c r="H31" s="32"/>
      <c r="I31" s="32"/>
      <c r="J31" s="32"/>
      <c r="K31" s="32"/>
      <c r="L31" s="32" t="s">
        <v>150</v>
      </c>
      <c r="M31" s="32" t="s">
        <v>178</v>
      </c>
      <c r="N31" s="32"/>
    </row>
    <row r="32" spans="1:14" ht="42.75" x14ac:dyDescent="0.25">
      <c r="A32" s="32" t="s">
        <v>297</v>
      </c>
      <c r="B32" s="32" t="s">
        <v>298</v>
      </c>
      <c r="C32" s="32" t="s">
        <v>93</v>
      </c>
      <c r="D32" s="29" t="s">
        <v>299</v>
      </c>
      <c r="E32" s="32" t="s">
        <v>300</v>
      </c>
      <c r="F32" s="32"/>
      <c r="G32" s="32" t="s">
        <v>301</v>
      </c>
      <c r="H32" s="32"/>
      <c r="I32" s="32"/>
      <c r="J32" s="32"/>
      <c r="K32" s="32"/>
      <c r="L32" s="32" t="s">
        <v>150</v>
      </c>
      <c r="M32" s="32" t="s">
        <v>178</v>
      </c>
      <c r="N32" s="32"/>
    </row>
    <row r="33" spans="1:14" ht="42.75" x14ac:dyDescent="0.25">
      <c r="A33" s="32" t="s">
        <v>302</v>
      </c>
      <c r="B33" s="32" t="s">
        <v>274</v>
      </c>
      <c r="C33" s="32" t="s">
        <v>93</v>
      </c>
      <c r="D33" s="29" t="s">
        <v>303</v>
      </c>
      <c r="E33" s="32" t="s">
        <v>276</v>
      </c>
      <c r="F33" s="32"/>
      <c r="G33" s="32"/>
      <c r="H33" s="32"/>
      <c r="I33" s="32"/>
      <c r="J33" s="32"/>
      <c r="K33" s="32"/>
      <c r="L33" s="32" t="s">
        <v>150</v>
      </c>
      <c r="M33" s="32" t="s">
        <v>178</v>
      </c>
      <c r="N33" s="32"/>
    </row>
    <row r="34" spans="1:14" ht="57" x14ac:dyDescent="0.25">
      <c r="A34" s="32" t="s">
        <v>304</v>
      </c>
      <c r="B34" s="32" t="s">
        <v>305</v>
      </c>
      <c r="C34" s="32" t="s">
        <v>94</v>
      </c>
      <c r="D34" s="29" t="s">
        <v>306</v>
      </c>
      <c r="E34" s="32" t="s">
        <v>307</v>
      </c>
      <c r="F34" s="32"/>
      <c r="G34" s="32" t="s">
        <v>308</v>
      </c>
      <c r="H34" s="32"/>
      <c r="I34" s="32"/>
      <c r="J34" s="32"/>
      <c r="K34" s="32"/>
      <c r="L34" s="32" t="s">
        <v>150</v>
      </c>
      <c r="M34" s="32" t="s">
        <v>178</v>
      </c>
      <c r="N34" s="32"/>
    </row>
    <row r="35" spans="1:14" ht="57" x14ac:dyDescent="0.25">
      <c r="A35" s="32" t="s">
        <v>309</v>
      </c>
      <c r="B35" s="32" t="s">
        <v>310</v>
      </c>
      <c r="C35" s="32" t="s">
        <v>94</v>
      </c>
      <c r="D35" s="29" t="s">
        <v>311</v>
      </c>
      <c r="E35" s="32" t="s">
        <v>312</v>
      </c>
      <c r="F35" s="32" t="s">
        <v>313</v>
      </c>
      <c r="G35" s="32" t="s">
        <v>314</v>
      </c>
      <c r="H35" s="32"/>
      <c r="I35" s="32"/>
      <c r="J35" s="32"/>
      <c r="K35" s="32"/>
      <c r="L35" s="32" t="s">
        <v>150</v>
      </c>
      <c r="M35" s="32" t="s">
        <v>178</v>
      </c>
      <c r="N35" s="32"/>
    </row>
    <row r="36" spans="1:14" ht="57" x14ac:dyDescent="0.25">
      <c r="A36" s="32" t="s">
        <v>315</v>
      </c>
      <c r="B36" s="32" t="s">
        <v>316</v>
      </c>
      <c r="C36" s="32" t="s">
        <v>94</v>
      </c>
      <c r="D36" s="29" t="s">
        <v>317</v>
      </c>
      <c r="E36" s="32" t="s">
        <v>318</v>
      </c>
      <c r="F36" s="32" t="s">
        <v>319</v>
      </c>
      <c r="G36" s="32" t="s">
        <v>320</v>
      </c>
      <c r="H36" s="32"/>
      <c r="I36" s="32"/>
      <c r="J36" s="32"/>
      <c r="K36" s="32"/>
      <c r="L36" s="32" t="s">
        <v>150</v>
      </c>
      <c r="M36" s="32" t="s">
        <v>178</v>
      </c>
      <c r="N36" s="32"/>
    </row>
    <row r="37" spans="1:14" ht="57" x14ac:dyDescent="0.25">
      <c r="A37" s="32" t="s">
        <v>321</v>
      </c>
      <c r="B37" s="32" t="s">
        <v>322</v>
      </c>
      <c r="C37" s="32" t="s">
        <v>94</v>
      </c>
      <c r="D37" s="29" t="s">
        <v>323</v>
      </c>
      <c r="E37" s="32" t="s">
        <v>324</v>
      </c>
      <c r="F37" s="32" t="s">
        <v>325</v>
      </c>
      <c r="G37" s="32" t="s">
        <v>326</v>
      </c>
      <c r="H37" s="32"/>
      <c r="I37" s="32"/>
      <c r="J37" s="32"/>
      <c r="K37" s="32"/>
      <c r="L37" s="32" t="s">
        <v>150</v>
      </c>
      <c r="M37" s="32" t="s">
        <v>178</v>
      </c>
      <c r="N37" s="32"/>
    </row>
    <row r="38" spans="1:14" ht="42.75" x14ac:dyDescent="0.25">
      <c r="A38" s="32" t="s">
        <v>327</v>
      </c>
      <c r="B38" s="32" t="s">
        <v>328</v>
      </c>
      <c r="C38" s="32" t="s">
        <v>94</v>
      </c>
      <c r="D38" s="29" t="s">
        <v>329</v>
      </c>
      <c r="E38" s="32" t="s">
        <v>330</v>
      </c>
      <c r="F38" s="32"/>
      <c r="G38" s="32" t="s">
        <v>331</v>
      </c>
      <c r="H38" s="32"/>
      <c r="I38" s="32"/>
      <c r="J38" s="32"/>
      <c r="K38" s="32"/>
      <c r="L38" s="32" t="s">
        <v>150</v>
      </c>
      <c r="M38" s="32" t="s">
        <v>178</v>
      </c>
      <c r="N38" s="32"/>
    </row>
    <row r="39" spans="1:14" ht="42.75" x14ac:dyDescent="0.25">
      <c r="A39" s="32" t="s">
        <v>332</v>
      </c>
      <c r="B39" s="32" t="s">
        <v>333</v>
      </c>
      <c r="C39" s="32" t="s">
        <v>94</v>
      </c>
      <c r="D39" s="29" t="s">
        <v>334</v>
      </c>
      <c r="E39" s="32" t="s">
        <v>335</v>
      </c>
      <c r="F39" s="32" t="s">
        <v>336</v>
      </c>
      <c r="G39" s="32" t="s">
        <v>337</v>
      </c>
      <c r="H39" s="32"/>
      <c r="I39" s="32"/>
      <c r="J39" s="32"/>
      <c r="K39" s="32"/>
      <c r="L39" s="32" t="s">
        <v>150</v>
      </c>
      <c r="M39" s="32" t="s">
        <v>178</v>
      </c>
      <c r="N39" s="32"/>
    </row>
    <row r="40" spans="1:14" ht="42.75" x14ac:dyDescent="0.25">
      <c r="A40" s="32" t="s">
        <v>338</v>
      </c>
      <c r="B40" s="32" t="s">
        <v>339</v>
      </c>
      <c r="C40" s="32" t="s">
        <v>94</v>
      </c>
      <c r="D40" s="29" t="s">
        <v>340</v>
      </c>
      <c r="E40" s="32" t="s">
        <v>341</v>
      </c>
      <c r="F40" s="32" t="s">
        <v>342</v>
      </c>
      <c r="G40" s="32"/>
      <c r="H40" s="32"/>
      <c r="I40" s="32"/>
      <c r="J40" s="32"/>
      <c r="K40" s="32"/>
      <c r="L40" s="32" t="s">
        <v>150</v>
      </c>
      <c r="M40" s="32" t="s">
        <v>178</v>
      </c>
      <c r="N40" s="32"/>
    </row>
    <row r="41" spans="1:14" ht="71.25" x14ac:dyDescent="0.25">
      <c r="A41" s="32" t="s">
        <v>343</v>
      </c>
      <c r="B41" s="32" t="s">
        <v>328</v>
      </c>
      <c r="C41" s="32" t="s">
        <v>95</v>
      </c>
      <c r="D41" s="29" t="s">
        <v>344</v>
      </c>
      <c r="E41" s="32" t="s">
        <v>345</v>
      </c>
      <c r="F41" s="32" t="s">
        <v>346</v>
      </c>
      <c r="G41" s="32" t="s">
        <v>331</v>
      </c>
      <c r="H41" s="32"/>
      <c r="I41" s="32"/>
      <c r="J41" s="32"/>
      <c r="K41" s="32"/>
      <c r="L41" s="32" t="s">
        <v>150</v>
      </c>
      <c r="M41" s="32" t="s">
        <v>178</v>
      </c>
      <c r="N41" s="32"/>
    </row>
    <row r="42" spans="1:14" ht="57" x14ac:dyDescent="0.25">
      <c r="A42" s="32" t="s">
        <v>347</v>
      </c>
      <c r="B42" s="32" t="s">
        <v>348</v>
      </c>
      <c r="C42" s="32" t="s">
        <v>95</v>
      </c>
      <c r="D42" s="29" t="s">
        <v>349</v>
      </c>
      <c r="E42" s="32" t="s">
        <v>350</v>
      </c>
      <c r="F42" s="32" t="s">
        <v>351</v>
      </c>
      <c r="G42" s="32" t="s">
        <v>352</v>
      </c>
      <c r="H42" s="32"/>
      <c r="I42" s="32"/>
      <c r="J42" s="32"/>
      <c r="K42" s="32"/>
      <c r="L42" s="32" t="s">
        <v>150</v>
      </c>
      <c r="M42" s="32" t="s">
        <v>178</v>
      </c>
      <c r="N42" s="32"/>
    </row>
    <row r="43" spans="1:14" ht="57" x14ac:dyDescent="0.25">
      <c r="A43" s="32" t="s">
        <v>353</v>
      </c>
      <c r="B43" s="32" t="s">
        <v>264</v>
      </c>
      <c r="C43" s="32" t="s">
        <v>95</v>
      </c>
      <c r="D43" s="29" t="s">
        <v>354</v>
      </c>
      <c r="E43" s="32" t="s">
        <v>355</v>
      </c>
      <c r="F43" s="32" t="s">
        <v>267</v>
      </c>
      <c r="G43" s="32" t="s">
        <v>268</v>
      </c>
      <c r="H43" s="32"/>
      <c r="I43" s="32"/>
      <c r="J43" s="32"/>
      <c r="K43" s="32"/>
      <c r="L43" s="32" t="s">
        <v>150</v>
      </c>
      <c r="M43" s="32" t="s">
        <v>178</v>
      </c>
      <c r="N43" s="32"/>
    </row>
    <row r="44" spans="1:14" ht="71.25" x14ac:dyDescent="0.25">
      <c r="A44" s="32" t="s">
        <v>356</v>
      </c>
      <c r="B44" s="32" t="s">
        <v>256</v>
      </c>
      <c r="C44" s="32" t="s">
        <v>95</v>
      </c>
      <c r="D44" s="29" t="s">
        <v>357</v>
      </c>
      <c r="E44" s="32" t="s">
        <v>358</v>
      </c>
      <c r="F44" s="32" t="s">
        <v>359</v>
      </c>
      <c r="G44" s="32" t="s">
        <v>260</v>
      </c>
      <c r="H44" s="32"/>
      <c r="I44" s="32"/>
      <c r="J44" s="32"/>
      <c r="K44" s="32"/>
      <c r="L44" s="32" t="s">
        <v>150</v>
      </c>
      <c r="M44" s="32" t="s">
        <v>178</v>
      </c>
      <c r="N44" s="32"/>
    </row>
    <row r="45" spans="1:14" ht="57" x14ac:dyDescent="0.25">
      <c r="A45" s="32" t="s">
        <v>360</v>
      </c>
      <c r="B45" s="32" t="s">
        <v>361</v>
      </c>
      <c r="C45" s="32" t="s">
        <v>95</v>
      </c>
      <c r="D45" s="29" t="s">
        <v>362</v>
      </c>
      <c r="E45" s="32" t="s">
        <v>363</v>
      </c>
      <c r="F45" s="32"/>
      <c r="G45" s="32"/>
      <c r="H45" s="32"/>
      <c r="I45" s="32"/>
      <c r="J45" s="32"/>
      <c r="K45" s="32"/>
      <c r="L45" s="32" t="s">
        <v>150</v>
      </c>
      <c r="M45" s="32" t="s">
        <v>178</v>
      </c>
      <c r="N45" s="32"/>
    </row>
    <row r="46" spans="1:14" ht="42.75" x14ac:dyDescent="0.25">
      <c r="A46" s="32" t="s">
        <v>364</v>
      </c>
      <c r="B46" s="32" t="s">
        <v>365</v>
      </c>
      <c r="C46" s="32" t="s">
        <v>95</v>
      </c>
      <c r="D46" s="29" t="s">
        <v>366</v>
      </c>
      <c r="E46" s="32" t="s">
        <v>367</v>
      </c>
      <c r="F46" s="32"/>
      <c r="G46" s="32" t="s">
        <v>368</v>
      </c>
      <c r="H46" s="32"/>
      <c r="I46" s="32"/>
      <c r="J46" s="32"/>
      <c r="K46" s="32"/>
      <c r="L46" s="32" t="s">
        <v>150</v>
      </c>
      <c r="M46" s="32" t="s">
        <v>178</v>
      </c>
      <c r="N46" s="32"/>
    </row>
    <row r="47" spans="1:14" ht="57" x14ac:dyDescent="0.25">
      <c r="A47" s="32" t="s">
        <v>369</v>
      </c>
      <c r="B47" s="32" t="s">
        <v>370</v>
      </c>
      <c r="C47" s="32" t="s">
        <v>95</v>
      </c>
      <c r="D47" s="29" t="s">
        <v>371</v>
      </c>
      <c r="E47" s="32" t="s">
        <v>372</v>
      </c>
      <c r="F47" s="32" t="s">
        <v>373</v>
      </c>
      <c r="G47" s="32" t="s">
        <v>374</v>
      </c>
      <c r="H47" s="32"/>
      <c r="I47" s="32"/>
      <c r="J47" s="32"/>
      <c r="K47" s="32"/>
      <c r="L47" s="32" t="s">
        <v>150</v>
      </c>
      <c r="M47" s="32" t="s">
        <v>178</v>
      </c>
      <c r="N47" s="32"/>
    </row>
    <row r="48" spans="1:14" ht="57" x14ac:dyDescent="0.25">
      <c r="A48" s="32" t="s">
        <v>375</v>
      </c>
      <c r="B48" s="32" t="s">
        <v>245</v>
      </c>
      <c r="C48" s="32" t="s">
        <v>96</v>
      </c>
      <c r="D48" s="29" t="s">
        <v>376</v>
      </c>
      <c r="E48" s="32" t="s">
        <v>377</v>
      </c>
      <c r="F48" s="32" t="s">
        <v>378</v>
      </c>
      <c r="G48" s="32" t="s">
        <v>248</v>
      </c>
      <c r="H48" s="32"/>
      <c r="I48" s="32"/>
      <c r="J48" s="32"/>
      <c r="K48" s="32"/>
      <c r="L48" s="32" t="s">
        <v>150</v>
      </c>
      <c r="M48" s="32" t="s">
        <v>178</v>
      </c>
      <c r="N48" s="32"/>
    </row>
    <row r="49" spans="1:14" ht="42.75" x14ac:dyDescent="0.25">
      <c r="A49" s="32" t="s">
        <v>379</v>
      </c>
      <c r="B49" s="32" t="s">
        <v>256</v>
      </c>
      <c r="C49" s="32" t="s">
        <v>96</v>
      </c>
      <c r="D49" s="29" t="s">
        <v>380</v>
      </c>
      <c r="E49" s="32" t="s">
        <v>358</v>
      </c>
      <c r="F49" s="32" t="s">
        <v>359</v>
      </c>
      <c r="G49" s="32" t="s">
        <v>260</v>
      </c>
      <c r="H49" s="32"/>
      <c r="I49" s="32"/>
      <c r="J49" s="32"/>
      <c r="K49" s="32"/>
      <c r="L49" s="32" t="s">
        <v>150</v>
      </c>
      <c r="M49" s="32" t="s">
        <v>178</v>
      </c>
      <c r="N49" s="32"/>
    </row>
    <row r="50" spans="1:14" ht="42.75" x14ac:dyDescent="0.25">
      <c r="A50" s="32" t="s">
        <v>381</v>
      </c>
      <c r="B50" s="32" t="s">
        <v>382</v>
      </c>
      <c r="C50" s="32" t="s">
        <v>96</v>
      </c>
      <c r="D50" s="29" t="s">
        <v>383</v>
      </c>
      <c r="E50" s="32" t="s">
        <v>384</v>
      </c>
      <c r="F50" s="32"/>
      <c r="G50" s="32"/>
      <c r="H50" s="32"/>
      <c r="I50" s="32"/>
      <c r="J50" s="32"/>
      <c r="K50" s="32"/>
      <c r="L50" s="32" t="s">
        <v>150</v>
      </c>
      <c r="M50" s="32" t="s">
        <v>178</v>
      </c>
      <c r="N50" s="32"/>
    </row>
    <row r="51" spans="1:14" ht="42.75" x14ac:dyDescent="0.25">
      <c r="A51" s="32" t="s">
        <v>385</v>
      </c>
      <c r="B51" s="32" t="s">
        <v>207</v>
      </c>
      <c r="C51" s="32" t="s">
        <v>96</v>
      </c>
      <c r="D51" s="29" t="s">
        <v>386</v>
      </c>
      <c r="E51" s="32" t="s">
        <v>387</v>
      </c>
      <c r="F51" s="32" t="s">
        <v>388</v>
      </c>
      <c r="G51" s="32" t="s">
        <v>211</v>
      </c>
      <c r="H51" s="32"/>
      <c r="I51" s="32"/>
      <c r="J51" s="32"/>
      <c r="K51" s="32"/>
      <c r="L51" s="32" t="s">
        <v>150</v>
      </c>
      <c r="M51" s="32" t="s">
        <v>178</v>
      </c>
      <c r="N51" s="32"/>
    </row>
    <row r="52" spans="1:14" ht="42.75" x14ac:dyDescent="0.25">
      <c r="A52" s="32" t="s">
        <v>389</v>
      </c>
      <c r="B52" s="32" t="s">
        <v>264</v>
      </c>
      <c r="C52" s="32" t="s">
        <v>96</v>
      </c>
      <c r="D52" s="29" t="s">
        <v>390</v>
      </c>
      <c r="E52" s="32" t="s">
        <v>355</v>
      </c>
      <c r="F52" s="32" t="s">
        <v>267</v>
      </c>
      <c r="G52" s="32" t="s">
        <v>268</v>
      </c>
      <c r="H52" s="32"/>
      <c r="I52" s="32"/>
      <c r="J52" s="32"/>
      <c r="K52" s="32"/>
      <c r="L52" s="32" t="s">
        <v>150</v>
      </c>
      <c r="M52" s="32" t="s">
        <v>178</v>
      </c>
      <c r="N52" s="32"/>
    </row>
    <row r="53" spans="1:14" ht="42.75" x14ac:dyDescent="0.25">
      <c r="A53" s="32" t="s">
        <v>391</v>
      </c>
      <c r="B53" s="32" t="s">
        <v>365</v>
      </c>
      <c r="C53" s="32" t="s">
        <v>96</v>
      </c>
      <c r="D53" s="29" t="s">
        <v>392</v>
      </c>
      <c r="E53" s="32" t="s">
        <v>367</v>
      </c>
      <c r="F53" s="32"/>
      <c r="G53" s="32" t="s">
        <v>368</v>
      </c>
      <c r="H53" s="32"/>
      <c r="I53" s="32"/>
      <c r="J53" s="32"/>
      <c r="K53" s="32"/>
      <c r="L53" s="32" t="s">
        <v>150</v>
      </c>
      <c r="M53" s="32" t="s">
        <v>178</v>
      </c>
      <c r="N53" s="32"/>
    </row>
    <row r="54" spans="1:14" ht="28.5" x14ac:dyDescent="0.25">
      <c r="A54" s="32" t="s">
        <v>393</v>
      </c>
      <c r="B54" s="32" t="s">
        <v>394</v>
      </c>
      <c r="C54" s="32" t="s">
        <v>96</v>
      </c>
      <c r="D54" s="29" t="s">
        <v>395</v>
      </c>
      <c r="E54" s="32" t="s">
        <v>396</v>
      </c>
      <c r="F54" s="32"/>
      <c r="G54" s="32" t="s">
        <v>397</v>
      </c>
      <c r="H54" s="32"/>
      <c r="I54" s="32"/>
      <c r="J54" s="32"/>
      <c r="K54" s="32"/>
      <c r="L54" s="32" t="s">
        <v>150</v>
      </c>
      <c r="M54" s="32" t="s">
        <v>178</v>
      </c>
      <c r="N54" s="32"/>
    </row>
    <row r="55" spans="1:14" ht="71.25" x14ac:dyDescent="0.25">
      <c r="A55" s="32" t="s">
        <v>398</v>
      </c>
      <c r="B55" s="32" t="s">
        <v>328</v>
      </c>
      <c r="C55" s="32" t="s">
        <v>97</v>
      </c>
      <c r="D55" s="29" t="s">
        <v>399</v>
      </c>
      <c r="E55" s="32" t="s">
        <v>345</v>
      </c>
      <c r="F55" s="32" t="s">
        <v>346</v>
      </c>
      <c r="G55" s="32" t="s">
        <v>331</v>
      </c>
      <c r="H55" s="32"/>
      <c r="I55" s="32"/>
      <c r="J55" s="32"/>
      <c r="K55" s="32"/>
      <c r="L55" s="32" t="s">
        <v>150</v>
      </c>
      <c r="M55" s="32" t="s">
        <v>178</v>
      </c>
      <c r="N55" s="32"/>
    </row>
    <row r="56" spans="1:14" ht="71.25" x14ac:dyDescent="0.25">
      <c r="A56" s="32" t="s">
        <v>400</v>
      </c>
      <c r="B56" s="32" t="s">
        <v>348</v>
      </c>
      <c r="C56" s="32" t="s">
        <v>97</v>
      </c>
      <c r="D56" s="29" t="s">
        <v>401</v>
      </c>
      <c r="E56" s="32" t="s">
        <v>350</v>
      </c>
      <c r="F56" s="32" t="s">
        <v>402</v>
      </c>
      <c r="G56" s="32" t="s">
        <v>352</v>
      </c>
      <c r="H56" s="32"/>
      <c r="I56" s="32"/>
      <c r="J56" s="32"/>
      <c r="K56" s="32"/>
      <c r="L56" s="32" t="s">
        <v>150</v>
      </c>
      <c r="M56" s="32" t="s">
        <v>178</v>
      </c>
      <c r="N56" s="32"/>
    </row>
    <row r="57" spans="1:14" ht="57" x14ac:dyDescent="0.25">
      <c r="A57" s="32" t="s">
        <v>403</v>
      </c>
      <c r="B57" s="32" t="s">
        <v>404</v>
      </c>
      <c r="C57" s="32" t="s">
        <v>97</v>
      </c>
      <c r="D57" s="29" t="s">
        <v>405</v>
      </c>
      <c r="E57" s="32" t="s">
        <v>406</v>
      </c>
      <c r="F57" s="32" t="s">
        <v>407</v>
      </c>
      <c r="G57" s="32" t="s">
        <v>408</v>
      </c>
      <c r="H57" s="32"/>
      <c r="I57" s="32"/>
      <c r="J57" s="32"/>
      <c r="K57" s="32"/>
      <c r="L57" s="32" t="s">
        <v>150</v>
      </c>
      <c r="M57" s="32" t="s">
        <v>178</v>
      </c>
      <c r="N57" s="32"/>
    </row>
    <row r="58" spans="1:14" ht="42.75" x14ac:dyDescent="0.25">
      <c r="A58" s="32" t="s">
        <v>409</v>
      </c>
      <c r="B58" s="32" t="s">
        <v>256</v>
      </c>
      <c r="C58" s="32" t="s">
        <v>97</v>
      </c>
      <c r="D58" s="29" t="s">
        <v>410</v>
      </c>
      <c r="E58" s="32" t="s">
        <v>358</v>
      </c>
      <c r="F58" s="32" t="s">
        <v>359</v>
      </c>
      <c r="G58" s="32" t="s">
        <v>260</v>
      </c>
      <c r="H58" s="32"/>
      <c r="I58" s="32"/>
      <c r="J58" s="32"/>
      <c r="K58" s="32"/>
      <c r="L58" s="32" t="s">
        <v>150</v>
      </c>
      <c r="M58" s="32" t="s">
        <v>178</v>
      </c>
      <c r="N58" s="32"/>
    </row>
    <row r="59" spans="1:14" ht="57" x14ac:dyDescent="0.25">
      <c r="A59" s="32" t="s">
        <v>411</v>
      </c>
      <c r="B59" s="32" t="s">
        <v>370</v>
      </c>
      <c r="C59" s="32" t="s">
        <v>97</v>
      </c>
      <c r="D59" s="29" t="s">
        <v>412</v>
      </c>
      <c r="E59" s="32" t="s">
        <v>372</v>
      </c>
      <c r="F59" s="32" t="s">
        <v>373</v>
      </c>
      <c r="G59" s="32" t="s">
        <v>374</v>
      </c>
      <c r="H59" s="32"/>
      <c r="I59" s="32"/>
      <c r="J59" s="32"/>
      <c r="K59" s="32"/>
      <c r="L59" s="32" t="s">
        <v>150</v>
      </c>
      <c r="M59" s="32" t="s">
        <v>178</v>
      </c>
      <c r="N59" s="32"/>
    </row>
    <row r="60" spans="1:14" ht="57" x14ac:dyDescent="0.25">
      <c r="A60" s="32" t="s">
        <v>413</v>
      </c>
      <c r="B60" s="32" t="s">
        <v>414</v>
      </c>
      <c r="C60" s="32" t="s">
        <v>97</v>
      </c>
      <c r="D60" s="29" t="s">
        <v>415</v>
      </c>
      <c r="E60" s="32" t="s">
        <v>416</v>
      </c>
      <c r="F60" s="32" t="s">
        <v>417</v>
      </c>
      <c r="G60" s="32"/>
      <c r="H60" s="32"/>
      <c r="I60" s="32"/>
      <c r="J60" s="32"/>
      <c r="K60" s="32"/>
      <c r="L60" s="32" t="s">
        <v>150</v>
      </c>
      <c r="M60" s="32" t="s">
        <v>178</v>
      </c>
      <c r="N60" s="32"/>
    </row>
    <row r="61" spans="1:14" ht="42.75" x14ac:dyDescent="0.25">
      <c r="A61" s="32" t="s">
        <v>418</v>
      </c>
      <c r="B61" s="32" t="s">
        <v>148</v>
      </c>
      <c r="C61" s="32" t="s">
        <v>98</v>
      </c>
      <c r="D61" s="29" t="s">
        <v>419</v>
      </c>
      <c r="E61" s="32" t="s">
        <v>420</v>
      </c>
      <c r="F61" s="32"/>
      <c r="G61" s="32" t="s">
        <v>420</v>
      </c>
      <c r="H61" s="32"/>
      <c r="I61" s="32"/>
      <c r="J61" s="32"/>
      <c r="K61" s="32"/>
      <c r="L61" s="32" t="s">
        <v>150</v>
      </c>
      <c r="M61" s="32" t="s">
        <v>178</v>
      </c>
      <c r="N61" s="32" t="s">
        <v>421</v>
      </c>
    </row>
    <row r="62" spans="1:14" ht="28.5" x14ac:dyDescent="0.25">
      <c r="A62" s="32" t="s">
        <v>422</v>
      </c>
      <c r="B62" s="32" t="s">
        <v>154</v>
      </c>
      <c r="C62" s="32" t="s">
        <v>98</v>
      </c>
      <c r="D62" s="29" t="s">
        <v>423</v>
      </c>
      <c r="E62" s="32" t="s">
        <v>424</v>
      </c>
      <c r="F62" s="32"/>
      <c r="G62" s="32"/>
      <c r="H62" s="32"/>
      <c r="I62" s="32"/>
      <c r="J62" s="32"/>
      <c r="K62" s="32"/>
      <c r="L62" s="32" t="s">
        <v>150</v>
      </c>
      <c r="M62" s="32" t="s">
        <v>178</v>
      </c>
      <c r="N62" s="32" t="s">
        <v>421</v>
      </c>
    </row>
    <row r="63" spans="1:14" ht="28.5" x14ac:dyDescent="0.25">
      <c r="A63" s="32" t="s">
        <v>425</v>
      </c>
      <c r="B63" s="32" t="s">
        <v>155</v>
      </c>
      <c r="C63" s="32" t="s">
        <v>98</v>
      </c>
      <c r="D63" s="29" t="s">
        <v>426</v>
      </c>
      <c r="E63" s="32" t="s">
        <v>427</v>
      </c>
      <c r="F63" s="32" t="s">
        <v>428</v>
      </c>
      <c r="G63" s="32" t="s">
        <v>429</v>
      </c>
      <c r="H63" s="32"/>
      <c r="I63" s="32"/>
      <c r="J63" s="32"/>
      <c r="K63" s="32"/>
      <c r="L63" s="32" t="s">
        <v>150</v>
      </c>
      <c r="M63" s="32" t="s">
        <v>178</v>
      </c>
      <c r="N63" s="32" t="s">
        <v>421</v>
      </c>
    </row>
    <row r="64" spans="1:14" ht="42.75" x14ac:dyDescent="0.25">
      <c r="A64" s="32" t="s">
        <v>430</v>
      </c>
      <c r="B64" s="32" t="s">
        <v>156</v>
      </c>
      <c r="C64" s="32" t="s">
        <v>98</v>
      </c>
      <c r="D64" s="29" t="s">
        <v>431</v>
      </c>
      <c r="E64" s="32"/>
      <c r="F64" s="32"/>
      <c r="G64" s="32"/>
      <c r="H64" s="32"/>
      <c r="I64" s="32"/>
      <c r="J64" s="32"/>
      <c r="K64" s="32"/>
      <c r="L64" s="32" t="s">
        <v>150</v>
      </c>
      <c r="M64" s="32" t="s">
        <v>178</v>
      </c>
      <c r="N64" s="32" t="s">
        <v>421</v>
      </c>
    </row>
    <row r="65" spans="1:14" ht="42.75" x14ac:dyDescent="0.25">
      <c r="A65" s="32" t="s">
        <v>432</v>
      </c>
      <c r="B65" s="32" t="s">
        <v>157</v>
      </c>
      <c r="C65" s="32" t="s">
        <v>98</v>
      </c>
      <c r="D65" s="29" t="s">
        <v>433</v>
      </c>
      <c r="E65" s="32" t="s">
        <v>434</v>
      </c>
      <c r="F65" s="32"/>
      <c r="G65" s="32"/>
      <c r="H65" s="32"/>
      <c r="I65" s="32"/>
      <c r="J65" s="32"/>
      <c r="K65" s="32"/>
      <c r="L65" s="32" t="s">
        <v>150</v>
      </c>
      <c r="M65" s="32" t="s">
        <v>178</v>
      </c>
      <c r="N65" s="32"/>
    </row>
    <row r="66" spans="1:14" ht="28.5" x14ac:dyDescent="0.25">
      <c r="A66" s="32" t="s">
        <v>435</v>
      </c>
      <c r="B66" s="32" t="s">
        <v>158</v>
      </c>
      <c r="C66" s="32" t="s">
        <v>98</v>
      </c>
      <c r="D66" s="29" t="s">
        <v>436</v>
      </c>
      <c r="E66" s="32" t="s">
        <v>437</v>
      </c>
      <c r="F66" s="32" t="s">
        <v>438</v>
      </c>
      <c r="G66" s="32" t="s">
        <v>439</v>
      </c>
      <c r="H66" s="32"/>
      <c r="I66" s="32"/>
      <c r="J66" s="32"/>
      <c r="K66" s="32"/>
      <c r="L66" s="32" t="s">
        <v>150</v>
      </c>
      <c r="M66" s="32" t="s">
        <v>178</v>
      </c>
      <c r="N66" s="32" t="s">
        <v>421</v>
      </c>
    </row>
    <row r="67" spans="1:14" ht="42.75" x14ac:dyDescent="0.25">
      <c r="A67" s="32" t="s">
        <v>440</v>
      </c>
      <c r="B67" s="32" t="s">
        <v>159</v>
      </c>
      <c r="C67" s="32" t="s">
        <v>98</v>
      </c>
      <c r="D67" s="29" t="s">
        <v>441</v>
      </c>
      <c r="E67" s="32" t="s">
        <v>442</v>
      </c>
      <c r="F67" s="32" t="s">
        <v>443</v>
      </c>
      <c r="G67" s="32" t="s">
        <v>444</v>
      </c>
      <c r="H67" s="32"/>
      <c r="I67" s="32"/>
      <c r="J67" s="32"/>
      <c r="K67" s="32"/>
      <c r="L67" s="32" t="s">
        <v>150</v>
      </c>
      <c r="M67" s="32" t="s">
        <v>178</v>
      </c>
      <c r="N67" s="32" t="s">
        <v>421</v>
      </c>
    </row>
    <row r="68" spans="1:14" ht="28.5" x14ac:dyDescent="0.25">
      <c r="A68" s="32" t="s">
        <v>445</v>
      </c>
      <c r="B68" s="32" t="s">
        <v>160</v>
      </c>
      <c r="C68" s="32" t="s">
        <v>98</v>
      </c>
      <c r="D68" s="29" t="s">
        <v>446</v>
      </c>
      <c r="E68" s="32" t="s">
        <v>447</v>
      </c>
      <c r="F68" s="32"/>
      <c r="G68" s="32"/>
      <c r="H68" s="32"/>
      <c r="I68" s="32"/>
      <c r="J68" s="32"/>
      <c r="K68" s="32"/>
      <c r="L68" s="32" t="s">
        <v>150</v>
      </c>
      <c r="M68" s="32" t="s">
        <v>178</v>
      </c>
      <c r="N68" s="32" t="s">
        <v>421</v>
      </c>
    </row>
    <row r="69" spans="1:14" ht="28.5" x14ac:dyDescent="0.25">
      <c r="A69" s="32" t="s">
        <v>448</v>
      </c>
      <c r="B69" s="32" t="s">
        <v>161</v>
      </c>
      <c r="C69" s="32" t="s">
        <v>98</v>
      </c>
      <c r="D69" s="29" t="s">
        <v>449</v>
      </c>
      <c r="E69" s="32" t="s">
        <v>450</v>
      </c>
      <c r="F69" s="32"/>
      <c r="G69" s="32"/>
      <c r="H69" s="32"/>
      <c r="I69" s="32"/>
      <c r="J69" s="32"/>
      <c r="K69" s="32"/>
      <c r="L69" s="32" t="s">
        <v>150</v>
      </c>
      <c r="M69" s="32" t="s">
        <v>178</v>
      </c>
      <c r="N69" s="32" t="s">
        <v>421</v>
      </c>
    </row>
    <row r="70" spans="1:14" ht="28.5" x14ac:dyDescent="0.25">
      <c r="A70" s="32" t="s">
        <v>451</v>
      </c>
      <c r="B70" s="32" t="s">
        <v>162</v>
      </c>
      <c r="C70" s="32" t="s">
        <v>98</v>
      </c>
      <c r="D70" s="29" t="s">
        <v>452</v>
      </c>
      <c r="E70" s="32" t="s">
        <v>453</v>
      </c>
      <c r="F70" s="32"/>
      <c r="G70" s="32" t="s">
        <v>454</v>
      </c>
      <c r="H70" s="32"/>
      <c r="I70" s="32"/>
      <c r="J70" s="32"/>
      <c r="K70" s="32"/>
      <c r="L70" s="32" t="s">
        <v>150</v>
      </c>
      <c r="M70" s="32" t="s">
        <v>178</v>
      </c>
      <c r="N70" s="32" t="s">
        <v>421</v>
      </c>
    </row>
    <row r="71" spans="1:14" ht="57" x14ac:dyDescent="0.25">
      <c r="A71" s="32" t="s">
        <v>455</v>
      </c>
      <c r="B71" s="32" t="s">
        <v>456</v>
      </c>
      <c r="C71" s="32" t="s">
        <v>99</v>
      </c>
      <c r="D71" s="29" t="s">
        <v>457</v>
      </c>
      <c r="E71" s="32" t="s">
        <v>458</v>
      </c>
      <c r="F71" s="32"/>
      <c r="G71" s="32"/>
      <c r="H71" s="32"/>
      <c r="I71" s="32"/>
      <c r="J71" s="32"/>
      <c r="K71" s="32"/>
      <c r="L71" s="32" t="s">
        <v>150</v>
      </c>
      <c r="M71" s="32" t="s">
        <v>178</v>
      </c>
      <c r="N71" s="32"/>
    </row>
    <row r="72" spans="1:14" ht="28.5" x14ac:dyDescent="0.25">
      <c r="A72" s="32" t="s">
        <v>459</v>
      </c>
      <c r="B72" s="32" t="s">
        <v>460</v>
      </c>
      <c r="C72" s="32" t="s">
        <v>99</v>
      </c>
      <c r="D72" s="29" t="s">
        <v>461</v>
      </c>
      <c r="E72" s="32" t="s">
        <v>462</v>
      </c>
      <c r="F72" s="32"/>
      <c r="G72" s="32"/>
      <c r="H72" s="32"/>
      <c r="I72" s="32"/>
      <c r="J72" s="32"/>
      <c r="K72" s="32"/>
      <c r="L72" s="32" t="s">
        <v>150</v>
      </c>
      <c r="M72" s="32" t="s">
        <v>178</v>
      </c>
      <c r="N72" s="32"/>
    </row>
    <row r="73" spans="1:14" ht="42.75" x14ac:dyDescent="0.25">
      <c r="A73" s="32" t="s">
        <v>463</v>
      </c>
      <c r="B73" s="32" t="s">
        <v>464</v>
      </c>
      <c r="C73" s="32" t="s">
        <v>99</v>
      </c>
      <c r="D73" s="29" t="s">
        <v>465</v>
      </c>
      <c r="E73" s="32" t="s">
        <v>466</v>
      </c>
      <c r="F73" s="32"/>
      <c r="G73" s="32"/>
      <c r="H73" s="32"/>
      <c r="I73" s="32"/>
      <c r="J73" s="32"/>
      <c r="K73" s="32"/>
      <c r="L73" s="32" t="s">
        <v>150</v>
      </c>
      <c r="M73" s="32" t="s">
        <v>178</v>
      </c>
      <c r="N73" s="32"/>
    </row>
    <row r="74" spans="1:14" ht="42.75" x14ac:dyDescent="0.25">
      <c r="A74" s="32" t="s">
        <v>467</v>
      </c>
      <c r="B74" s="32" t="s">
        <v>468</v>
      </c>
      <c r="C74" s="32" t="s">
        <v>99</v>
      </c>
      <c r="D74" s="29" t="s">
        <v>469</v>
      </c>
      <c r="E74" s="32" t="s">
        <v>470</v>
      </c>
      <c r="F74" s="32"/>
      <c r="G74" s="32"/>
      <c r="H74" s="32"/>
      <c r="I74" s="32"/>
      <c r="J74" s="32"/>
      <c r="K74" s="32"/>
      <c r="L74" s="32" t="s">
        <v>150</v>
      </c>
      <c r="M74" s="32" t="s">
        <v>178</v>
      </c>
      <c r="N74" s="32"/>
    </row>
    <row r="75" spans="1:14" ht="42.75" x14ac:dyDescent="0.25">
      <c r="A75" s="32" t="s">
        <v>471</v>
      </c>
      <c r="B75" s="32" t="s">
        <v>472</v>
      </c>
      <c r="C75" s="32" t="s">
        <v>99</v>
      </c>
      <c r="D75" s="29" t="s">
        <v>473</v>
      </c>
      <c r="E75" s="32" t="s">
        <v>474</v>
      </c>
      <c r="F75" s="32" t="s">
        <v>475</v>
      </c>
      <c r="G75" s="32" t="s">
        <v>474</v>
      </c>
      <c r="H75" s="32"/>
      <c r="I75" s="32"/>
      <c r="J75" s="32"/>
      <c r="K75" s="32"/>
      <c r="L75" s="32" t="s">
        <v>150</v>
      </c>
      <c r="M75" s="32" t="s">
        <v>178</v>
      </c>
      <c r="N75" s="32"/>
    </row>
    <row r="76" spans="1:14" ht="28.5" x14ac:dyDescent="0.25">
      <c r="A76" s="32" t="s">
        <v>476</v>
      </c>
      <c r="B76" s="32" t="s">
        <v>477</v>
      </c>
      <c r="C76" s="32" t="s">
        <v>99</v>
      </c>
      <c r="D76" s="29" t="s">
        <v>478</v>
      </c>
      <c r="E76" s="32" t="s">
        <v>479</v>
      </c>
      <c r="F76" s="32"/>
      <c r="G76" s="32" t="s">
        <v>480</v>
      </c>
      <c r="H76" s="32"/>
      <c r="I76" s="32"/>
      <c r="J76" s="32"/>
      <c r="K76" s="32"/>
      <c r="L76" s="32" t="s">
        <v>150</v>
      </c>
      <c r="M76" s="32" t="s">
        <v>178</v>
      </c>
      <c r="N76" s="32"/>
    </row>
    <row r="77" spans="1:14" ht="42.75" x14ac:dyDescent="0.25">
      <c r="A77" s="32" t="s">
        <v>481</v>
      </c>
      <c r="B77" s="32" t="s">
        <v>482</v>
      </c>
      <c r="C77" s="32" t="s">
        <v>99</v>
      </c>
      <c r="D77" s="29" t="s">
        <v>483</v>
      </c>
      <c r="E77" s="32" t="s">
        <v>484</v>
      </c>
      <c r="F77" s="32" t="s">
        <v>485</v>
      </c>
      <c r="G77" s="32"/>
      <c r="H77" s="32"/>
      <c r="I77" s="32"/>
      <c r="J77" s="32"/>
      <c r="K77" s="32"/>
      <c r="L77" s="32" t="s">
        <v>150</v>
      </c>
      <c r="M77" s="32" t="s">
        <v>178</v>
      </c>
      <c r="N77" s="32"/>
    </row>
    <row r="78" spans="1:14" ht="42.75" x14ac:dyDescent="0.25">
      <c r="A78" s="32" t="s">
        <v>486</v>
      </c>
      <c r="B78" s="32" t="s">
        <v>487</v>
      </c>
      <c r="C78" s="32" t="s">
        <v>99</v>
      </c>
      <c r="D78" s="29" t="s">
        <v>488</v>
      </c>
      <c r="E78" s="32" t="s">
        <v>489</v>
      </c>
      <c r="F78" s="32" t="s">
        <v>490</v>
      </c>
      <c r="G78" s="32" t="s">
        <v>491</v>
      </c>
      <c r="H78" s="32"/>
      <c r="I78" s="32"/>
      <c r="J78" s="32"/>
      <c r="K78" s="32"/>
      <c r="L78" s="32" t="s">
        <v>150</v>
      </c>
      <c r="M78" s="32" t="s">
        <v>178</v>
      </c>
      <c r="N78" s="32"/>
    </row>
    <row r="79" spans="1:14" ht="42.75" x14ac:dyDescent="0.25">
      <c r="A79" s="32" t="s">
        <v>492</v>
      </c>
      <c r="B79" s="32" t="s">
        <v>493</v>
      </c>
      <c r="C79" s="32" t="s">
        <v>99</v>
      </c>
      <c r="D79" s="29" t="s">
        <v>494</v>
      </c>
      <c r="E79" s="32" t="s">
        <v>495</v>
      </c>
      <c r="F79" s="32"/>
      <c r="G79" s="32" t="s">
        <v>496</v>
      </c>
      <c r="H79" s="32"/>
      <c r="I79" s="32"/>
      <c r="J79" s="32"/>
      <c r="K79" s="32"/>
      <c r="L79" s="32" t="s">
        <v>150</v>
      </c>
      <c r="M79" s="32" t="s">
        <v>178</v>
      </c>
      <c r="N79" s="32"/>
    </row>
    <row r="80" spans="1:14" ht="42.75" x14ac:dyDescent="0.25">
      <c r="A80" s="32" t="s">
        <v>497</v>
      </c>
      <c r="B80" s="32" t="s">
        <v>498</v>
      </c>
      <c r="C80" s="32" t="s">
        <v>99</v>
      </c>
      <c r="D80" s="29" t="s">
        <v>499</v>
      </c>
      <c r="E80" s="32" t="s">
        <v>500</v>
      </c>
      <c r="F80" s="32" t="s">
        <v>501</v>
      </c>
      <c r="G80" s="32" t="s">
        <v>502</v>
      </c>
      <c r="H80" s="32"/>
      <c r="I80" s="32"/>
      <c r="J80" s="32"/>
      <c r="K80" s="32"/>
      <c r="L80" s="32" t="s">
        <v>150</v>
      </c>
      <c r="M80" s="32" t="s">
        <v>178</v>
      </c>
      <c r="N80" s="32"/>
    </row>
    <row r="81" spans="1:14" ht="42.75" x14ac:dyDescent="0.25">
      <c r="A81" s="32" t="s">
        <v>503</v>
      </c>
      <c r="B81" s="32" t="s">
        <v>456</v>
      </c>
      <c r="C81" s="32" t="s">
        <v>100</v>
      </c>
      <c r="D81" s="29" t="s">
        <v>504</v>
      </c>
      <c r="E81" s="32" t="s">
        <v>458</v>
      </c>
      <c r="F81" s="32"/>
      <c r="G81" s="32"/>
      <c r="H81" s="32"/>
      <c r="I81" s="32"/>
      <c r="J81" s="32"/>
      <c r="K81" s="32"/>
      <c r="L81" s="32" t="s">
        <v>150</v>
      </c>
      <c r="M81" s="32" t="s">
        <v>178</v>
      </c>
      <c r="N81" s="32"/>
    </row>
    <row r="82" spans="1:14" ht="28.5" x14ac:dyDescent="0.25">
      <c r="A82" s="32" t="s">
        <v>505</v>
      </c>
      <c r="B82" s="32" t="s">
        <v>506</v>
      </c>
      <c r="C82" s="32" t="s">
        <v>100</v>
      </c>
      <c r="D82" s="29" t="s">
        <v>507</v>
      </c>
      <c r="E82" s="32" t="s">
        <v>508</v>
      </c>
      <c r="F82" s="32"/>
      <c r="G82" s="32" t="s">
        <v>509</v>
      </c>
      <c r="H82" s="32"/>
      <c r="I82" s="32"/>
      <c r="J82" s="32"/>
      <c r="K82" s="32"/>
      <c r="L82" s="32" t="s">
        <v>150</v>
      </c>
      <c r="M82" s="32" t="s">
        <v>178</v>
      </c>
      <c r="N82" s="32"/>
    </row>
    <row r="83" spans="1:14" ht="42.75" x14ac:dyDescent="0.25">
      <c r="A83" s="32" t="s">
        <v>510</v>
      </c>
      <c r="B83" s="32" t="s">
        <v>511</v>
      </c>
      <c r="C83" s="32" t="s">
        <v>100</v>
      </c>
      <c r="D83" s="29" t="s">
        <v>512</v>
      </c>
      <c r="E83" s="32" t="s">
        <v>513</v>
      </c>
      <c r="F83" s="32"/>
      <c r="G83" s="32"/>
      <c r="H83" s="32"/>
      <c r="I83" s="32"/>
      <c r="J83" s="32"/>
      <c r="K83" s="32"/>
      <c r="L83" s="32" t="s">
        <v>150</v>
      </c>
      <c r="M83" s="32" t="s">
        <v>178</v>
      </c>
      <c r="N83" s="32"/>
    </row>
    <row r="84" spans="1:14" ht="28.5" x14ac:dyDescent="0.25">
      <c r="A84" s="32" t="s">
        <v>514</v>
      </c>
      <c r="B84" s="32" t="s">
        <v>515</v>
      </c>
      <c r="C84" s="32" t="s">
        <v>100</v>
      </c>
      <c r="D84" s="29" t="s">
        <v>516</v>
      </c>
      <c r="E84" s="32" t="s">
        <v>517</v>
      </c>
      <c r="F84" s="32"/>
      <c r="G84" s="32" t="s">
        <v>518</v>
      </c>
      <c r="H84" s="32"/>
      <c r="I84" s="32"/>
      <c r="J84" s="32"/>
      <c r="K84" s="32"/>
      <c r="L84" s="32" t="s">
        <v>150</v>
      </c>
      <c r="M84" s="32" t="s">
        <v>178</v>
      </c>
      <c r="N84" s="32"/>
    </row>
    <row r="85" spans="1:14" x14ac:dyDescent="0.25">
      <c r="A85" s="32" t="s">
        <v>519</v>
      </c>
      <c r="B85" s="32" t="s">
        <v>520</v>
      </c>
      <c r="C85" s="32" t="s">
        <v>100</v>
      </c>
      <c r="D85" s="29" t="s">
        <v>521</v>
      </c>
      <c r="E85" s="32" t="s">
        <v>522</v>
      </c>
      <c r="F85" s="32"/>
      <c r="G85" s="32"/>
      <c r="H85" s="32"/>
      <c r="I85" s="32"/>
      <c r="J85" s="32"/>
      <c r="K85" s="32"/>
      <c r="L85" s="32" t="s">
        <v>150</v>
      </c>
      <c r="M85" s="32" t="s">
        <v>178</v>
      </c>
      <c r="N85" s="32"/>
    </row>
    <row r="86" spans="1:14" ht="28.5" x14ac:dyDescent="0.25">
      <c r="A86" s="32" t="s">
        <v>523</v>
      </c>
      <c r="B86" s="32" t="s">
        <v>524</v>
      </c>
      <c r="C86" s="32" t="s">
        <v>100</v>
      </c>
      <c r="D86" s="29" t="s">
        <v>525</v>
      </c>
      <c r="E86" s="32"/>
      <c r="F86" s="32"/>
      <c r="G86" s="32"/>
      <c r="H86" s="32"/>
      <c r="I86" s="32"/>
      <c r="J86" s="32"/>
      <c r="K86" s="32"/>
      <c r="L86" s="32" t="s">
        <v>150</v>
      </c>
      <c r="M86" s="32" t="s">
        <v>178</v>
      </c>
      <c r="N86" s="32"/>
    </row>
    <row r="87" spans="1:14" ht="42.75" x14ac:dyDescent="0.25">
      <c r="A87" s="32" t="s">
        <v>526</v>
      </c>
      <c r="B87" s="32" t="s">
        <v>460</v>
      </c>
      <c r="C87" s="32" t="s">
        <v>101</v>
      </c>
      <c r="D87" s="29" t="s">
        <v>527</v>
      </c>
      <c r="E87" s="32" t="s">
        <v>462</v>
      </c>
      <c r="F87" s="32"/>
      <c r="G87" s="32"/>
      <c r="H87" s="32"/>
      <c r="I87" s="32"/>
      <c r="J87" s="32"/>
      <c r="K87" s="32"/>
      <c r="L87" s="32" t="s">
        <v>150</v>
      </c>
      <c r="M87" s="32" t="s">
        <v>178</v>
      </c>
      <c r="N87" s="32"/>
    </row>
    <row r="88" spans="1:14" ht="28.5" x14ac:dyDescent="0.25">
      <c r="A88" s="32" t="s">
        <v>528</v>
      </c>
      <c r="B88" s="32" t="s">
        <v>529</v>
      </c>
      <c r="C88" s="32" t="s">
        <v>101</v>
      </c>
      <c r="D88" s="29" t="s">
        <v>530</v>
      </c>
      <c r="E88" s="32" t="s">
        <v>531</v>
      </c>
      <c r="F88" s="32"/>
      <c r="G88" s="32"/>
      <c r="H88" s="32"/>
      <c r="I88" s="32"/>
      <c r="J88" s="32"/>
      <c r="K88" s="32"/>
      <c r="L88" s="32" t="s">
        <v>150</v>
      </c>
      <c r="M88" s="32" t="s">
        <v>178</v>
      </c>
      <c r="N88" s="32"/>
    </row>
    <row r="89" spans="1:14" ht="42.75" x14ac:dyDescent="0.25">
      <c r="A89" s="32" t="s">
        <v>532</v>
      </c>
      <c r="B89" s="32" t="s">
        <v>533</v>
      </c>
      <c r="C89" s="32" t="s">
        <v>101</v>
      </c>
      <c r="D89" s="29" t="s">
        <v>534</v>
      </c>
      <c r="E89" s="32" t="s">
        <v>535</v>
      </c>
      <c r="F89" s="32"/>
      <c r="G89" s="32"/>
      <c r="H89" s="32"/>
      <c r="I89" s="32"/>
      <c r="J89" s="32"/>
      <c r="K89" s="32"/>
      <c r="L89" s="32" t="s">
        <v>150</v>
      </c>
      <c r="M89" s="32" t="s">
        <v>178</v>
      </c>
      <c r="N89" s="32"/>
    </row>
    <row r="90" spans="1:14" ht="42.75" x14ac:dyDescent="0.25">
      <c r="A90" s="32" t="s">
        <v>536</v>
      </c>
      <c r="B90" s="32" t="s">
        <v>537</v>
      </c>
      <c r="C90" s="32" t="s">
        <v>101</v>
      </c>
      <c r="D90" s="29" t="s">
        <v>538</v>
      </c>
      <c r="E90" s="32" t="s">
        <v>539</v>
      </c>
      <c r="F90" s="32" t="s">
        <v>540</v>
      </c>
      <c r="G90" s="32"/>
      <c r="H90" s="32"/>
      <c r="I90" s="32"/>
      <c r="J90" s="32"/>
      <c r="K90" s="32"/>
      <c r="L90" s="32" t="s">
        <v>150</v>
      </c>
      <c r="M90" s="32" t="s">
        <v>178</v>
      </c>
      <c r="N90" s="32"/>
    </row>
    <row r="91" spans="1:14" ht="42.75" x14ac:dyDescent="0.25">
      <c r="A91" s="32" t="s">
        <v>541</v>
      </c>
      <c r="B91" s="32" t="s">
        <v>542</v>
      </c>
      <c r="C91" s="32" t="s">
        <v>101</v>
      </c>
      <c r="D91" s="29" t="s">
        <v>543</v>
      </c>
      <c r="E91" s="32" t="s">
        <v>544</v>
      </c>
      <c r="F91" s="32"/>
      <c r="G91" s="32" t="s">
        <v>545</v>
      </c>
      <c r="H91" s="32"/>
      <c r="I91" s="32"/>
      <c r="J91" s="32"/>
      <c r="K91" s="32"/>
      <c r="L91" s="32" t="s">
        <v>150</v>
      </c>
      <c r="M91" s="32" t="s">
        <v>178</v>
      </c>
      <c r="N91" s="32"/>
    </row>
    <row r="92" spans="1:14" ht="57" x14ac:dyDescent="0.25">
      <c r="A92" s="32" t="s">
        <v>546</v>
      </c>
      <c r="B92" s="32" t="s">
        <v>547</v>
      </c>
      <c r="C92" s="32" t="s">
        <v>101</v>
      </c>
      <c r="D92" s="29" t="s">
        <v>548</v>
      </c>
      <c r="E92" s="32" t="s">
        <v>549</v>
      </c>
      <c r="F92" s="32"/>
      <c r="G92" s="32"/>
      <c r="H92" s="32"/>
      <c r="I92" s="32"/>
      <c r="J92" s="32"/>
      <c r="K92" s="32"/>
      <c r="L92" s="32" t="s">
        <v>150</v>
      </c>
      <c r="M92" s="32" t="s">
        <v>178</v>
      </c>
      <c r="N92" s="32"/>
    </row>
    <row r="93" spans="1:14" ht="42.75" x14ac:dyDescent="0.25">
      <c r="A93" s="32" t="s">
        <v>550</v>
      </c>
      <c r="B93" s="32" t="s">
        <v>551</v>
      </c>
      <c r="C93" s="32" t="s">
        <v>101</v>
      </c>
      <c r="D93" s="29" t="s">
        <v>552</v>
      </c>
      <c r="E93" s="32" t="s">
        <v>553</v>
      </c>
      <c r="F93" s="32"/>
      <c r="G93" s="32"/>
      <c r="H93" s="32"/>
      <c r="I93" s="32"/>
      <c r="J93" s="32"/>
      <c r="K93" s="32"/>
      <c r="L93" s="32" t="s">
        <v>150</v>
      </c>
      <c r="M93" s="32" t="s">
        <v>178</v>
      </c>
      <c r="N93" s="32"/>
    </row>
    <row r="94" spans="1:14" ht="42.75" x14ac:dyDescent="0.25">
      <c r="A94" s="32" t="s">
        <v>554</v>
      </c>
      <c r="B94" s="32" t="s">
        <v>555</v>
      </c>
      <c r="C94" s="32" t="s">
        <v>102</v>
      </c>
      <c r="D94" s="29" t="s">
        <v>556</v>
      </c>
      <c r="E94" s="32" t="s">
        <v>557</v>
      </c>
      <c r="F94" s="32" t="s">
        <v>558</v>
      </c>
      <c r="G94" s="32" t="s">
        <v>559</v>
      </c>
      <c r="H94" s="32"/>
      <c r="I94" s="32"/>
      <c r="J94" s="32"/>
      <c r="K94" s="32"/>
      <c r="L94" s="32" t="s">
        <v>150</v>
      </c>
      <c r="M94" s="32" t="s">
        <v>178</v>
      </c>
      <c r="N94" s="32"/>
    </row>
    <row r="95" spans="1:14" ht="28.5" x14ac:dyDescent="0.25">
      <c r="A95" s="32" t="s">
        <v>560</v>
      </c>
      <c r="B95" s="32" t="s">
        <v>561</v>
      </c>
      <c r="C95" s="32" t="s">
        <v>102</v>
      </c>
      <c r="D95" s="29" t="s">
        <v>562</v>
      </c>
      <c r="E95" s="32" t="s">
        <v>563</v>
      </c>
      <c r="F95" s="32" t="s">
        <v>564</v>
      </c>
      <c r="G95" s="32" t="s">
        <v>565</v>
      </c>
      <c r="H95" s="32"/>
      <c r="I95" s="32"/>
      <c r="J95" s="32"/>
      <c r="K95" s="32"/>
      <c r="L95" s="32" t="s">
        <v>150</v>
      </c>
      <c r="M95" s="32" t="s">
        <v>178</v>
      </c>
      <c r="N95" s="32"/>
    </row>
    <row r="96" spans="1:14" ht="42.75" x14ac:dyDescent="0.25">
      <c r="A96" s="32" t="s">
        <v>566</v>
      </c>
      <c r="B96" s="32" t="s">
        <v>567</v>
      </c>
      <c r="C96" s="32" t="s">
        <v>102</v>
      </c>
      <c r="D96" s="29" t="s">
        <v>568</v>
      </c>
      <c r="E96" s="32" t="s">
        <v>569</v>
      </c>
      <c r="F96" s="32" t="s">
        <v>570</v>
      </c>
      <c r="G96" s="32" t="s">
        <v>571</v>
      </c>
      <c r="H96" s="32"/>
      <c r="I96" s="32"/>
      <c r="J96" s="32"/>
      <c r="K96" s="32"/>
      <c r="L96" s="32" t="s">
        <v>150</v>
      </c>
      <c r="M96" s="32" t="s">
        <v>178</v>
      </c>
      <c r="N96" s="32"/>
    </row>
    <row r="97" spans="1:14" ht="28.5" x14ac:dyDescent="0.25">
      <c r="A97" s="32" t="s">
        <v>572</v>
      </c>
      <c r="B97" s="32" t="s">
        <v>245</v>
      </c>
      <c r="C97" s="32" t="s">
        <v>102</v>
      </c>
      <c r="D97" s="29" t="s">
        <v>573</v>
      </c>
      <c r="E97" s="32" t="s">
        <v>377</v>
      </c>
      <c r="F97" s="32" t="s">
        <v>378</v>
      </c>
      <c r="G97" s="32" t="s">
        <v>248</v>
      </c>
      <c r="H97" s="32"/>
      <c r="I97" s="32"/>
      <c r="J97" s="32"/>
      <c r="K97" s="32"/>
      <c r="L97" s="32" t="s">
        <v>150</v>
      </c>
      <c r="M97" s="32" t="s">
        <v>178</v>
      </c>
      <c r="N97" s="32"/>
    </row>
    <row r="98" spans="1:14" ht="42.75" x14ac:dyDescent="0.25">
      <c r="A98" s="32" t="s">
        <v>574</v>
      </c>
      <c r="B98" s="32" t="s">
        <v>575</v>
      </c>
      <c r="C98" s="32" t="s">
        <v>102</v>
      </c>
      <c r="D98" s="29" t="s">
        <v>576</v>
      </c>
      <c r="E98" s="32" t="s">
        <v>577</v>
      </c>
      <c r="F98" s="32" t="s">
        <v>578</v>
      </c>
      <c r="G98" s="32" t="s">
        <v>579</v>
      </c>
      <c r="H98" s="32"/>
      <c r="I98" s="32"/>
      <c r="J98" s="32"/>
      <c r="K98" s="32"/>
      <c r="L98" s="32" t="s">
        <v>150</v>
      </c>
      <c r="M98" s="32" t="s">
        <v>178</v>
      </c>
      <c r="N98" s="32"/>
    </row>
    <row r="99" spans="1:14" ht="28.5" x14ac:dyDescent="0.25">
      <c r="A99" s="32" t="s">
        <v>580</v>
      </c>
      <c r="B99" s="32" t="s">
        <v>581</v>
      </c>
      <c r="C99" s="32" t="s">
        <v>102</v>
      </c>
      <c r="D99" s="29" t="s">
        <v>582</v>
      </c>
      <c r="E99" s="32" t="s">
        <v>583</v>
      </c>
      <c r="F99" s="32" t="s">
        <v>584</v>
      </c>
      <c r="G99" s="32" t="s">
        <v>585</v>
      </c>
      <c r="H99" s="32"/>
      <c r="I99" s="32"/>
      <c r="J99" s="32"/>
      <c r="K99" s="32"/>
      <c r="L99" s="32" t="s">
        <v>150</v>
      </c>
      <c r="M99" s="32" t="s">
        <v>178</v>
      </c>
      <c r="N99" s="32"/>
    </row>
    <row r="100" spans="1:14" ht="28.5" x14ac:dyDescent="0.25">
      <c r="A100" s="32" t="s">
        <v>586</v>
      </c>
      <c r="B100" s="32" t="s">
        <v>587</v>
      </c>
      <c r="C100" s="32" t="s">
        <v>102</v>
      </c>
      <c r="D100" s="29" t="s">
        <v>588</v>
      </c>
      <c r="E100" s="32" t="s">
        <v>589</v>
      </c>
      <c r="F100" s="32" t="s">
        <v>590</v>
      </c>
      <c r="G100" s="32" t="s">
        <v>591</v>
      </c>
      <c r="H100" s="32"/>
      <c r="I100" s="32"/>
      <c r="J100" s="32"/>
      <c r="K100" s="32"/>
      <c r="L100" s="32" t="s">
        <v>150</v>
      </c>
      <c r="M100" s="32" t="s">
        <v>178</v>
      </c>
      <c r="N100" s="32"/>
    </row>
    <row r="101" spans="1:14" ht="42.75" x14ac:dyDescent="0.25">
      <c r="A101" s="32" t="s">
        <v>592</v>
      </c>
      <c r="B101" s="32" t="s">
        <v>593</v>
      </c>
      <c r="C101" s="32" t="s">
        <v>102</v>
      </c>
      <c r="D101" s="29" t="s">
        <v>594</v>
      </c>
      <c r="E101" s="32" t="s">
        <v>595</v>
      </c>
      <c r="F101" s="32"/>
      <c r="G101" s="32"/>
      <c r="H101" s="32"/>
      <c r="I101" s="32"/>
      <c r="J101" s="32"/>
      <c r="K101" s="32"/>
      <c r="L101" s="32" t="s">
        <v>150</v>
      </c>
      <c r="M101" s="32" t="s">
        <v>178</v>
      </c>
      <c r="N101" s="32"/>
    </row>
    <row r="102" spans="1:14" ht="42.75" x14ac:dyDescent="0.25">
      <c r="A102" s="32" t="s">
        <v>596</v>
      </c>
      <c r="B102" s="32" t="s">
        <v>597</v>
      </c>
      <c r="C102" s="32" t="s">
        <v>103</v>
      </c>
      <c r="D102" s="29" t="s">
        <v>598</v>
      </c>
      <c r="E102" s="32" t="s">
        <v>599</v>
      </c>
      <c r="F102" s="32"/>
      <c r="G102" s="32" t="s">
        <v>600</v>
      </c>
      <c r="H102" s="32"/>
      <c r="I102" s="32"/>
      <c r="J102" s="32"/>
      <c r="K102" s="32"/>
      <c r="L102" s="32" t="s">
        <v>150</v>
      </c>
      <c r="M102" s="32" t="s">
        <v>178</v>
      </c>
      <c r="N102" s="32"/>
    </row>
    <row r="103" spans="1:14" ht="42.75" x14ac:dyDescent="0.25">
      <c r="A103" s="32" t="s">
        <v>601</v>
      </c>
      <c r="B103" s="32" t="s">
        <v>602</v>
      </c>
      <c r="C103" s="32" t="s">
        <v>103</v>
      </c>
      <c r="D103" s="29" t="s">
        <v>603</v>
      </c>
      <c r="E103" s="32" t="s">
        <v>424</v>
      </c>
      <c r="F103" s="32"/>
      <c r="G103" s="32" t="s">
        <v>604</v>
      </c>
      <c r="H103" s="32"/>
      <c r="I103" s="32"/>
      <c r="J103" s="32"/>
      <c r="K103" s="32"/>
      <c r="L103" s="32" t="s">
        <v>150</v>
      </c>
      <c r="M103" s="32" t="s">
        <v>178</v>
      </c>
      <c r="N103" s="32"/>
    </row>
    <row r="104" spans="1:14" ht="42.75" x14ac:dyDescent="0.25">
      <c r="A104" s="32" t="s">
        <v>605</v>
      </c>
      <c r="B104" s="32" t="s">
        <v>606</v>
      </c>
      <c r="C104" s="32" t="s">
        <v>103</v>
      </c>
      <c r="D104" s="29" t="s">
        <v>607</v>
      </c>
      <c r="E104" s="32" t="s">
        <v>608</v>
      </c>
      <c r="F104" s="32" t="s">
        <v>609</v>
      </c>
      <c r="G104" s="32" t="s">
        <v>610</v>
      </c>
      <c r="H104" s="32"/>
      <c r="I104" s="32"/>
      <c r="J104" s="32"/>
      <c r="K104" s="32"/>
      <c r="L104" s="32" t="s">
        <v>150</v>
      </c>
      <c r="M104" s="32" t="s">
        <v>178</v>
      </c>
      <c r="N104" s="32"/>
    </row>
    <row r="105" spans="1:14" ht="42.75" x14ac:dyDescent="0.25">
      <c r="A105" s="32" t="s">
        <v>611</v>
      </c>
      <c r="B105" s="32" t="s">
        <v>612</v>
      </c>
      <c r="C105" s="32" t="s">
        <v>103</v>
      </c>
      <c r="D105" s="29" t="s">
        <v>613</v>
      </c>
      <c r="E105" s="32" t="s">
        <v>614</v>
      </c>
      <c r="F105" s="32" t="s">
        <v>615</v>
      </c>
      <c r="G105" s="32" t="s">
        <v>616</v>
      </c>
      <c r="H105" s="32"/>
      <c r="I105" s="32"/>
      <c r="J105" s="32"/>
      <c r="K105" s="32"/>
      <c r="L105" s="32" t="s">
        <v>150</v>
      </c>
      <c r="M105" s="32" t="s">
        <v>178</v>
      </c>
      <c r="N105" s="32"/>
    </row>
    <row r="106" spans="1:14" ht="57" x14ac:dyDescent="0.25">
      <c r="A106" s="32" t="s">
        <v>617</v>
      </c>
      <c r="B106" s="32" t="s">
        <v>618</v>
      </c>
      <c r="C106" s="32" t="s">
        <v>103</v>
      </c>
      <c r="D106" s="29" t="s">
        <v>619</v>
      </c>
      <c r="E106" s="32" t="s">
        <v>620</v>
      </c>
      <c r="F106" s="32" t="s">
        <v>621</v>
      </c>
      <c r="G106" s="32" t="s">
        <v>622</v>
      </c>
      <c r="H106" s="32"/>
      <c r="I106" s="32"/>
      <c r="J106" s="32"/>
      <c r="K106" s="32"/>
      <c r="L106" s="32" t="s">
        <v>150</v>
      </c>
      <c r="M106" s="32" t="s">
        <v>178</v>
      </c>
      <c r="N106" s="32"/>
    </row>
    <row r="107" spans="1:14" ht="42.75" x14ac:dyDescent="0.25">
      <c r="A107" s="32" t="s">
        <v>623</v>
      </c>
      <c r="B107" s="32" t="s">
        <v>624</v>
      </c>
      <c r="C107" s="32" t="s">
        <v>103</v>
      </c>
      <c r="D107" s="29" t="s">
        <v>625</v>
      </c>
      <c r="E107" s="32" t="s">
        <v>626</v>
      </c>
      <c r="F107" s="32" t="s">
        <v>627</v>
      </c>
      <c r="G107" s="32" t="s">
        <v>628</v>
      </c>
      <c r="H107" s="32"/>
      <c r="I107" s="32"/>
      <c r="J107" s="32"/>
      <c r="K107" s="32"/>
      <c r="L107" s="32" t="s">
        <v>150</v>
      </c>
      <c r="M107" s="32" t="s">
        <v>178</v>
      </c>
      <c r="N107" s="32"/>
    </row>
    <row r="108" spans="1:14" ht="42.75" x14ac:dyDescent="0.25">
      <c r="A108" s="32" t="s">
        <v>629</v>
      </c>
      <c r="B108" s="32" t="s">
        <v>630</v>
      </c>
      <c r="C108" s="32" t="s">
        <v>103</v>
      </c>
      <c r="D108" s="29" t="s">
        <v>631</v>
      </c>
      <c r="E108" s="32" t="s">
        <v>632</v>
      </c>
      <c r="F108" s="32" t="s">
        <v>633</v>
      </c>
      <c r="G108" s="32" t="s">
        <v>634</v>
      </c>
      <c r="H108" s="32"/>
      <c r="I108" s="32"/>
      <c r="J108" s="32"/>
      <c r="K108" s="32"/>
      <c r="L108" s="32" t="s">
        <v>150</v>
      </c>
      <c r="M108" s="32" t="s">
        <v>178</v>
      </c>
      <c r="N108" s="32"/>
    </row>
    <row r="109" spans="1:14" ht="42.75" x14ac:dyDescent="0.25">
      <c r="A109" s="32" t="s">
        <v>635</v>
      </c>
      <c r="B109" s="32" t="s">
        <v>636</v>
      </c>
      <c r="C109" s="32" t="s">
        <v>103</v>
      </c>
      <c r="D109" s="29" t="s">
        <v>637</v>
      </c>
      <c r="E109" s="32" t="s">
        <v>638</v>
      </c>
      <c r="F109" s="32"/>
      <c r="G109" s="32" t="s">
        <v>639</v>
      </c>
      <c r="H109" s="32"/>
      <c r="I109" s="32"/>
      <c r="J109" s="32"/>
      <c r="K109" s="32"/>
      <c r="L109" s="32" t="s">
        <v>150</v>
      </c>
      <c r="M109" s="32" t="s">
        <v>178</v>
      </c>
      <c r="N109" s="32"/>
    </row>
    <row r="110" spans="1:14" ht="42.75" x14ac:dyDescent="0.25">
      <c r="A110" s="32" t="s">
        <v>640</v>
      </c>
      <c r="B110" s="32" t="s">
        <v>641</v>
      </c>
      <c r="C110" s="32" t="s">
        <v>103</v>
      </c>
      <c r="D110" s="29" t="s">
        <v>642</v>
      </c>
      <c r="E110" s="32" t="s">
        <v>643</v>
      </c>
      <c r="F110" s="32"/>
      <c r="G110" s="32" t="s">
        <v>644</v>
      </c>
      <c r="H110" s="32"/>
      <c r="I110" s="32"/>
      <c r="J110" s="32"/>
      <c r="K110" s="32"/>
      <c r="L110" s="32" t="s">
        <v>150</v>
      </c>
      <c r="M110" s="32" t="s">
        <v>178</v>
      </c>
      <c r="N110" s="32"/>
    </row>
    <row r="111" spans="1:14" ht="28.5" x14ac:dyDescent="0.25">
      <c r="A111" s="32" t="s">
        <v>645</v>
      </c>
      <c r="B111" s="32" t="s">
        <v>646</v>
      </c>
      <c r="C111" s="32" t="s">
        <v>103</v>
      </c>
      <c r="D111" s="29" t="s">
        <v>647</v>
      </c>
      <c r="E111" s="32" t="s">
        <v>648</v>
      </c>
      <c r="F111" s="32"/>
      <c r="G111" s="32"/>
      <c r="H111" s="32"/>
      <c r="I111" s="32"/>
      <c r="J111" s="32"/>
      <c r="K111" s="32"/>
      <c r="L111" s="32" t="s">
        <v>150</v>
      </c>
      <c r="M111" s="32" t="s">
        <v>178</v>
      </c>
      <c r="N111" s="32"/>
    </row>
    <row r="112" spans="1:14" ht="42.75" x14ac:dyDescent="0.25">
      <c r="A112" s="32" t="s">
        <v>649</v>
      </c>
      <c r="B112" s="32" t="s">
        <v>650</v>
      </c>
      <c r="C112" s="32" t="s">
        <v>103</v>
      </c>
      <c r="D112" s="29" t="s">
        <v>651</v>
      </c>
      <c r="E112" s="32" t="s">
        <v>652</v>
      </c>
      <c r="F112" s="32" t="s">
        <v>653</v>
      </c>
      <c r="G112" s="32" t="s">
        <v>654</v>
      </c>
      <c r="H112" s="32"/>
      <c r="I112" s="32"/>
      <c r="J112" s="32"/>
      <c r="K112" s="32"/>
      <c r="L112" s="32" t="s">
        <v>150</v>
      </c>
      <c r="M112" s="32" t="s">
        <v>178</v>
      </c>
      <c r="N112" s="32"/>
    </row>
    <row r="113" spans="1:14" ht="57" x14ac:dyDescent="0.25">
      <c r="A113" s="32" t="s">
        <v>655</v>
      </c>
      <c r="B113" s="32" t="s">
        <v>656</v>
      </c>
      <c r="C113" s="32" t="s">
        <v>103</v>
      </c>
      <c r="D113" s="29" t="s">
        <v>657</v>
      </c>
      <c r="E113" s="32" t="s">
        <v>658</v>
      </c>
      <c r="F113" s="32" t="s">
        <v>659</v>
      </c>
      <c r="G113" s="32" t="s">
        <v>660</v>
      </c>
      <c r="H113" s="32"/>
      <c r="I113" s="32"/>
      <c r="J113" s="32"/>
      <c r="K113" s="32"/>
      <c r="L113" s="32" t="s">
        <v>150</v>
      </c>
      <c r="M113" s="32" t="s">
        <v>178</v>
      </c>
      <c r="N113" s="32"/>
    </row>
    <row r="114" spans="1:14" x14ac:dyDescent="0.25">
      <c r="A114" s="21"/>
      <c r="B114" s="21"/>
      <c r="C114" s="21"/>
      <c r="D114" s="21"/>
      <c r="E114" s="21"/>
      <c r="F114" s="21"/>
      <c r="G114" s="21"/>
      <c r="H114" s="21"/>
      <c r="I114" s="21"/>
      <c r="J114" s="21"/>
      <c r="K114" s="21"/>
      <c r="L114" s="21"/>
      <c r="M114" s="21"/>
      <c r="N114" s="21"/>
    </row>
    <row r="115" spans="1:14" x14ac:dyDescent="0.25">
      <c r="A115" s="21"/>
      <c r="B115" s="21"/>
      <c r="C115" s="21"/>
      <c r="D115" s="21"/>
      <c r="E115" s="21"/>
      <c r="F115" s="21"/>
      <c r="G115" s="21"/>
      <c r="H115" s="21"/>
      <c r="I115" s="21"/>
      <c r="J115" s="21"/>
      <c r="K115" s="21"/>
      <c r="L115" s="21"/>
      <c r="M115" s="21"/>
      <c r="N115" s="21"/>
    </row>
    <row r="116" spans="1:14" x14ac:dyDescent="0.25">
      <c r="A116" s="21"/>
      <c r="B116" s="21"/>
      <c r="C116" s="21"/>
      <c r="D116" s="21"/>
      <c r="E116" s="21"/>
      <c r="F116" s="21"/>
      <c r="G116" s="21"/>
      <c r="H116" s="21"/>
      <c r="I116" s="21"/>
      <c r="J116" s="21"/>
      <c r="K116" s="21"/>
      <c r="L116" s="21"/>
      <c r="M116" s="21"/>
      <c r="N116" s="21"/>
    </row>
    <row r="117" spans="1:14" x14ac:dyDescent="0.25">
      <c r="A117" s="21"/>
      <c r="B117" s="21"/>
      <c r="C117" s="21"/>
      <c r="D117" s="21"/>
      <c r="E117" s="21"/>
      <c r="F117" s="21"/>
      <c r="G117" s="21"/>
      <c r="H117" s="21"/>
      <c r="I117" s="21"/>
      <c r="J117" s="21"/>
      <c r="K117" s="21"/>
      <c r="L117" s="21"/>
      <c r="M117" s="21"/>
      <c r="N117" s="21"/>
    </row>
    <row r="118" spans="1:14" x14ac:dyDescent="0.25">
      <c r="A118" s="21"/>
      <c r="B118" s="21"/>
      <c r="C118" s="21"/>
      <c r="D118" s="21"/>
      <c r="E118" s="21"/>
      <c r="F118" s="21"/>
      <c r="G118" s="21"/>
      <c r="H118" s="21"/>
      <c r="I118" s="21"/>
      <c r="J118" s="21"/>
      <c r="K118" s="21"/>
      <c r="L118" s="21"/>
      <c r="M118" s="21"/>
      <c r="N118" s="21"/>
    </row>
    <row r="119" spans="1:14" x14ac:dyDescent="0.25">
      <c r="A119" s="21"/>
      <c r="B119" s="21"/>
      <c r="C119" s="21"/>
      <c r="D119" s="21"/>
      <c r="E119" s="21"/>
      <c r="F119" s="21"/>
      <c r="G119" s="21"/>
      <c r="H119" s="21"/>
      <c r="I119" s="21"/>
      <c r="J119" s="21"/>
      <c r="K119" s="21"/>
      <c r="L119" s="21"/>
      <c r="M119" s="21"/>
      <c r="N119" s="21"/>
    </row>
    <row r="120" spans="1:14" x14ac:dyDescent="0.25">
      <c r="A120" s="21"/>
      <c r="B120" s="21"/>
      <c r="C120" s="21"/>
      <c r="D120" s="21"/>
      <c r="E120" s="21"/>
      <c r="F120" s="21"/>
      <c r="G120" s="21"/>
      <c r="H120" s="21"/>
      <c r="I120" s="21"/>
      <c r="J120" s="21"/>
      <c r="K120" s="21"/>
      <c r="L120" s="21"/>
      <c r="M120" s="21"/>
      <c r="N120" s="21"/>
    </row>
    <row r="121" spans="1:14" x14ac:dyDescent="0.25">
      <c r="A121" s="21"/>
      <c r="B121" s="21"/>
      <c r="C121" s="21"/>
      <c r="D121" s="21"/>
      <c r="E121" s="21"/>
      <c r="F121" s="21"/>
      <c r="G121" s="21"/>
      <c r="H121" s="21"/>
      <c r="I121" s="21"/>
      <c r="J121" s="21"/>
      <c r="K121" s="21"/>
      <c r="L121" s="21"/>
      <c r="M121" s="21"/>
      <c r="N121" s="21"/>
    </row>
    <row r="122" spans="1:14" x14ac:dyDescent="0.25">
      <c r="A122" s="21"/>
      <c r="B122" s="21"/>
      <c r="C122" s="21"/>
      <c r="D122" s="21"/>
      <c r="E122" s="21"/>
      <c r="F122" s="21"/>
      <c r="G122" s="21"/>
      <c r="H122" s="21"/>
      <c r="I122" s="21"/>
      <c r="J122" s="21"/>
      <c r="K122" s="21"/>
      <c r="L122" s="21"/>
      <c r="M122" s="21"/>
      <c r="N122" s="21"/>
    </row>
    <row r="123" spans="1:14" x14ac:dyDescent="0.25">
      <c r="A123" s="21"/>
      <c r="B123" s="21"/>
      <c r="C123" s="21"/>
      <c r="D123" s="21"/>
      <c r="E123" s="21"/>
      <c r="F123" s="21"/>
      <c r="G123" s="21"/>
      <c r="H123" s="21"/>
      <c r="I123" s="21"/>
      <c r="J123" s="21"/>
      <c r="K123" s="21"/>
      <c r="L123" s="21"/>
      <c r="M123" s="21"/>
      <c r="N123" s="21"/>
    </row>
    <row r="124" spans="1:14" x14ac:dyDescent="0.25">
      <c r="A124" s="21"/>
      <c r="B124" s="21"/>
      <c r="C124" s="21"/>
      <c r="D124" s="21"/>
      <c r="E124" s="21"/>
      <c r="F124" s="21"/>
      <c r="G124" s="21"/>
      <c r="H124" s="21"/>
      <c r="I124" s="21"/>
      <c r="J124" s="21"/>
      <c r="K124" s="21"/>
      <c r="L124" s="21"/>
      <c r="M124" s="21"/>
      <c r="N124" s="21"/>
    </row>
    <row r="125" spans="1:14" x14ac:dyDescent="0.25">
      <c r="A125" s="21"/>
      <c r="B125" s="21"/>
      <c r="C125" s="21"/>
      <c r="D125" s="21"/>
      <c r="E125" s="21"/>
      <c r="F125" s="21"/>
      <c r="G125" s="21"/>
      <c r="H125" s="21"/>
      <c r="I125" s="21"/>
      <c r="J125" s="21"/>
      <c r="K125" s="21"/>
      <c r="L125" s="21"/>
      <c r="M125" s="21"/>
      <c r="N125" s="21"/>
    </row>
    <row r="126" spans="1:14" x14ac:dyDescent="0.25">
      <c r="A126" s="21"/>
      <c r="B126" s="21"/>
      <c r="C126" s="21"/>
      <c r="D126" s="21"/>
      <c r="E126" s="21"/>
      <c r="F126" s="21"/>
      <c r="G126" s="21"/>
      <c r="H126" s="21"/>
      <c r="I126" s="21"/>
      <c r="J126" s="21"/>
      <c r="K126" s="21"/>
      <c r="L126" s="21"/>
      <c r="M126" s="21"/>
      <c r="N126" s="21"/>
    </row>
    <row r="127" spans="1:14" x14ac:dyDescent="0.25">
      <c r="A127" s="21"/>
      <c r="B127" s="21"/>
      <c r="C127" s="21"/>
      <c r="D127" s="21"/>
      <c r="E127" s="21"/>
      <c r="F127" s="21"/>
      <c r="G127" s="21"/>
      <c r="H127" s="21"/>
      <c r="I127" s="21"/>
      <c r="J127" s="21"/>
      <c r="K127" s="21"/>
      <c r="L127" s="21"/>
      <c r="M127" s="21"/>
      <c r="N127" s="21"/>
    </row>
    <row r="128" spans="1:14" x14ac:dyDescent="0.25">
      <c r="A128" s="21"/>
      <c r="B128" s="21"/>
      <c r="C128" s="21"/>
      <c r="D128" s="21"/>
      <c r="E128" s="21"/>
      <c r="F128" s="21"/>
      <c r="G128" s="21"/>
      <c r="H128" s="21"/>
      <c r="I128" s="21"/>
      <c r="J128" s="21"/>
      <c r="K128" s="21"/>
      <c r="L128" s="21"/>
      <c r="M128" s="21"/>
      <c r="N128" s="21"/>
    </row>
    <row r="129" spans="1:14" x14ac:dyDescent="0.25">
      <c r="A129" s="21"/>
      <c r="B129" s="21"/>
      <c r="C129" s="21"/>
      <c r="D129" s="21"/>
      <c r="E129" s="21"/>
      <c r="F129" s="21"/>
      <c r="G129" s="21"/>
      <c r="H129" s="21"/>
      <c r="I129" s="21"/>
      <c r="J129" s="21"/>
      <c r="K129" s="21"/>
      <c r="L129" s="21"/>
      <c r="M129" s="21"/>
      <c r="N129" s="21"/>
    </row>
    <row r="130" spans="1:14" x14ac:dyDescent="0.25">
      <c r="A130" s="21"/>
      <c r="B130" s="21"/>
      <c r="C130" s="21"/>
      <c r="D130" s="21"/>
      <c r="E130" s="21"/>
      <c r="F130" s="21"/>
      <c r="G130" s="21"/>
      <c r="H130" s="21"/>
      <c r="I130" s="21"/>
      <c r="J130" s="21"/>
      <c r="K130" s="21"/>
      <c r="L130" s="21"/>
      <c r="M130" s="21"/>
      <c r="N130" s="21"/>
    </row>
    <row r="131" spans="1:14" x14ac:dyDescent="0.25">
      <c r="A131" s="21"/>
      <c r="B131" s="21"/>
      <c r="C131" s="21"/>
      <c r="D131" s="21"/>
      <c r="E131" s="21"/>
      <c r="F131" s="21"/>
      <c r="G131" s="21"/>
      <c r="H131" s="21"/>
      <c r="I131" s="21"/>
      <c r="J131" s="21"/>
      <c r="K131" s="21"/>
      <c r="L131" s="21"/>
      <c r="M131" s="21"/>
      <c r="N131" s="21"/>
    </row>
    <row r="132" spans="1:14" x14ac:dyDescent="0.25">
      <c r="A132" s="21"/>
      <c r="B132" s="21"/>
      <c r="C132" s="21"/>
      <c r="D132" s="21"/>
      <c r="E132" s="21"/>
      <c r="F132" s="21"/>
      <c r="G132" s="21"/>
      <c r="H132" s="21"/>
      <c r="I132" s="21"/>
      <c r="J132" s="21"/>
      <c r="K132" s="21"/>
      <c r="L132" s="21"/>
      <c r="M132" s="21"/>
      <c r="N132" s="21"/>
    </row>
    <row r="133" spans="1:14" x14ac:dyDescent="0.25">
      <c r="A133" s="21"/>
      <c r="B133" s="21"/>
      <c r="C133" s="21"/>
      <c r="D133" s="21"/>
      <c r="E133" s="21"/>
      <c r="F133" s="21"/>
      <c r="G133" s="21"/>
      <c r="H133" s="21"/>
      <c r="I133" s="21"/>
      <c r="J133" s="21"/>
      <c r="K133" s="21"/>
      <c r="L133" s="21"/>
      <c r="M133" s="21"/>
      <c r="N133" s="21"/>
    </row>
    <row r="134" spans="1:14" x14ac:dyDescent="0.25">
      <c r="A134" s="21"/>
      <c r="B134" s="21"/>
      <c r="C134" s="21"/>
      <c r="D134" s="21"/>
      <c r="E134" s="21"/>
      <c r="F134" s="21"/>
      <c r="G134" s="21"/>
      <c r="H134" s="21"/>
      <c r="I134" s="21"/>
      <c r="J134" s="21"/>
      <c r="K134" s="21"/>
      <c r="L134" s="21"/>
      <c r="M134" s="21"/>
      <c r="N134" s="21"/>
    </row>
    <row r="135" spans="1:14" x14ac:dyDescent="0.25">
      <c r="A135" s="21"/>
      <c r="B135" s="21"/>
      <c r="C135" s="21"/>
      <c r="D135" s="21"/>
      <c r="E135" s="21"/>
      <c r="F135" s="21"/>
      <c r="G135" s="21"/>
      <c r="H135" s="21"/>
      <c r="I135" s="21"/>
      <c r="J135" s="21"/>
      <c r="K135" s="21"/>
      <c r="L135" s="21"/>
      <c r="M135" s="21"/>
      <c r="N135" s="21"/>
    </row>
    <row r="136" spans="1:14" x14ac:dyDescent="0.25">
      <c r="A136" s="21"/>
      <c r="B136" s="21"/>
      <c r="C136" s="21"/>
      <c r="D136" s="21"/>
      <c r="E136" s="21"/>
      <c r="F136" s="21"/>
      <c r="G136" s="21"/>
      <c r="H136" s="21"/>
      <c r="I136" s="21"/>
      <c r="J136" s="21"/>
      <c r="K136" s="21"/>
      <c r="L136" s="21"/>
      <c r="M136" s="21"/>
      <c r="N136" s="21"/>
    </row>
    <row r="137" spans="1:14" x14ac:dyDescent="0.25">
      <c r="A137" s="21"/>
      <c r="B137" s="21"/>
      <c r="C137" s="21"/>
      <c r="D137" s="21"/>
      <c r="E137" s="21"/>
      <c r="F137" s="21"/>
      <c r="G137" s="21"/>
      <c r="H137" s="21"/>
      <c r="I137" s="21"/>
      <c r="J137" s="21"/>
      <c r="K137" s="21"/>
      <c r="L137" s="21"/>
      <c r="M137" s="21"/>
      <c r="N137" s="21"/>
    </row>
    <row r="138" spans="1:14" x14ac:dyDescent="0.25">
      <c r="A138" s="21"/>
      <c r="B138" s="21"/>
      <c r="C138" s="21"/>
      <c r="D138" s="21"/>
      <c r="E138" s="21"/>
      <c r="F138" s="21"/>
      <c r="G138" s="21"/>
      <c r="H138" s="21"/>
      <c r="I138" s="21"/>
      <c r="J138" s="21"/>
      <c r="K138" s="21"/>
      <c r="L138" s="21"/>
      <c r="M138" s="21"/>
      <c r="N138" s="21"/>
    </row>
    <row r="139" spans="1:14" x14ac:dyDescent="0.25">
      <c r="A139" s="21"/>
      <c r="B139" s="21"/>
      <c r="C139" s="21"/>
      <c r="D139" s="21"/>
      <c r="E139" s="21"/>
      <c r="F139" s="21"/>
      <c r="G139" s="21"/>
      <c r="H139" s="21"/>
      <c r="I139" s="21"/>
      <c r="J139" s="21"/>
      <c r="K139" s="21"/>
      <c r="L139" s="21"/>
      <c r="M139" s="21"/>
      <c r="N139" s="21"/>
    </row>
    <row r="140" spans="1:14" x14ac:dyDescent="0.25">
      <c r="A140" s="21"/>
      <c r="B140" s="21"/>
      <c r="C140" s="21"/>
      <c r="D140" s="21"/>
      <c r="E140" s="21"/>
      <c r="F140" s="21"/>
      <c r="G140" s="21"/>
      <c r="H140" s="21"/>
      <c r="I140" s="21"/>
      <c r="J140" s="21"/>
      <c r="K140" s="21"/>
      <c r="L140" s="21"/>
      <c r="M140" s="21"/>
      <c r="N140" s="21"/>
    </row>
    <row r="141" spans="1:14" x14ac:dyDescent="0.25">
      <c r="A141" s="21"/>
      <c r="B141" s="21"/>
      <c r="C141" s="21"/>
      <c r="D141" s="21"/>
      <c r="E141" s="21"/>
      <c r="F141" s="21"/>
      <c r="G141" s="21"/>
      <c r="H141" s="21"/>
      <c r="I141" s="21"/>
      <c r="J141" s="21"/>
      <c r="K141" s="21"/>
      <c r="L141" s="21"/>
      <c r="M141" s="21"/>
      <c r="N141" s="21"/>
    </row>
    <row r="142" spans="1:14" x14ac:dyDescent="0.25">
      <c r="A142" s="21"/>
      <c r="B142" s="21"/>
      <c r="C142" s="21"/>
      <c r="D142" s="21"/>
      <c r="E142" s="21"/>
      <c r="F142" s="21"/>
      <c r="G142" s="21"/>
      <c r="H142" s="21"/>
      <c r="I142" s="21"/>
      <c r="J142" s="21"/>
      <c r="K142" s="21"/>
      <c r="L142" s="21"/>
      <c r="M142" s="21"/>
      <c r="N142" s="21"/>
    </row>
    <row r="143" spans="1:14" x14ac:dyDescent="0.25">
      <c r="A143" s="21"/>
      <c r="B143" s="21"/>
      <c r="C143" s="21"/>
      <c r="D143" s="21"/>
      <c r="E143" s="21"/>
      <c r="F143" s="21"/>
      <c r="G143" s="21"/>
      <c r="H143" s="21"/>
      <c r="I143" s="21"/>
      <c r="J143" s="21"/>
      <c r="K143" s="21"/>
      <c r="L143" s="21"/>
      <c r="M143" s="21"/>
      <c r="N143" s="21"/>
    </row>
    <row r="144" spans="1:14" x14ac:dyDescent="0.25">
      <c r="A144" s="21"/>
      <c r="B144" s="21"/>
      <c r="C144" s="21"/>
      <c r="D144" s="21"/>
      <c r="E144" s="21"/>
      <c r="F144" s="21"/>
      <c r="G144" s="21"/>
      <c r="H144" s="21"/>
      <c r="I144" s="21"/>
      <c r="J144" s="21"/>
      <c r="K144" s="21"/>
      <c r="L144" s="21"/>
      <c r="M144" s="21"/>
      <c r="N144" s="21"/>
    </row>
    <row r="145" spans="1:14" x14ac:dyDescent="0.25">
      <c r="A145" s="21"/>
      <c r="B145" s="21"/>
      <c r="C145" s="21"/>
      <c r="D145" s="21"/>
      <c r="E145" s="21"/>
      <c r="F145" s="21"/>
      <c r="G145" s="21"/>
      <c r="H145" s="21"/>
      <c r="I145" s="21"/>
      <c r="J145" s="21"/>
      <c r="K145" s="21"/>
      <c r="L145" s="21"/>
      <c r="M145" s="21"/>
      <c r="N145" s="21"/>
    </row>
    <row r="146" spans="1:14" x14ac:dyDescent="0.25">
      <c r="A146" s="21"/>
      <c r="B146" s="21"/>
      <c r="C146" s="21"/>
      <c r="D146" s="21"/>
      <c r="E146" s="21"/>
      <c r="F146" s="21"/>
      <c r="G146" s="21"/>
      <c r="H146" s="21"/>
      <c r="I146" s="21"/>
      <c r="J146" s="21"/>
      <c r="K146" s="21"/>
      <c r="L146" s="21"/>
      <c r="M146" s="21"/>
      <c r="N146" s="21"/>
    </row>
    <row r="147" spans="1:14" x14ac:dyDescent="0.25">
      <c r="A147" s="21"/>
      <c r="B147" s="21"/>
      <c r="C147" s="21"/>
      <c r="D147" s="21"/>
      <c r="E147" s="21"/>
      <c r="F147" s="21"/>
      <c r="G147" s="21"/>
      <c r="H147" s="21"/>
      <c r="I147" s="21"/>
      <c r="J147" s="21"/>
      <c r="K147" s="21"/>
      <c r="L147" s="21"/>
      <c r="M147" s="21"/>
      <c r="N147" s="21"/>
    </row>
    <row r="148" spans="1:14" x14ac:dyDescent="0.25">
      <c r="A148" s="21"/>
      <c r="B148" s="21"/>
      <c r="C148" s="21"/>
      <c r="D148" s="21"/>
      <c r="E148" s="21"/>
      <c r="F148" s="21"/>
      <c r="G148" s="21"/>
      <c r="H148" s="21"/>
      <c r="I148" s="21"/>
      <c r="J148" s="21"/>
      <c r="K148" s="21"/>
      <c r="L148" s="21"/>
      <c r="M148" s="21"/>
      <c r="N148" s="21"/>
    </row>
    <row r="149" spans="1:14" x14ac:dyDescent="0.25">
      <c r="A149" s="21"/>
      <c r="B149" s="21"/>
      <c r="C149" s="21"/>
      <c r="D149" s="21"/>
      <c r="E149" s="21"/>
      <c r="F149" s="21"/>
      <c r="G149" s="21"/>
      <c r="H149" s="21"/>
      <c r="I149" s="21"/>
      <c r="J149" s="21"/>
      <c r="K149" s="21"/>
      <c r="L149" s="21"/>
      <c r="M149" s="21"/>
      <c r="N149" s="21"/>
    </row>
    <row r="150" spans="1:14" x14ac:dyDescent="0.25">
      <c r="A150" s="21"/>
      <c r="B150" s="21"/>
      <c r="C150" s="21"/>
      <c r="D150" s="21"/>
      <c r="E150" s="21"/>
      <c r="F150" s="21"/>
      <c r="G150" s="21"/>
      <c r="H150" s="21"/>
      <c r="I150" s="21"/>
      <c r="J150" s="21"/>
      <c r="K150" s="21"/>
      <c r="L150" s="21"/>
      <c r="M150" s="21"/>
      <c r="N150" s="21"/>
    </row>
    <row r="151" spans="1:14" x14ac:dyDescent="0.25">
      <c r="A151" s="21"/>
      <c r="B151" s="21"/>
      <c r="C151" s="21"/>
      <c r="D151" s="21"/>
      <c r="E151" s="21"/>
      <c r="F151" s="21"/>
      <c r="G151" s="21"/>
      <c r="H151" s="21"/>
      <c r="I151" s="21"/>
      <c r="J151" s="21"/>
      <c r="K151" s="21"/>
      <c r="L151" s="21"/>
      <c r="M151" s="21"/>
      <c r="N151" s="21"/>
    </row>
    <row r="152" spans="1:14" x14ac:dyDescent="0.25">
      <c r="A152" s="21"/>
      <c r="B152" s="21"/>
      <c r="C152" s="21"/>
      <c r="D152" s="21"/>
      <c r="E152" s="21"/>
      <c r="F152" s="21"/>
      <c r="G152" s="21"/>
      <c r="H152" s="21"/>
      <c r="I152" s="21"/>
      <c r="J152" s="21"/>
      <c r="K152" s="21"/>
      <c r="L152" s="21"/>
      <c r="M152" s="21"/>
      <c r="N152" s="21"/>
    </row>
    <row r="153" spans="1:14" x14ac:dyDescent="0.25">
      <c r="A153" s="21"/>
      <c r="B153" s="21"/>
      <c r="C153" s="21"/>
      <c r="D153" s="21"/>
      <c r="E153" s="21"/>
      <c r="F153" s="21"/>
      <c r="G153" s="21"/>
      <c r="H153" s="21"/>
      <c r="I153" s="21"/>
      <c r="J153" s="21"/>
      <c r="K153" s="21"/>
      <c r="L153" s="21"/>
      <c r="M153" s="21"/>
      <c r="N153" s="21"/>
    </row>
    <row r="154" spans="1:14" x14ac:dyDescent="0.25">
      <c r="A154" s="21"/>
      <c r="B154" s="21"/>
      <c r="C154" s="21"/>
      <c r="D154" s="21"/>
      <c r="E154" s="21"/>
      <c r="F154" s="21"/>
      <c r="G154" s="21"/>
      <c r="H154" s="21"/>
      <c r="I154" s="21"/>
      <c r="J154" s="21"/>
      <c r="K154" s="21"/>
      <c r="L154" s="21"/>
      <c r="M154" s="21"/>
      <c r="N154" s="21"/>
    </row>
    <row r="155" spans="1:14" x14ac:dyDescent="0.25">
      <c r="A155" s="21"/>
      <c r="B155" s="21"/>
      <c r="C155" s="21"/>
      <c r="D155" s="21"/>
      <c r="E155" s="21"/>
      <c r="F155" s="21"/>
      <c r="G155" s="21"/>
      <c r="H155" s="21"/>
      <c r="I155" s="21"/>
      <c r="J155" s="21"/>
      <c r="K155" s="21"/>
      <c r="L155" s="21"/>
      <c r="M155" s="21"/>
      <c r="N155" s="21"/>
    </row>
    <row r="156" spans="1:14" x14ac:dyDescent="0.25">
      <c r="A156" s="21"/>
      <c r="B156" s="21"/>
      <c r="C156" s="21"/>
      <c r="D156" s="21"/>
      <c r="E156" s="21"/>
      <c r="F156" s="21"/>
      <c r="G156" s="21"/>
      <c r="H156" s="21"/>
      <c r="I156" s="21"/>
      <c r="J156" s="21"/>
      <c r="K156" s="21"/>
      <c r="L156" s="21"/>
      <c r="M156" s="21"/>
      <c r="N156" s="21"/>
    </row>
    <row r="157" spans="1:14" x14ac:dyDescent="0.25">
      <c r="A157" s="21"/>
      <c r="B157" s="21"/>
      <c r="C157" s="21"/>
      <c r="D157" s="21"/>
      <c r="E157" s="21"/>
      <c r="F157" s="21"/>
      <c r="G157" s="21"/>
      <c r="H157" s="21"/>
      <c r="I157" s="21"/>
      <c r="J157" s="21"/>
      <c r="K157" s="21"/>
      <c r="L157" s="21"/>
      <c r="M157" s="21"/>
      <c r="N157" s="21"/>
    </row>
    <row r="158" spans="1:14" x14ac:dyDescent="0.25">
      <c r="A158" s="21"/>
      <c r="B158" s="21"/>
      <c r="C158" s="21"/>
      <c r="D158" s="21"/>
      <c r="E158" s="21"/>
      <c r="F158" s="21"/>
      <c r="G158" s="21"/>
      <c r="H158" s="21"/>
      <c r="I158" s="21"/>
      <c r="J158" s="21"/>
      <c r="K158" s="21"/>
      <c r="L158" s="21"/>
      <c r="M158" s="21"/>
      <c r="N158" s="21"/>
    </row>
    <row r="159" spans="1:14" x14ac:dyDescent="0.25">
      <c r="A159" s="21"/>
      <c r="B159" s="21"/>
      <c r="C159" s="21"/>
      <c r="D159" s="21"/>
      <c r="E159" s="21"/>
      <c r="F159" s="21"/>
      <c r="G159" s="21"/>
      <c r="H159" s="21"/>
      <c r="I159" s="21"/>
      <c r="J159" s="21"/>
      <c r="K159" s="21"/>
      <c r="L159" s="21"/>
      <c r="M159" s="21"/>
      <c r="N159" s="21"/>
    </row>
    <row r="160" spans="1:14" x14ac:dyDescent="0.25">
      <c r="A160" s="21"/>
      <c r="B160" s="21"/>
      <c r="C160" s="21"/>
      <c r="D160" s="21"/>
      <c r="E160" s="21"/>
      <c r="F160" s="21"/>
      <c r="G160" s="21"/>
      <c r="H160" s="21"/>
      <c r="I160" s="21"/>
      <c r="J160" s="21"/>
      <c r="K160" s="21"/>
      <c r="L160" s="21"/>
      <c r="M160" s="21"/>
      <c r="N160" s="21"/>
    </row>
    <row r="161" spans="1:14" x14ac:dyDescent="0.25">
      <c r="A161" s="21"/>
      <c r="B161" s="21"/>
      <c r="C161" s="21"/>
      <c r="D161" s="21"/>
      <c r="E161" s="21"/>
      <c r="F161" s="21"/>
      <c r="G161" s="21"/>
      <c r="H161" s="21"/>
      <c r="I161" s="21"/>
      <c r="J161" s="21"/>
      <c r="K161" s="21"/>
      <c r="L161" s="21"/>
      <c r="M161" s="21"/>
      <c r="N161" s="21"/>
    </row>
    <row r="162" spans="1:14" x14ac:dyDescent="0.25">
      <c r="A162" s="21"/>
      <c r="B162" s="21"/>
      <c r="C162" s="21"/>
      <c r="D162" s="21"/>
      <c r="E162" s="21"/>
      <c r="F162" s="21"/>
      <c r="G162" s="21"/>
      <c r="H162" s="21"/>
      <c r="I162" s="21"/>
      <c r="J162" s="21"/>
      <c r="K162" s="21"/>
      <c r="L162" s="21"/>
      <c r="M162" s="21"/>
      <c r="N162" s="21"/>
    </row>
    <row r="163" spans="1:14" x14ac:dyDescent="0.25">
      <c r="A163" s="21"/>
      <c r="B163" s="21"/>
      <c r="C163" s="21"/>
      <c r="D163" s="21"/>
      <c r="E163" s="21"/>
      <c r="F163" s="21"/>
      <c r="G163" s="21"/>
      <c r="H163" s="21"/>
      <c r="I163" s="21"/>
      <c r="J163" s="21"/>
      <c r="K163" s="21"/>
      <c r="L163" s="21"/>
      <c r="M163" s="21"/>
      <c r="N163" s="21"/>
    </row>
    <row r="164" spans="1:14" x14ac:dyDescent="0.25">
      <c r="A164" s="21"/>
      <c r="B164" s="21"/>
      <c r="C164" s="21"/>
      <c r="D164" s="21"/>
      <c r="E164" s="21"/>
      <c r="F164" s="21"/>
      <c r="G164" s="21"/>
      <c r="H164" s="21"/>
      <c r="I164" s="21"/>
      <c r="J164" s="21"/>
      <c r="K164" s="21"/>
      <c r="L164" s="21"/>
      <c r="M164" s="21"/>
      <c r="N164" s="21"/>
    </row>
    <row r="165" spans="1:14" x14ac:dyDescent="0.25">
      <c r="A165" s="21"/>
      <c r="B165" s="21"/>
      <c r="C165" s="21"/>
      <c r="D165" s="21"/>
      <c r="E165" s="21"/>
      <c r="F165" s="21"/>
      <c r="G165" s="21"/>
      <c r="H165" s="21"/>
      <c r="I165" s="21"/>
      <c r="J165" s="21"/>
      <c r="K165" s="21"/>
      <c r="L165" s="21"/>
      <c r="M165" s="21"/>
      <c r="N165" s="21"/>
    </row>
    <row r="166" spans="1:14" x14ac:dyDescent="0.25">
      <c r="A166" s="21"/>
      <c r="B166" s="21"/>
      <c r="C166" s="21"/>
      <c r="D166" s="21"/>
      <c r="E166" s="21"/>
      <c r="F166" s="21"/>
      <c r="G166" s="21"/>
      <c r="H166" s="21"/>
      <c r="I166" s="21"/>
      <c r="J166" s="21"/>
      <c r="K166" s="21"/>
      <c r="L166" s="21"/>
      <c r="M166" s="21"/>
      <c r="N166" s="21"/>
    </row>
    <row r="167" spans="1:14" x14ac:dyDescent="0.25">
      <c r="A167" s="21"/>
      <c r="B167" s="21"/>
      <c r="C167" s="21"/>
      <c r="D167" s="21"/>
      <c r="E167" s="21"/>
      <c r="F167" s="21"/>
      <c r="G167" s="21"/>
      <c r="H167" s="21"/>
      <c r="I167" s="21"/>
      <c r="J167" s="21"/>
      <c r="K167" s="21"/>
      <c r="L167" s="21"/>
      <c r="M167" s="21"/>
      <c r="N167" s="21"/>
    </row>
    <row r="168" spans="1:14" x14ac:dyDescent="0.25">
      <c r="A168" s="21"/>
      <c r="B168" s="21"/>
      <c r="C168" s="21"/>
      <c r="D168" s="21"/>
      <c r="E168" s="21"/>
      <c r="F168" s="21"/>
      <c r="G168" s="21"/>
      <c r="H168" s="21"/>
      <c r="I168" s="21"/>
      <c r="J168" s="21"/>
      <c r="K168" s="21"/>
      <c r="L168" s="21"/>
      <c r="M168" s="21"/>
      <c r="N168" s="21"/>
    </row>
    <row r="169" spans="1:14" x14ac:dyDescent="0.25">
      <c r="A169" s="21"/>
      <c r="B169" s="21"/>
      <c r="C169" s="21"/>
      <c r="D169" s="21"/>
      <c r="E169" s="21"/>
      <c r="F169" s="21"/>
      <c r="G169" s="21"/>
      <c r="H169" s="21"/>
      <c r="I169" s="21"/>
      <c r="J169" s="21"/>
      <c r="K169" s="21"/>
      <c r="L169" s="21"/>
      <c r="M169" s="21"/>
      <c r="N169" s="21"/>
    </row>
    <row r="170" spans="1:14" x14ac:dyDescent="0.25">
      <c r="A170" s="21"/>
      <c r="B170" s="21"/>
      <c r="C170" s="21"/>
      <c r="D170" s="21"/>
      <c r="E170" s="21"/>
      <c r="F170" s="21"/>
      <c r="G170" s="21"/>
      <c r="H170" s="21"/>
      <c r="I170" s="21"/>
      <c r="J170" s="21"/>
      <c r="K170" s="21"/>
      <c r="L170" s="21"/>
      <c r="M170" s="21"/>
      <c r="N170" s="21"/>
    </row>
    <row r="171" spans="1:14" x14ac:dyDescent="0.25">
      <c r="A171" s="21"/>
      <c r="B171" s="21"/>
      <c r="C171" s="21"/>
      <c r="D171" s="21"/>
      <c r="E171" s="21"/>
      <c r="F171" s="21"/>
      <c r="G171" s="21"/>
      <c r="H171" s="21"/>
      <c r="I171" s="21"/>
      <c r="J171" s="21"/>
      <c r="K171" s="21"/>
      <c r="L171" s="21"/>
      <c r="M171" s="21"/>
      <c r="N171" s="21"/>
    </row>
    <row r="172" spans="1:14" x14ac:dyDescent="0.25">
      <c r="A172" s="21"/>
      <c r="B172" s="21"/>
      <c r="C172" s="21"/>
      <c r="D172" s="21"/>
      <c r="E172" s="21"/>
      <c r="F172" s="21"/>
      <c r="G172" s="21"/>
      <c r="H172" s="21"/>
      <c r="I172" s="21"/>
      <c r="J172" s="21"/>
      <c r="K172" s="21"/>
      <c r="L172" s="21"/>
      <c r="M172" s="21"/>
      <c r="N172" s="21"/>
    </row>
    <row r="173" spans="1:14" x14ac:dyDescent="0.25">
      <c r="A173" s="21"/>
      <c r="B173" s="21"/>
      <c r="C173" s="21"/>
      <c r="D173" s="21"/>
      <c r="E173" s="21"/>
      <c r="F173" s="21"/>
      <c r="G173" s="21"/>
      <c r="H173" s="21"/>
      <c r="I173" s="21"/>
      <c r="J173" s="21"/>
      <c r="K173" s="21"/>
      <c r="L173" s="21"/>
      <c r="M173" s="21"/>
      <c r="N173" s="21"/>
    </row>
    <row r="174" spans="1:14" x14ac:dyDescent="0.25">
      <c r="A174" s="21"/>
      <c r="B174" s="21"/>
      <c r="C174" s="21"/>
      <c r="D174" s="21"/>
      <c r="E174" s="21"/>
      <c r="F174" s="21"/>
      <c r="G174" s="21"/>
      <c r="H174" s="21"/>
      <c r="I174" s="21"/>
      <c r="J174" s="21"/>
      <c r="K174" s="21"/>
      <c r="L174" s="21"/>
      <c r="M174" s="21"/>
      <c r="N174" s="21"/>
    </row>
    <row r="175" spans="1:14" x14ac:dyDescent="0.25">
      <c r="A175" s="21"/>
      <c r="B175" s="21"/>
      <c r="C175" s="21"/>
      <c r="D175" s="21"/>
      <c r="E175" s="21"/>
      <c r="F175" s="21"/>
      <c r="G175" s="21"/>
      <c r="H175" s="21"/>
      <c r="I175" s="21"/>
      <c r="J175" s="21"/>
      <c r="K175" s="21"/>
      <c r="L175" s="21"/>
      <c r="M175" s="21"/>
      <c r="N175" s="21"/>
    </row>
    <row r="176" spans="1:14" x14ac:dyDescent="0.25">
      <c r="A176" s="21"/>
      <c r="B176" s="21"/>
      <c r="C176" s="21"/>
      <c r="D176" s="21"/>
      <c r="E176" s="21"/>
      <c r="F176" s="21"/>
      <c r="G176" s="21"/>
      <c r="H176" s="21"/>
      <c r="I176" s="21"/>
      <c r="J176" s="21"/>
      <c r="K176" s="21"/>
      <c r="L176" s="21"/>
      <c r="M176" s="21"/>
      <c r="N176" s="21"/>
    </row>
    <row r="177" spans="1:14" x14ac:dyDescent="0.25">
      <c r="A177" s="21"/>
      <c r="B177" s="21"/>
      <c r="C177" s="21"/>
      <c r="D177" s="21"/>
      <c r="E177" s="21"/>
      <c r="F177" s="21"/>
      <c r="G177" s="21"/>
      <c r="H177" s="21"/>
      <c r="I177" s="21"/>
      <c r="J177" s="21"/>
      <c r="K177" s="21"/>
      <c r="L177" s="21"/>
      <c r="M177" s="21"/>
      <c r="N177" s="21"/>
    </row>
    <row r="178" spans="1:14" x14ac:dyDescent="0.25">
      <c r="A178" s="21"/>
      <c r="B178" s="21"/>
      <c r="C178" s="21"/>
      <c r="D178" s="21"/>
      <c r="E178" s="21"/>
      <c r="F178" s="21"/>
      <c r="G178" s="21"/>
      <c r="H178" s="21"/>
      <c r="I178" s="21"/>
      <c r="J178" s="21"/>
      <c r="K178" s="21"/>
      <c r="L178" s="21"/>
      <c r="M178" s="21"/>
      <c r="N178" s="21"/>
    </row>
    <row r="179" spans="1:14" x14ac:dyDescent="0.25">
      <c r="A179" s="21"/>
      <c r="B179" s="21"/>
      <c r="C179" s="21"/>
      <c r="D179" s="21"/>
      <c r="E179" s="21"/>
      <c r="F179" s="21"/>
      <c r="G179" s="21"/>
      <c r="H179" s="21"/>
      <c r="I179" s="21"/>
      <c r="J179" s="21"/>
      <c r="K179" s="21"/>
      <c r="L179" s="21"/>
      <c r="M179" s="21"/>
      <c r="N179" s="21"/>
    </row>
    <row r="180" spans="1:14" x14ac:dyDescent="0.25">
      <c r="A180" s="21"/>
      <c r="B180" s="21"/>
      <c r="C180" s="21"/>
      <c r="D180" s="21"/>
      <c r="E180" s="21"/>
      <c r="F180" s="21"/>
      <c r="G180" s="21"/>
      <c r="H180" s="21"/>
      <c r="I180" s="21"/>
      <c r="J180" s="21"/>
      <c r="K180" s="21"/>
      <c r="L180" s="21"/>
      <c r="M180" s="21"/>
      <c r="N180" s="21"/>
    </row>
    <row r="181" spans="1:14" x14ac:dyDescent="0.25">
      <c r="A181" s="21"/>
      <c r="B181" s="21"/>
      <c r="C181" s="21"/>
      <c r="D181" s="21"/>
      <c r="E181" s="21"/>
      <c r="F181" s="21"/>
      <c r="G181" s="21"/>
      <c r="H181" s="21"/>
      <c r="I181" s="21"/>
      <c r="J181" s="21"/>
      <c r="K181" s="21"/>
      <c r="L181" s="21"/>
      <c r="M181" s="21"/>
      <c r="N181" s="21"/>
    </row>
    <row r="182" spans="1:14" x14ac:dyDescent="0.25">
      <c r="A182" s="21"/>
      <c r="B182" s="21"/>
      <c r="C182" s="21"/>
      <c r="D182" s="21"/>
      <c r="E182" s="21"/>
      <c r="F182" s="21"/>
      <c r="G182" s="21"/>
      <c r="H182" s="21"/>
      <c r="I182" s="21"/>
      <c r="J182" s="21"/>
      <c r="K182" s="21"/>
      <c r="L182" s="21"/>
      <c r="M182" s="21"/>
      <c r="N182" s="21"/>
    </row>
    <row r="183" spans="1:14" x14ac:dyDescent="0.25">
      <c r="A183" s="21"/>
      <c r="B183" s="21"/>
      <c r="C183" s="21"/>
      <c r="D183" s="21"/>
      <c r="E183" s="21"/>
      <c r="F183" s="21"/>
      <c r="G183" s="21"/>
      <c r="H183" s="21"/>
      <c r="I183" s="21"/>
      <c r="J183" s="21"/>
      <c r="K183" s="21"/>
      <c r="L183" s="21"/>
      <c r="M183" s="21"/>
      <c r="N183" s="21"/>
    </row>
    <row r="184" spans="1:14" x14ac:dyDescent="0.25">
      <c r="A184" s="21"/>
      <c r="B184" s="21"/>
      <c r="C184" s="21"/>
      <c r="D184" s="21"/>
      <c r="E184" s="21"/>
      <c r="F184" s="21"/>
      <c r="G184" s="21"/>
      <c r="H184" s="21"/>
      <c r="I184" s="21"/>
      <c r="J184" s="21"/>
      <c r="K184" s="21"/>
      <c r="L184" s="21"/>
      <c r="M184" s="21"/>
      <c r="N184" s="21"/>
    </row>
    <row r="185" spans="1:14" x14ac:dyDescent="0.25">
      <c r="A185" s="21"/>
      <c r="B185" s="21"/>
      <c r="C185" s="21"/>
      <c r="D185" s="21"/>
      <c r="E185" s="21"/>
      <c r="F185" s="21"/>
      <c r="G185" s="21"/>
      <c r="H185" s="21"/>
      <c r="I185" s="21"/>
      <c r="J185" s="21"/>
      <c r="K185" s="21"/>
      <c r="L185" s="21"/>
      <c r="M185" s="21"/>
      <c r="N185" s="21"/>
    </row>
    <row r="186" spans="1:14" x14ac:dyDescent="0.25">
      <c r="A186" s="21"/>
      <c r="B186" s="21"/>
      <c r="C186" s="21"/>
      <c r="D186" s="21"/>
      <c r="E186" s="21"/>
      <c r="F186" s="21"/>
      <c r="G186" s="21"/>
      <c r="H186" s="21"/>
      <c r="I186" s="21"/>
      <c r="J186" s="21"/>
      <c r="K186" s="21"/>
      <c r="L186" s="21"/>
      <c r="M186" s="21"/>
      <c r="N186" s="21"/>
    </row>
    <row r="187" spans="1:14" x14ac:dyDescent="0.25">
      <c r="A187" s="21"/>
      <c r="B187" s="21"/>
      <c r="C187" s="21"/>
      <c r="D187" s="21"/>
      <c r="E187" s="21"/>
      <c r="F187" s="21"/>
      <c r="G187" s="21"/>
      <c r="H187" s="21"/>
      <c r="I187" s="21"/>
      <c r="J187" s="21"/>
      <c r="K187" s="21"/>
      <c r="L187" s="21"/>
      <c r="M187" s="21"/>
      <c r="N187" s="21"/>
    </row>
    <row r="188" spans="1:14" x14ac:dyDescent="0.25">
      <c r="A188" s="21"/>
      <c r="B188" s="21"/>
      <c r="C188" s="21"/>
      <c r="D188" s="21"/>
      <c r="E188" s="21"/>
      <c r="F188" s="21"/>
      <c r="G188" s="21"/>
      <c r="H188" s="21"/>
      <c r="I188" s="21"/>
      <c r="J188" s="21"/>
      <c r="K188" s="21"/>
      <c r="L188" s="21"/>
      <c r="M188" s="21"/>
      <c r="N188" s="21"/>
    </row>
    <row r="189" spans="1:14" x14ac:dyDescent="0.25">
      <c r="A189" s="21"/>
      <c r="B189" s="21"/>
      <c r="C189" s="21"/>
      <c r="D189" s="21"/>
      <c r="E189" s="21"/>
      <c r="F189" s="21"/>
      <c r="G189" s="21"/>
      <c r="H189" s="21"/>
      <c r="I189" s="21"/>
      <c r="J189" s="21"/>
      <c r="K189" s="21"/>
      <c r="L189" s="21"/>
      <c r="M189" s="21"/>
      <c r="N189" s="21"/>
    </row>
    <row r="190" spans="1:14" x14ac:dyDescent="0.25">
      <c r="A190" s="21"/>
      <c r="B190" s="21"/>
      <c r="C190" s="21"/>
      <c r="D190" s="21"/>
      <c r="E190" s="21"/>
      <c r="F190" s="21"/>
      <c r="G190" s="21"/>
      <c r="H190" s="21"/>
      <c r="I190" s="21"/>
      <c r="J190" s="21"/>
      <c r="K190" s="21"/>
      <c r="L190" s="21"/>
      <c r="M190" s="21"/>
      <c r="N190" s="21"/>
    </row>
    <row r="191" spans="1:14" x14ac:dyDescent="0.25">
      <c r="A191" s="21"/>
      <c r="B191" s="21"/>
      <c r="C191" s="21"/>
      <c r="D191" s="21"/>
      <c r="E191" s="21"/>
      <c r="F191" s="21"/>
      <c r="G191" s="21"/>
      <c r="H191" s="21"/>
      <c r="I191" s="21"/>
      <c r="J191" s="21"/>
      <c r="K191" s="21"/>
      <c r="L191" s="21"/>
      <c r="M191" s="21"/>
      <c r="N191" s="21"/>
    </row>
    <row r="192" spans="1:14" x14ac:dyDescent="0.25">
      <c r="A192" s="21"/>
      <c r="B192" s="21"/>
      <c r="C192" s="21"/>
      <c r="D192" s="21"/>
      <c r="E192" s="21"/>
      <c r="F192" s="21"/>
      <c r="G192" s="21"/>
      <c r="H192" s="21"/>
      <c r="I192" s="21"/>
      <c r="J192" s="21"/>
      <c r="K192" s="21"/>
      <c r="L192" s="21"/>
      <c r="M192" s="21"/>
      <c r="N192" s="21"/>
    </row>
    <row r="193" spans="1:14" x14ac:dyDescent="0.25">
      <c r="A193" s="21"/>
      <c r="B193" s="21"/>
      <c r="C193" s="21"/>
      <c r="D193" s="21"/>
      <c r="E193" s="21"/>
      <c r="F193" s="21"/>
      <c r="G193" s="21"/>
      <c r="H193" s="21"/>
      <c r="I193" s="21"/>
      <c r="J193" s="21"/>
      <c r="K193" s="21"/>
      <c r="L193" s="21"/>
      <c r="M193" s="21"/>
      <c r="N193" s="21"/>
    </row>
    <row r="194" spans="1:14" x14ac:dyDescent="0.25">
      <c r="A194" s="21"/>
      <c r="B194" s="21"/>
      <c r="C194" s="21"/>
      <c r="D194" s="21"/>
      <c r="E194" s="21"/>
      <c r="F194" s="21"/>
      <c r="G194" s="21"/>
      <c r="H194" s="21"/>
      <c r="I194" s="21"/>
      <c r="J194" s="21"/>
      <c r="K194" s="21"/>
      <c r="L194" s="21"/>
      <c r="M194" s="21"/>
      <c r="N194" s="21"/>
    </row>
    <row r="195" spans="1:14" x14ac:dyDescent="0.25">
      <c r="A195" s="21"/>
      <c r="B195" s="21"/>
      <c r="C195" s="21"/>
      <c r="D195" s="21"/>
      <c r="E195" s="21"/>
      <c r="F195" s="21"/>
      <c r="G195" s="21"/>
      <c r="H195" s="21"/>
      <c r="I195" s="21"/>
      <c r="J195" s="21"/>
      <c r="K195" s="21"/>
      <c r="L195" s="21"/>
      <c r="M195" s="21"/>
      <c r="N195" s="21"/>
    </row>
    <row r="196" spans="1:14" x14ac:dyDescent="0.25">
      <c r="A196" s="21"/>
      <c r="B196" s="21"/>
      <c r="C196" s="21"/>
      <c r="D196" s="21"/>
      <c r="E196" s="21"/>
      <c r="F196" s="21"/>
      <c r="G196" s="21"/>
      <c r="H196" s="21"/>
      <c r="I196" s="21"/>
      <c r="J196" s="21"/>
      <c r="K196" s="21"/>
      <c r="L196" s="21"/>
      <c r="M196" s="21"/>
      <c r="N196" s="21"/>
    </row>
    <row r="197" spans="1:14" x14ac:dyDescent="0.25">
      <c r="A197" s="21"/>
      <c r="B197" s="21"/>
      <c r="C197" s="21"/>
      <c r="D197" s="21"/>
      <c r="E197" s="21"/>
      <c r="F197" s="21"/>
      <c r="G197" s="21"/>
      <c r="H197" s="21"/>
      <c r="I197" s="21"/>
      <c r="J197" s="21"/>
      <c r="K197" s="21"/>
      <c r="L197" s="21"/>
      <c r="M197" s="21"/>
      <c r="N197" s="21"/>
    </row>
    <row r="198" spans="1:14" x14ac:dyDescent="0.25">
      <c r="A198" s="21"/>
      <c r="B198" s="21"/>
      <c r="C198" s="21"/>
      <c r="D198" s="21"/>
      <c r="E198" s="21"/>
      <c r="F198" s="21"/>
      <c r="G198" s="21"/>
      <c r="H198" s="21"/>
      <c r="I198" s="21"/>
      <c r="J198" s="21"/>
      <c r="K198" s="21"/>
      <c r="L198" s="21"/>
      <c r="M198" s="21"/>
      <c r="N198" s="21"/>
    </row>
    <row r="199" spans="1:14" x14ac:dyDescent="0.25">
      <c r="A199" s="21"/>
      <c r="B199" s="21"/>
      <c r="C199" s="21"/>
      <c r="D199" s="21"/>
      <c r="E199" s="21"/>
      <c r="F199" s="21"/>
      <c r="G199" s="21"/>
      <c r="H199" s="21"/>
      <c r="I199" s="21"/>
      <c r="J199" s="21"/>
      <c r="K199" s="21"/>
      <c r="L199" s="21"/>
      <c r="M199" s="21"/>
      <c r="N199" s="21"/>
    </row>
    <row r="200" spans="1:14" x14ac:dyDescent="0.25">
      <c r="A200" s="21"/>
      <c r="B200" s="21"/>
      <c r="C200" s="21"/>
      <c r="D200" s="21"/>
      <c r="E200" s="21"/>
      <c r="F200" s="21"/>
      <c r="G200" s="21"/>
      <c r="H200" s="21"/>
      <c r="I200" s="21"/>
      <c r="J200" s="21"/>
      <c r="K200" s="21"/>
      <c r="L200" s="21"/>
      <c r="M200" s="21"/>
      <c r="N200" s="21"/>
    </row>
    <row r="201" spans="1:14" x14ac:dyDescent="0.25">
      <c r="A201" s="21"/>
      <c r="B201" s="21"/>
      <c r="C201" s="21"/>
      <c r="D201" s="21"/>
      <c r="E201" s="21"/>
      <c r="F201" s="21"/>
      <c r="G201" s="21"/>
      <c r="H201" s="21"/>
      <c r="I201" s="21"/>
      <c r="J201" s="21"/>
      <c r="K201" s="21"/>
      <c r="L201" s="21"/>
      <c r="M201" s="21"/>
      <c r="N201" s="21"/>
    </row>
    <row r="202" spans="1:14" x14ac:dyDescent="0.25">
      <c r="A202" s="21"/>
      <c r="B202" s="21"/>
      <c r="C202" s="21"/>
      <c r="D202" s="21"/>
      <c r="E202" s="21"/>
      <c r="F202" s="21"/>
      <c r="G202" s="21"/>
      <c r="H202" s="21"/>
      <c r="I202" s="21"/>
      <c r="J202" s="21"/>
      <c r="K202" s="21"/>
      <c r="L202" s="21"/>
      <c r="M202" s="21"/>
      <c r="N202" s="21"/>
    </row>
    <row r="203" spans="1:14" x14ac:dyDescent="0.25">
      <c r="A203" s="21"/>
      <c r="B203" s="21"/>
      <c r="C203" s="21"/>
      <c r="D203" s="21"/>
      <c r="E203" s="21"/>
      <c r="F203" s="21"/>
      <c r="G203" s="21"/>
      <c r="H203" s="21"/>
      <c r="I203" s="21"/>
      <c r="J203" s="21"/>
      <c r="K203" s="21"/>
      <c r="L203" s="21"/>
      <c r="M203" s="21"/>
      <c r="N203" s="21"/>
    </row>
    <row r="204" spans="1:14" x14ac:dyDescent="0.25">
      <c r="A204" s="21"/>
      <c r="B204" s="21"/>
      <c r="C204" s="21"/>
      <c r="D204" s="21"/>
      <c r="E204" s="21"/>
      <c r="F204" s="21"/>
      <c r="G204" s="21"/>
      <c r="H204" s="21"/>
      <c r="I204" s="21"/>
      <c r="J204" s="21"/>
      <c r="K204" s="21"/>
      <c r="L204" s="21"/>
      <c r="M204" s="21"/>
      <c r="N204" s="21"/>
    </row>
    <row r="205" spans="1:14" x14ac:dyDescent="0.25">
      <c r="A205" s="21"/>
      <c r="B205" s="21"/>
      <c r="C205" s="21"/>
      <c r="D205" s="21"/>
      <c r="E205" s="21"/>
      <c r="F205" s="21"/>
      <c r="G205" s="21"/>
      <c r="H205" s="21"/>
      <c r="I205" s="21"/>
      <c r="J205" s="21"/>
      <c r="K205" s="21"/>
      <c r="L205" s="21"/>
      <c r="M205" s="21"/>
      <c r="N205" s="21"/>
    </row>
    <row r="206" spans="1:14" x14ac:dyDescent="0.25">
      <c r="A206" s="21"/>
      <c r="B206" s="21"/>
      <c r="C206" s="21"/>
      <c r="D206" s="21"/>
      <c r="E206" s="21"/>
      <c r="F206" s="21"/>
      <c r="G206" s="21"/>
      <c r="H206" s="21"/>
      <c r="I206" s="21"/>
      <c r="J206" s="21"/>
      <c r="K206" s="21"/>
      <c r="L206" s="21"/>
      <c r="M206" s="21"/>
      <c r="N206" s="21"/>
    </row>
    <row r="207" spans="1:14" x14ac:dyDescent="0.25">
      <c r="A207" s="21"/>
      <c r="B207" s="21"/>
      <c r="C207" s="21"/>
      <c r="D207" s="21"/>
      <c r="E207" s="21"/>
      <c r="F207" s="21"/>
      <c r="G207" s="21"/>
      <c r="H207" s="21"/>
      <c r="I207" s="21"/>
      <c r="J207" s="21"/>
      <c r="K207" s="21"/>
      <c r="L207" s="21"/>
      <c r="M207" s="21"/>
      <c r="N207" s="21"/>
    </row>
    <row r="208" spans="1:14" x14ac:dyDescent="0.25">
      <c r="A208" s="21"/>
      <c r="B208" s="21"/>
      <c r="C208" s="21"/>
      <c r="D208" s="21"/>
      <c r="E208" s="21"/>
      <c r="F208" s="21"/>
      <c r="G208" s="21"/>
      <c r="H208" s="21"/>
      <c r="I208" s="21"/>
      <c r="J208" s="21"/>
      <c r="K208" s="21"/>
      <c r="L208" s="21"/>
      <c r="M208" s="21"/>
      <c r="N208" s="21"/>
    </row>
    <row r="209" spans="1:14" x14ac:dyDescent="0.25">
      <c r="A209" s="21"/>
      <c r="B209" s="21"/>
      <c r="C209" s="21"/>
      <c r="D209" s="21"/>
      <c r="E209" s="21"/>
      <c r="F209" s="21"/>
      <c r="G209" s="21"/>
      <c r="H209" s="21"/>
      <c r="I209" s="21"/>
      <c r="J209" s="21"/>
      <c r="K209" s="21"/>
      <c r="L209" s="21"/>
      <c r="M209" s="21"/>
      <c r="N209" s="21"/>
    </row>
    <row r="210" spans="1:14" x14ac:dyDescent="0.25">
      <c r="A210" s="21"/>
      <c r="B210" s="21"/>
      <c r="C210" s="21"/>
      <c r="D210" s="21"/>
      <c r="E210" s="21"/>
      <c r="F210" s="21"/>
      <c r="G210" s="21"/>
      <c r="H210" s="21"/>
      <c r="I210" s="21"/>
      <c r="J210" s="21"/>
      <c r="K210" s="21"/>
      <c r="L210" s="21"/>
      <c r="M210" s="21"/>
      <c r="N210" s="21"/>
    </row>
    <row r="211" spans="1:14" x14ac:dyDescent="0.25">
      <c r="A211" s="21"/>
      <c r="B211" s="21"/>
      <c r="C211" s="21"/>
      <c r="D211" s="21"/>
      <c r="E211" s="21"/>
      <c r="F211" s="21"/>
      <c r="G211" s="21"/>
      <c r="H211" s="21"/>
      <c r="I211" s="21"/>
      <c r="J211" s="21"/>
      <c r="K211" s="21"/>
      <c r="L211" s="21"/>
      <c r="M211" s="21"/>
      <c r="N211" s="21"/>
    </row>
    <row r="212" spans="1:14" x14ac:dyDescent="0.25">
      <c r="A212" s="21"/>
      <c r="B212" s="21"/>
      <c r="C212" s="21"/>
      <c r="D212" s="21"/>
      <c r="E212" s="21"/>
      <c r="F212" s="21"/>
      <c r="G212" s="21"/>
      <c r="H212" s="21"/>
      <c r="I212" s="21"/>
      <c r="J212" s="21"/>
      <c r="K212" s="21"/>
      <c r="L212" s="21"/>
      <c r="M212" s="21"/>
      <c r="N212" s="21"/>
    </row>
    <row r="213" spans="1:14" x14ac:dyDescent="0.25">
      <c r="A213" s="21"/>
      <c r="B213" s="21"/>
      <c r="C213" s="21"/>
      <c r="D213" s="21"/>
      <c r="E213" s="21"/>
      <c r="F213" s="21"/>
      <c r="G213" s="21"/>
      <c r="H213" s="21"/>
      <c r="I213" s="21"/>
      <c r="J213" s="21"/>
      <c r="K213" s="21"/>
      <c r="L213" s="21"/>
      <c r="M213" s="21"/>
      <c r="N213" s="21"/>
    </row>
    <row r="214" spans="1:14" x14ac:dyDescent="0.25">
      <c r="A214" s="21"/>
      <c r="B214" s="21"/>
      <c r="C214" s="21"/>
      <c r="D214" s="21"/>
      <c r="E214" s="21"/>
      <c r="F214" s="21"/>
      <c r="G214" s="21"/>
      <c r="H214" s="21"/>
      <c r="I214" s="21"/>
      <c r="J214" s="21"/>
      <c r="K214" s="21"/>
      <c r="L214" s="21"/>
      <c r="M214" s="21"/>
      <c r="N214" s="21"/>
    </row>
    <row r="215" spans="1:14" x14ac:dyDescent="0.25">
      <c r="A215" s="21"/>
      <c r="B215" s="21"/>
      <c r="C215" s="21"/>
      <c r="D215" s="21"/>
      <c r="E215" s="21"/>
      <c r="F215" s="21"/>
      <c r="G215" s="21"/>
      <c r="H215" s="21"/>
      <c r="I215" s="21"/>
      <c r="J215" s="21"/>
      <c r="K215" s="21"/>
      <c r="L215" s="21"/>
      <c r="M215" s="21"/>
      <c r="N215" s="21"/>
    </row>
    <row r="216" spans="1:14" x14ac:dyDescent="0.25">
      <c r="A216" s="21"/>
      <c r="B216" s="21"/>
      <c r="C216" s="21"/>
      <c r="D216" s="21"/>
      <c r="E216" s="21"/>
      <c r="F216" s="21"/>
      <c r="G216" s="21"/>
      <c r="H216" s="21"/>
      <c r="I216" s="21"/>
      <c r="J216" s="21"/>
      <c r="K216" s="21"/>
      <c r="L216" s="21"/>
      <c r="M216" s="21"/>
      <c r="N216" s="21"/>
    </row>
    <row r="217" spans="1:14" x14ac:dyDescent="0.25">
      <c r="A217" s="21"/>
      <c r="B217" s="21"/>
      <c r="C217" s="21"/>
      <c r="D217" s="21"/>
      <c r="E217" s="21"/>
      <c r="F217" s="21"/>
      <c r="G217" s="21"/>
      <c r="H217" s="21"/>
      <c r="I217" s="21"/>
      <c r="J217" s="21"/>
      <c r="K217" s="21"/>
      <c r="L217" s="21"/>
      <c r="M217" s="21"/>
      <c r="N217" s="21"/>
    </row>
    <row r="218" spans="1:14" x14ac:dyDescent="0.25">
      <c r="A218" s="21"/>
      <c r="B218" s="21"/>
      <c r="C218" s="21"/>
      <c r="D218" s="21"/>
      <c r="E218" s="21"/>
      <c r="F218" s="21"/>
      <c r="G218" s="21"/>
      <c r="H218" s="21"/>
      <c r="I218" s="21"/>
      <c r="J218" s="21"/>
      <c r="K218" s="21"/>
      <c r="L218" s="21"/>
      <c r="M218" s="21"/>
      <c r="N218" s="21"/>
    </row>
    <row r="219" spans="1:14" x14ac:dyDescent="0.25">
      <c r="A219" s="21"/>
      <c r="B219" s="21"/>
      <c r="C219" s="21"/>
      <c r="D219" s="21"/>
      <c r="E219" s="21"/>
      <c r="F219" s="21"/>
      <c r="G219" s="21"/>
      <c r="H219" s="21"/>
      <c r="I219" s="21"/>
      <c r="J219" s="21"/>
      <c r="K219" s="21"/>
      <c r="L219" s="21"/>
      <c r="M219" s="21"/>
      <c r="N219" s="21"/>
    </row>
    <row r="220" spans="1:14" x14ac:dyDescent="0.25">
      <c r="A220" s="21"/>
      <c r="B220" s="21"/>
      <c r="C220" s="21"/>
      <c r="D220" s="21"/>
      <c r="E220" s="21"/>
      <c r="F220" s="21"/>
      <c r="G220" s="21"/>
      <c r="H220" s="21"/>
      <c r="I220" s="21"/>
      <c r="J220" s="21"/>
      <c r="K220" s="21"/>
      <c r="L220" s="21"/>
      <c r="M220" s="21"/>
      <c r="N220" s="21"/>
    </row>
    <row r="221" spans="1:14" x14ac:dyDescent="0.25">
      <c r="A221" s="21"/>
      <c r="B221" s="21"/>
      <c r="C221" s="21"/>
      <c r="D221" s="21"/>
      <c r="E221" s="21"/>
      <c r="F221" s="21"/>
      <c r="G221" s="21"/>
      <c r="H221" s="21"/>
      <c r="I221" s="21"/>
      <c r="J221" s="21"/>
      <c r="K221" s="21"/>
      <c r="L221" s="21"/>
      <c r="M221" s="21"/>
      <c r="N221" s="21"/>
    </row>
    <row r="222" spans="1:14" x14ac:dyDescent="0.25">
      <c r="A222" s="21"/>
      <c r="B222" s="21"/>
      <c r="C222" s="21"/>
      <c r="D222" s="21"/>
      <c r="E222" s="21"/>
      <c r="F222" s="21"/>
      <c r="G222" s="21"/>
      <c r="H222" s="21"/>
      <c r="I222" s="21"/>
      <c r="J222" s="21"/>
      <c r="K222" s="21"/>
      <c r="L222" s="21"/>
      <c r="M222" s="21"/>
      <c r="N222" s="21"/>
    </row>
    <row r="223" spans="1:14" x14ac:dyDescent="0.25">
      <c r="A223" s="21"/>
      <c r="B223" s="21"/>
      <c r="C223" s="21"/>
      <c r="D223" s="21"/>
      <c r="E223" s="21"/>
      <c r="F223" s="21"/>
      <c r="G223" s="21"/>
      <c r="H223" s="21"/>
      <c r="I223" s="21"/>
      <c r="J223" s="21"/>
      <c r="K223" s="21"/>
      <c r="L223" s="21"/>
      <c r="M223" s="21"/>
      <c r="N223" s="21"/>
    </row>
    <row r="224" spans="1:14" x14ac:dyDescent="0.25">
      <c r="A224" s="21"/>
      <c r="B224" s="21"/>
      <c r="C224" s="21"/>
      <c r="D224" s="21"/>
      <c r="E224" s="21"/>
      <c r="F224" s="21"/>
      <c r="G224" s="21"/>
      <c r="H224" s="21"/>
      <c r="I224" s="21"/>
      <c r="J224" s="21"/>
      <c r="K224" s="21"/>
      <c r="L224" s="21"/>
      <c r="M224" s="21"/>
      <c r="N224" s="21"/>
    </row>
    <row r="225" spans="1:14" x14ac:dyDescent="0.25">
      <c r="A225" s="21"/>
      <c r="B225" s="21"/>
      <c r="C225" s="21"/>
      <c r="D225" s="21"/>
      <c r="E225" s="21"/>
      <c r="F225" s="21"/>
      <c r="G225" s="21"/>
      <c r="H225" s="21"/>
      <c r="I225" s="21"/>
      <c r="J225" s="21"/>
      <c r="K225" s="21"/>
      <c r="L225" s="21"/>
      <c r="M225" s="21"/>
      <c r="N225" s="21"/>
    </row>
    <row r="226" spans="1:14" x14ac:dyDescent="0.25">
      <c r="A226" s="21"/>
      <c r="B226" s="21"/>
      <c r="C226" s="21"/>
      <c r="D226" s="21"/>
      <c r="E226" s="21"/>
      <c r="F226" s="21"/>
      <c r="G226" s="21"/>
      <c r="H226" s="21"/>
      <c r="I226" s="21"/>
      <c r="J226" s="21"/>
      <c r="K226" s="21"/>
      <c r="L226" s="21"/>
      <c r="M226" s="21"/>
      <c r="N226" s="21"/>
    </row>
    <row r="227" spans="1:14" x14ac:dyDescent="0.25">
      <c r="A227" s="21"/>
      <c r="B227" s="21"/>
      <c r="C227" s="21"/>
      <c r="D227" s="21"/>
      <c r="E227" s="21"/>
      <c r="F227" s="21"/>
      <c r="G227" s="21"/>
      <c r="H227" s="21"/>
      <c r="I227" s="21"/>
      <c r="J227" s="21"/>
      <c r="K227" s="21"/>
      <c r="L227" s="21"/>
      <c r="M227" s="21"/>
      <c r="N227" s="21"/>
    </row>
    <row r="228" spans="1:14" x14ac:dyDescent="0.25">
      <c r="A228" s="21"/>
      <c r="B228" s="21"/>
      <c r="C228" s="21"/>
      <c r="D228" s="21"/>
      <c r="E228" s="21"/>
      <c r="F228" s="21"/>
      <c r="G228" s="21"/>
      <c r="H228" s="21"/>
      <c r="I228" s="21"/>
      <c r="J228" s="21"/>
      <c r="K228" s="21"/>
      <c r="L228" s="21"/>
      <c r="M228" s="21"/>
      <c r="N228" s="21"/>
    </row>
    <row r="229" spans="1:14" x14ac:dyDescent="0.25">
      <c r="A229" s="21"/>
      <c r="B229" s="21"/>
      <c r="C229" s="21"/>
      <c r="D229" s="21"/>
      <c r="E229" s="21"/>
      <c r="F229" s="21"/>
      <c r="G229" s="21"/>
      <c r="H229" s="21"/>
      <c r="I229" s="21"/>
      <c r="J229" s="21"/>
      <c r="K229" s="21"/>
      <c r="L229" s="21"/>
      <c r="M229" s="21"/>
      <c r="N229" s="21"/>
    </row>
    <row r="230" spans="1:14" x14ac:dyDescent="0.25">
      <c r="A230" s="21"/>
      <c r="B230" s="21"/>
      <c r="C230" s="21"/>
      <c r="D230" s="21"/>
      <c r="E230" s="21"/>
      <c r="F230" s="21"/>
      <c r="G230" s="21"/>
      <c r="H230" s="21"/>
      <c r="I230" s="21"/>
      <c r="J230" s="21"/>
      <c r="K230" s="21"/>
      <c r="L230" s="21"/>
      <c r="M230" s="21"/>
      <c r="N230" s="21"/>
    </row>
    <row r="231" spans="1:14" x14ac:dyDescent="0.25">
      <c r="A231" s="21"/>
      <c r="B231" s="21"/>
      <c r="C231" s="21"/>
      <c r="D231" s="21"/>
      <c r="E231" s="21"/>
      <c r="F231" s="21"/>
      <c r="G231" s="21"/>
      <c r="H231" s="21"/>
      <c r="I231" s="21"/>
      <c r="J231" s="21"/>
      <c r="K231" s="21"/>
      <c r="L231" s="21"/>
      <c r="M231" s="21"/>
      <c r="N231" s="21"/>
    </row>
    <row r="232" spans="1:14" x14ac:dyDescent="0.25">
      <c r="A232" s="21"/>
      <c r="B232" s="21"/>
      <c r="C232" s="21"/>
      <c r="D232" s="21"/>
      <c r="E232" s="21"/>
      <c r="F232" s="21"/>
      <c r="G232" s="21"/>
      <c r="H232" s="21"/>
      <c r="I232" s="21"/>
      <c r="J232" s="21"/>
      <c r="K232" s="21"/>
      <c r="L232" s="21"/>
      <c r="M232" s="21"/>
      <c r="N232" s="21"/>
    </row>
    <row r="233" spans="1:14" x14ac:dyDescent="0.25">
      <c r="A233" s="21"/>
      <c r="B233" s="21"/>
      <c r="C233" s="21"/>
      <c r="D233" s="21"/>
      <c r="E233" s="21"/>
      <c r="F233" s="21"/>
      <c r="G233" s="21"/>
      <c r="H233" s="21"/>
      <c r="I233" s="21"/>
      <c r="J233" s="21"/>
      <c r="K233" s="21"/>
      <c r="L233" s="21"/>
      <c r="M233" s="21"/>
      <c r="N233" s="21"/>
    </row>
    <row r="234" spans="1:14" x14ac:dyDescent="0.25">
      <c r="A234" s="21"/>
      <c r="B234" s="21"/>
      <c r="C234" s="21"/>
      <c r="D234" s="21"/>
      <c r="E234" s="21"/>
      <c r="F234" s="21"/>
      <c r="G234" s="21"/>
      <c r="H234" s="21"/>
      <c r="I234" s="21"/>
      <c r="J234" s="21"/>
      <c r="K234" s="21"/>
      <c r="L234" s="21"/>
      <c r="M234" s="21"/>
      <c r="N234" s="21"/>
    </row>
    <row r="235" spans="1:14" x14ac:dyDescent="0.25">
      <c r="A235" s="21"/>
      <c r="B235" s="21"/>
      <c r="C235" s="21"/>
      <c r="D235" s="21"/>
      <c r="E235" s="21"/>
      <c r="F235" s="21"/>
      <c r="G235" s="21"/>
      <c r="H235" s="21"/>
      <c r="I235" s="21"/>
      <c r="J235" s="21"/>
      <c r="K235" s="21"/>
      <c r="L235" s="21"/>
      <c r="M235" s="21"/>
      <c r="N235" s="21"/>
    </row>
    <row r="236" spans="1:14" x14ac:dyDescent="0.25">
      <c r="A236" s="21"/>
      <c r="B236" s="21"/>
      <c r="C236" s="21"/>
      <c r="D236" s="21"/>
      <c r="E236" s="21"/>
      <c r="F236" s="21"/>
      <c r="G236" s="21"/>
      <c r="H236" s="21"/>
      <c r="I236" s="21"/>
      <c r="J236" s="21"/>
      <c r="K236" s="21"/>
      <c r="L236" s="21"/>
      <c r="M236" s="21"/>
      <c r="N236" s="21"/>
    </row>
    <row r="237" spans="1:14" x14ac:dyDescent="0.25">
      <c r="A237" s="21"/>
      <c r="B237" s="21"/>
      <c r="C237" s="21"/>
      <c r="D237" s="21"/>
      <c r="E237" s="21"/>
      <c r="F237" s="21"/>
      <c r="G237" s="21"/>
      <c r="H237" s="21"/>
      <c r="I237" s="21"/>
      <c r="J237" s="21"/>
      <c r="K237" s="21"/>
      <c r="L237" s="21"/>
      <c r="M237" s="21"/>
      <c r="N237" s="21"/>
    </row>
    <row r="238" spans="1:14" x14ac:dyDescent="0.25">
      <c r="A238" s="21"/>
      <c r="B238" s="21"/>
      <c r="C238" s="21"/>
      <c r="D238" s="21"/>
      <c r="E238" s="21"/>
      <c r="F238" s="21"/>
      <c r="G238" s="21"/>
      <c r="H238" s="21"/>
      <c r="I238" s="21"/>
      <c r="J238" s="21"/>
      <c r="K238" s="21"/>
      <c r="L238" s="21"/>
      <c r="M238" s="21"/>
      <c r="N238" s="21"/>
    </row>
    <row r="239" spans="1:14" x14ac:dyDescent="0.25">
      <c r="A239" s="21"/>
      <c r="B239" s="21"/>
      <c r="C239" s="21"/>
      <c r="D239" s="21"/>
      <c r="E239" s="21"/>
      <c r="F239" s="21"/>
      <c r="G239" s="21"/>
      <c r="H239" s="21"/>
      <c r="I239" s="21"/>
      <c r="J239" s="21"/>
      <c r="K239" s="21"/>
      <c r="L239" s="21"/>
      <c r="M239" s="21"/>
      <c r="N239" s="21"/>
    </row>
    <row r="240" spans="1:14" x14ac:dyDescent="0.25">
      <c r="A240" s="21"/>
      <c r="B240" s="21"/>
      <c r="C240" s="21"/>
      <c r="D240" s="21"/>
      <c r="E240" s="21"/>
      <c r="F240" s="21"/>
      <c r="G240" s="21"/>
      <c r="H240" s="21"/>
      <c r="I240" s="21"/>
      <c r="J240" s="21"/>
      <c r="K240" s="21"/>
      <c r="L240" s="21"/>
      <c r="M240" s="21"/>
      <c r="N240" s="21"/>
    </row>
    <row r="241" spans="1:14" x14ac:dyDescent="0.25">
      <c r="A241" s="21"/>
      <c r="B241" s="21"/>
      <c r="C241" s="21"/>
      <c r="D241" s="21"/>
      <c r="E241" s="21"/>
      <c r="F241" s="21"/>
      <c r="G241" s="21"/>
      <c r="H241" s="21"/>
      <c r="I241" s="21"/>
      <c r="J241" s="21"/>
      <c r="K241" s="21"/>
      <c r="L241" s="21"/>
      <c r="M241" s="21"/>
      <c r="N241" s="21"/>
    </row>
    <row r="242" spans="1:14" x14ac:dyDescent="0.25">
      <c r="A242" s="21"/>
      <c r="B242" s="21"/>
      <c r="C242" s="21"/>
      <c r="D242" s="21"/>
      <c r="E242" s="21"/>
      <c r="F242" s="21"/>
      <c r="G242" s="21"/>
      <c r="H242" s="21"/>
      <c r="I242" s="21"/>
      <c r="J242" s="21"/>
      <c r="K242" s="21"/>
      <c r="L242" s="21"/>
      <c r="M242" s="21"/>
      <c r="N242" s="21"/>
    </row>
    <row r="243" spans="1:14" x14ac:dyDescent="0.25">
      <c r="A243" s="21"/>
      <c r="B243" s="21"/>
      <c r="C243" s="21"/>
      <c r="D243" s="21"/>
      <c r="E243" s="21"/>
      <c r="F243" s="21"/>
      <c r="G243" s="21"/>
      <c r="H243" s="21"/>
      <c r="I243" s="21"/>
      <c r="J243" s="21"/>
      <c r="K243" s="21"/>
      <c r="L243" s="21"/>
      <c r="M243" s="21"/>
      <c r="N243" s="21"/>
    </row>
    <row r="244" spans="1:14" x14ac:dyDescent="0.25">
      <c r="A244" s="21"/>
      <c r="B244" s="21"/>
      <c r="C244" s="21"/>
      <c r="D244" s="21"/>
      <c r="E244" s="21"/>
      <c r="F244" s="21"/>
      <c r="G244" s="21"/>
      <c r="H244" s="21"/>
      <c r="I244" s="21"/>
      <c r="J244" s="21"/>
      <c r="K244" s="21"/>
      <c r="L244" s="21"/>
      <c r="M244" s="21"/>
      <c r="N244" s="21"/>
    </row>
    <row r="245" spans="1:14" x14ac:dyDescent="0.25">
      <c r="A245" s="21"/>
      <c r="B245" s="21"/>
      <c r="C245" s="21"/>
      <c r="D245" s="21"/>
      <c r="E245" s="21"/>
      <c r="F245" s="21"/>
      <c r="G245" s="21"/>
      <c r="H245" s="21"/>
      <c r="I245" s="21"/>
      <c r="J245" s="21"/>
      <c r="K245" s="21"/>
      <c r="L245" s="21"/>
      <c r="M245" s="21"/>
      <c r="N245" s="21"/>
    </row>
    <row r="246" spans="1:14" x14ac:dyDescent="0.25">
      <c r="A246" s="21"/>
      <c r="B246" s="21"/>
      <c r="C246" s="21"/>
      <c r="D246" s="21"/>
      <c r="E246" s="21"/>
      <c r="F246" s="21"/>
      <c r="G246" s="21"/>
      <c r="H246" s="21"/>
      <c r="I246" s="21"/>
      <c r="J246" s="21"/>
      <c r="K246" s="21"/>
      <c r="L246" s="21"/>
      <c r="M246" s="21"/>
      <c r="N246" s="21"/>
    </row>
    <row r="247" spans="1:14" x14ac:dyDescent="0.25">
      <c r="A247" s="21"/>
      <c r="B247" s="21"/>
      <c r="C247" s="21"/>
      <c r="D247" s="21"/>
      <c r="E247" s="21"/>
      <c r="F247" s="21"/>
      <c r="G247" s="21"/>
      <c r="H247" s="21"/>
      <c r="I247" s="21"/>
      <c r="J247" s="21"/>
      <c r="K247" s="21"/>
      <c r="L247" s="21"/>
      <c r="M247" s="21"/>
      <c r="N247" s="21"/>
    </row>
    <row r="248" spans="1:14" x14ac:dyDescent="0.25">
      <c r="A248" s="21"/>
      <c r="B248" s="21"/>
      <c r="C248" s="21"/>
      <c r="D248" s="21"/>
      <c r="E248" s="21"/>
      <c r="F248" s="21"/>
      <c r="G248" s="21"/>
      <c r="H248" s="21"/>
      <c r="I248" s="21"/>
      <c r="J248" s="21"/>
      <c r="K248" s="21"/>
      <c r="L248" s="21"/>
      <c r="M248" s="21"/>
      <c r="N248" s="21"/>
    </row>
    <row r="249" spans="1:14" x14ac:dyDescent="0.25">
      <c r="A249" s="21"/>
      <c r="B249" s="21"/>
      <c r="C249" s="21"/>
      <c r="D249" s="21"/>
      <c r="E249" s="21"/>
      <c r="F249" s="21"/>
      <c r="G249" s="21"/>
      <c r="H249" s="21"/>
      <c r="I249" s="21"/>
      <c r="J249" s="21"/>
      <c r="K249" s="21"/>
      <c r="L249" s="21"/>
      <c r="M249" s="21"/>
      <c r="N249" s="21"/>
    </row>
    <row r="250" spans="1:14" x14ac:dyDescent="0.25">
      <c r="A250" s="21"/>
      <c r="B250" s="21"/>
      <c r="C250" s="21"/>
      <c r="D250" s="21"/>
      <c r="E250" s="21"/>
      <c r="F250" s="21"/>
      <c r="G250" s="21"/>
      <c r="H250" s="21"/>
      <c r="I250" s="21"/>
      <c r="J250" s="21"/>
      <c r="K250" s="21"/>
      <c r="L250" s="21"/>
      <c r="M250" s="21"/>
      <c r="N250" s="21"/>
    </row>
    <row r="251" spans="1:14" x14ac:dyDescent="0.25">
      <c r="A251" s="21"/>
      <c r="B251" s="21"/>
      <c r="C251" s="21"/>
      <c r="D251" s="21"/>
      <c r="E251" s="21"/>
      <c r="F251" s="21"/>
      <c r="G251" s="21"/>
      <c r="H251" s="21"/>
      <c r="I251" s="21"/>
      <c r="J251" s="21"/>
      <c r="K251" s="21"/>
      <c r="L251" s="21"/>
      <c r="M251" s="21"/>
      <c r="N251" s="21"/>
    </row>
    <row r="252" spans="1:14" x14ac:dyDescent="0.25">
      <c r="A252" s="21"/>
      <c r="B252" s="21"/>
      <c r="C252" s="21"/>
      <c r="D252" s="21"/>
      <c r="E252" s="21"/>
      <c r="F252" s="21"/>
      <c r="G252" s="21"/>
      <c r="H252" s="21"/>
      <c r="I252" s="21"/>
      <c r="J252" s="21"/>
      <c r="K252" s="21"/>
      <c r="L252" s="21"/>
      <c r="M252" s="21"/>
      <c r="N252" s="21"/>
    </row>
    <row r="253" spans="1:14" x14ac:dyDescent="0.25">
      <c r="A253" s="21"/>
      <c r="B253" s="21"/>
      <c r="C253" s="21"/>
      <c r="D253" s="21"/>
      <c r="E253" s="21"/>
      <c r="F253" s="21"/>
      <c r="G253" s="21"/>
      <c r="H253" s="21"/>
      <c r="I253" s="21"/>
      <c r="J253" s="21"/>
      <c r="K253" s="21"/>
      <c r="L253" s="21"/>
      <c r="M253" s="21"/>
      <c r="N253" s="21"/>
    </row>
    <row r="254" spans="1:14" x14ac:dyDescent="0.25">
      <c r="A254" s="21"/>
      <c r="B254" s="21"/>
      <c r="C254" s="21"/>
      <c r="D254" s="21"/>
      <c r="E254" s="21"/>
      <c r="F254" s="21"/>
      <c r="G254" s="21"/>
      <c r="H254" s="21"/>
      <c r="I254" s="21"/>
      <c r="J254" s="21"/>
      <c r="K254" s="21"/>
      <c r="L254" s="21"/>
      <c r="M254" s="21"/>
      <c r="N254" s="21"/>
    </row>
    <row r="255" spans="1:14" x14ac:dyDescent="0.25">
      <c r="A255" s="21"/>
      <c r="B255" s="21"/>
      <c r="C255" s="21"/>
      <c r="D255" s="21"/>
      <c r="E255" s="21"/>
      <c r="F255" s="21"/>
      <c r="G255" s="21"/>
      <c r="H255" s="21"/>
      <c r="I255" s="21"/>
      <c r="J255" s="21"/>
      <c r="K255" s="21"/>
      <c r="L255" s="21"/>
      <c r="M255" s="21"/>
      <c r="N255" s="21"/>
    </row>
    <row r="256" spans="1:14" x14ac:dyDescent="0.25">
      <c r="A256" s="21"/>
      <c r="B256" s="21"/>
      <c r="C256" s="21"/>
      <c r="D256" s="21"/>
      <c r="E256" s="21"/>
      <c r="F256" s="21"/>
      <c r="G256" s="21"/>
      <c r="H256" s="21"/>
      <c r="I256" s="21"/>
      <c r="J256" s="21"/>
      <c r="K256" s="21"/>
      <c r="L256" s="21"/>
      <c r="M256" s="21"/>
      <c r="N256" s="21"/>
    </row>
    <row r="257" spans="1:14" x14ac:dyDescent="0.25">
      <c r="A257" s="21"/>
      <c r="B257" s="21"/>
      <c r="C257" s="21"/>
      <c r="D257" s="21"/>
      <c r="E257" s="21"/>
      <c r="F257" s="21"/>
      <c r="G257" s="21"/>
      <c r="H257" s="21"/>
      <c r="I257" s="21"/>
      <c r="J257" s="21"/>
      <c r="K257" s="21"/>
      <c r="L257" s="21"/>
      <c r="M257" s="21"/>
      <c r="N257" s="21"/>
    </row>
    <row r="258" spans="1:14" x14ac:dyDescent="0.25">
      <c r="A258" s="21"/>
      <c r="B258" s="21"/>
      <c r="C258" s="21"/>
      <c r="D258" s="21"/>
      <c r="E258" s="21"/>
      <c r="F258" s="21"/>
      <c r="G258" s="21"/>
      <c r="H258" s="21"/>
      <c r="I258" s="21"/>
      <c r="J258" s="21"/>
      <c r="K258" s="21"/>
      <c r="L258" s="21"/>
      <c r="M258" s="21"/>
      <c r="N258" s="21"/>
    </row>
    <row r="259" spans="1:14" x14ac:dyDescent="0.25">
      <c r="A259" s="21"/>
      <c r="B259" s="21"/>
      <c r="C259" s="21"/>
      <c r="D259" s="21"/>
      <c r="E259" s="21"/>
      <c r="F259" s="21"/>
      <c r="G259" s="21"/>
      <c r="H259" s="21"/>
      <c r="I259" s="21"/>
      <c r="J259" s="21"/>
      <c r="K259" s="21"/>
      <c r="L259" s="21"/>
      <c r="M259" s="21"/>
      <c r="N259" s="21"/>
    </row>
    <row r="260" spans="1:14" x14ac:dyDescent="0.25">
      <c r="A260" s="21"/>
      <c r="B260" s="21"/>
      <c r="C260" s="21"/>
      <c r="D260" s="21"/>
      <c r="E260" s="21"/>
      <c r="F260" s="21"/>
      <c r="G260" s="21"/>
      <c r="H260" s="21"/>
      <c r="I260" s="21"/>
      <c r="J260" s="21"/>
      <c r="K260" s="21"/>
      <c r="L260" s="21"/>
      <c r="M260" s="21"/>
      <c r="N260" s="21"/>
    </row>
    <row r="261" spans="1:14" x14ac:dyDescent="0.25">
      <c r="A261" s="21"/>
      <c r="B261" s="21"/>
      <c r="C261" s="21"/>
      <c r="D261" s="21"/>
      <c r="E261" s="21"/>
      <c r="F261" s="21"/>
      <c r="G261" s="21"/>
      <c r="H261" s="21"/>
      <c r="I261" s="21"/>
      <c r="J261" s="21"/>
      <c r="K261" s="21"/>
      <c r="L261" s="21"/>
      <c r="M261" s="21"/>
      <c r="N261" s="21"/>
    </row>
    <row r="262" spans="1:14" x14ac:dyDescent="0.25">
      <c r="A262" s="21"/>
      <c r="B262" s="21"/>
      <c r="C262" s="21"/>
      <c r="D262" s="21"/>
      <c r="E262" s="21"/>
      <c r="F262" s="21"/>
      <c r="G262" s="21"/>
      <c r="H262" s="21"/>
      <c r="I262" s="21"/>
      <c r="J262" s="21"/>
      <c r="K262" s="21"/>
      <c r="L262" s="21"/>
      <c r="M262" s="21"/>
      <c r="N262" s="21"/>
    </row>
    <row r="263" spans="1:14" x14ac:dyDescent="0.25">
      <c r="A263" s="21"/>
      <c r="B263" s="21"/>
      <c r="C263" s="21"/>
      <c r="D263" s="21"/>
      <c r="E263" s="21"/>
      <c r="F263" s="21"/>
      <c r="G263" s="21"/>
      <c r="H263" s="21"/>
      <c r="I263" s="21"/>
      <c r="J263" s="21"/>
      <c r="K263" s="21"/>
      <c r="L263" s="21"/>
      <c r="M263" s="21"/>
      <c r="N263" s="21"/>
    </row>
    <row r="264" spans="1:14" x14ac:dyDescent="0.25">
      <c r="A264" s="21"/>
      <c r="B264" s="21"/>
      <c r="C264" s="21"/>
      <c r="D264" s="21"/>
      <c r="E264" s="21"/>
      <c r="F264" s="21"/>
      <c r="G264" s="21"/>
      <c r="H264" s="21"/>
      <c r="I264" s="21"/>
      <c r="J264" s="21"/>
      <c r="K264" s="21"/>
      <c r="L264" s="21"/>
      <c r="M264" s="21"/>
      <c r="N264" s="21"/>
    </row>
    <row r="265" spans="1:14" x14ac:dyDescent="0.25">
      <c r="A265" s="21"/>
      <c r="B265" s="21"/>
      <c r="C265" s="21"/>
      <c r="D265" s="21"/>
      <c r="E265" s="21"/>
      <c r="F265" s="21"/>
      <c r="G265" s="21"/>
      <c r="H265" s="21"/>
      <c r="I265" s="21"/>
      <c r="J265" s="21"/>
      <c r="K265" s="21"/>
      <c r="L265" s="21"/>
      <c r="M265" s="21"/>
      <c r="N265" s="21"/>
    </row>
    <row r="266" spans="1:14" x14ac:dyDescent="0.25">
      <c r="A266" s="21"/>
      <c r="B266" s="21"/>
      <c r="C266" s="21"/>
      <c r="D266" s="21"/>
      <c r="E266" s="21"/>
      <c r="F266" s="21"/>
      <c r="G266" s="21"/>
      <c r="H266" s="21"/>
      <c r="I266" s="21"/>
      <c r="J266" s="21"/>
      <c r="K266" s="21"/>
      <c r="L266" s="21"/>
      <c r="M266" s="21"/>
      <c r="N266" s="21"/>
    </row>
    <row r="267" spans="1:14" x14ac:dyDescent="0.25">
      <c r="A267" s="21"/>
      <c r="B267" s="21"/>
      <c r="C267" s="21"/>
      <c r="D267" s="21"/>
      <c r="E267" s="21"/>
      <c r="F267" s="21"/>
      <c r="G267" s="21"/>
      <c r="H267" s="21"/>
      <c r="I267" s="21"/>
      <c r="J267" s="21"/>
      <c r="K267" s="21"/>
      <c r="L267" s="21"/>
      <c r="M267" s="21"/>
      <c r="N267" s="21"/>
    </row>
    <row r="268" spans="1:14" x14ac:dyDescent="0.25">
      <c r="A268" s="21"/>
      <c r="B268" s="21"/>
      <c r="C268" s="21"/>
      <c r="D268" s="21"/>
      <c r="E268" s="21"/>
      <c r="F268" s="21"/>
      <c r="G268" s="21"/>
      <c r="H268" s="21"/>
      <c r="I268" s="21"/>
      <c r="J268" s="21"/>
      <c r="K268" s="21"/>
      <c r="L268" s="21"/>
      <c r="M268" s="21"/>
      <c r="N268" s="21"/>
    </row>
    <row r="269" spans="1:14" x14ac:dyDescent="0.25">
      <c r="A269" s="21"/>
      <c r="B269" s="21"/>
      <c r="C269" s="21"/>
      <c r="D269" s="21"/>
      <c r="E269" s="21"/>
      <c r="F269" s="21"/>
      <c r="G269" s="21"/>
      <c r="H269" s="21"/>
      <c r="I269" s="21"/>
      <c r="J269" s="21"/>
      <c r="K269" s="21"/>
      <c r="L269" s="21"/>
      <c r="M269" s="21"/>
      <c r="N269" s="21"/>
    </row>
    <row r="270" spans="1:14" x14ac:dyDescent="0.25">
      <c r="A270" s="21"/>
      <c r="B270" s="21"/>
      <c r="C270" s="21"/>
      <c r="D270" s="21"/>
      <c r="E270" s="21"/>
      <c r="F270" s="21"/>
      <c r="G270" s="21"/>
      <c r="H270" s="21"/>
      <c r="I270" s="21"/>
      <c r="J270" s="21"/>
      <c r="K270" s="21"/>
      <c r="L270" s="21"/>
      <c r="M270" s="21"/>
      <c r="N270" s="21"/>
    </row>
    <row r="271" spans="1:14" x14ac:dyDescent="0.25">
      <c r="A271" s="21"/>
      <c r="B271" s="21"/>
      <c r="C271" s="21"/>
      <c r="D271" s="21"/>
      <c r="E271" s="21"/>
      <c r="F271" s="21"/>
      <c r="G271" s="21"/>
      <c r="H271" s="21"/>
      <c r="I271" s="21"/>
      <c r="J271" s="21"/>
      <c r="K271" s="21"/>
      <c r="L271" s="21"/>
      <c r="M271" s="21"/>
      <c r="N271" s="21"/>
    </row>
    <row r="272" spans="1:14" x14ac:dyDescent="0.25">
      <c r="A272" s="21"/>
      <c r="B272" s="21"/>
      <c r="C272" s="21"/>
      <c r="D272" s="21"/>
      <c r="E272" s="21"/>
      <c r="F272" s="21"/>
      <c r="G272" s="21"/>
      <c r="H272" s="21"/>
      <c r="I272" s="21"/>
      <c r="J272" s="21"/>
      <c r="K272" s="21"/>
      <c r="L272" s="21"/>
      <c r="M272" s="21"/>
      <c r="N272" s="21"/>
    </row>
    <row r="273" spans="1:14" x14ac:dyDescent="0.25">
      <c r="A273" s="21"/>
      <c r="B273" s="21"/>
      <c r="C273" s="21"/>
      <c r="D273" s="21"/>
      <c r="E273" s="21"/>
      <c r="F273" s="21"/>
      <c r="G273" s="21"/>
      <c r="H273" s="21"/>
      <c r="I273" s="21"/>
      <c r="J273" s="21"/>
      <c r="K273" s="21"/>
      <c r="L273" s="21"/>
      <c r="M273" s="21"/>
      <c r="N273" s="21"/>
    </row>
    <row r="274" spans="1:14" x14ac:dyDescent="0.25">
      <c r="A274" s="21"/>
      <c r="B274" s="21"/>
      <c r="C274" s="21"/>
      <c r="D274" s="21"/>
      <c r="E274" s="21"/>
      <c r="F274" s="21"/>
      <c r="G274" s="21"/>
      <c r="H274" s="21"/>
      <c r="I274" s="21"/>
      <c r="J274" s="21"/>
      <c r="K274" s="21"/>
      <c r="L274" s="21"/>
      <c r="M274" s="21"/>
      <c r="N274" s="21"/>
    </row>
    <row r="275" spans="1:14" x14ac:dyDescent="0.25">
      <c r="A275" s="21"/>
      <c r="B275" s="21"/>
      <c r="C275" s="21"/>
      <c r="D275" s="21"/>
      <c r="E275" s="21"/>
      <c r="F275" s="21"/>
      <c r="G275" s="21"/>
      <c r="H275" s="21"/>
      <c r="I275" s="21"/>
      <c r="J275" s="21"/>
      <c r="K275" s="21"/>
      <c r="L275" s="21"/>
      <c r="M275" s="21"/>
      <c r="N275" s="21"/>
    </row>
    <row r="276" spans="1:14" x14ac:dyDescent="0.25">
      <c r="A276" s="21"/>
      <c r="B276" s="21"/>
      <c r="C276" s="21"/>
      <c r="D276" s="21"/>
      <c r="E276" s="21"/>
      <c r="F276" s="21"/>
      <c r="G276" s="21"/>
      <c r="H276" s="21"/>
      <c r="I276" s="21"/>
      <c r="J276" s="21"/>
      <c r="K276" s="21"/>
      <c r="L276" s="21"/>
      <c r="M276" s="21"/>
      <c r="N276" s="21"/>
    </row>
    <row r="277" spans="1:14" x14ac:dyDescent="0.25">
      <c r="A277" s="21"/>
      <c r="B277" s="21"/>
      <c r="C277" s="21"/>
      <c r="D277" s="21"/>
      <c r="E277" s="21"/>
      <c r="F277" s="21"/>
      <c r="G277" s="21"/>
      <c r="H277" s="21"/>
      <c r="I277" s="21"/>
      <c r="J277" s="21"/>
      <c r="K277" s="21"/>
      <c r="L277" s="21"/>
      <c r="M277" s="21"/>
      <c r="N277" s="21"/>
    </row>
    <row r="278" spans="1:14" x14ac:dyDescent="0.25">
      <c r="A278" s="21"/>
      <c r="B278" s="21"/>
      <c r="C278" s="21"/>
      <c r="D278" s="21"/>
      <c r="E278" s="21"/>
      <c r="F278" s="21"/>
      <c r="G278" s="21"/>
      <c r="H278" s="21"/>
      <c r="I278" s="21"/>
      <c r="J278" s="21"/>
      <c r="K278" s="21"/>
      <c r="L278" s="21"/>
      <c r="M278" s="21"/>
      <c r="N278" s="21"/>
    </row>
    <row r="279" spans="1:14" x14ac:dyDescent="0.25">
      <c r="A279" s="21"/>
      <c r="B279" s="21"/>
      <c r="C279" s="21"/>
      <c r="D279" s="21"/>
      <c r="E279" s="21"/>
      <c r="F279" s="21"/>
      <c r="G279" s="21"/>
      <c r="H279" s="21"/>
      <c r="I279" s="21"/>
      <c r="J279" s="21"/>
      <c r="K279" s="21"/>
      <c r="L279" s="21"/>
      <c r="M279" s="21"/>
      <c r="N279" s="21"/>
    </row>
    <row r="280" spans="1:14" x14ac:dyDescent="0.25">
      <c r="A280" s="21"/>
      <c r="B280" s="21"/>
      <c r="C280" s="21"/>
      <c r="D280" s="21"/>
      <c r="E280" s="21"/>
      <c r="F280" s="21"/>
      <c r="G280" s="21"/>
      <c r="H280" s="21"/>
      <c r="I280" s="21"/>
      <c r="J280" s="21"/>
      <c r="K280" s="21"/>
      <c r="L280" s="21"/>
      <c r="M280" s="21"/>
      <c r="N280" s="21"/>
    </row>
    <row r="281" spans="1:14" x14ac:dyDescent="0.25">
      <c r="A281" s="21"/>
      <c r="B281" s="21"/>
      <c r="C281" s="21"/>
      <c r="D281" s="21"/>
      <c r="E281" s="21"/>
      <c r="F281" s="21"/>
      <c r="G281" s="21"/>
      <c r="H281" s="21"/>
      <c r="I281" s="21"/>
      <c r="J281" s="21"/>
      <c r="K281" s="21"/>
      <c r="L281" s="21"/>
      <c r="M281" s="21"/>
      <c r="N281" s="21"/>
    </row>
    <row r="282" spans="1:14" x14ac:dyDescent="0.25">
      <c r="A282" s="21"/>
      <c r="B282" s="21"/>
      <c r="C282" s="21"/>
      <c r="D282" s="21"/>
      <c r="E282" s="21"/>
      <c r="F282" s="21"/>
      <c r="G282" s="21"/>
      <c r="H282" s="21"/>
      <c r="I282" s="21"/>
      <c r="J282" s="21"/>
      <c r="K282" s="21"/>
      <c r="L282" s="21"/>
      <c r="M282" s="21"/>
      <c r="N282" s="21"/>
    </row>
    <row r="283" spans="1:14" x14ac:dyDescent="0.25">
      <c r="A283" s="21"/>
      <c r="B283" s="21"/>
      <c r="C283" s="21"/>
      <c r="D283" s="21"/>
      <c r="E283" s="21"/>
      <c r="F283" s="21"/>
      <c r="G283" s="21"/>
      <c r="H283" s="21"/>
      <c r="I283" s="21"/>
      <c r="J283" s="21"/>
      <c r="K283" s="21"/>
      <c r="L283" s="21"/>
      <c r="M283" s="21"/>
      <c r="N283" s="21"/>
    </row>
    <row r="284" spans="1:14" x14ac:dyDescent="0.25">
      <c r="A284" s="21"/>
      <c r="B284" s="21"/>
      <c r="C284" s="21"/>
      <c r="D284" s="21"/>
      <c r="E284" s="21"/>
      <c r="F284" s="21"/>
      <c r="G284" s="21"/>
      <c r="H284" s="21"/>
      <c r="I284" s="21"/>
      <c r="J284" s="21"/>
      <c r="K284" s="21"/>
      <c r="L284" s="21"/>
      <c r="M284" s="21"/>
      <c r="N284" s="21"/>
    </row>
    <row r="285" spans="1:14" x14ac:dyDescent="0.25">
      <c r="A285" s="21"/>
      <c r="B285" s="21"/>
      <c r="C285" s="21"/>
      <c r="D285" s="21"/>
      <c r="E285" s="21"/>
      <c r="F285" s="21"/>
      <c r="G285" s="21"/>
      <c r="H285" s="21"/>
      <c r="I285" s="21"/>
      <c r="J285" s="21"/>
      <c r="K285" s="21"/>
      <c r="L285" s="21"/>
      <c r="M285" s="21"/>
      <c r="N285" s="21"/>
    </row>
    <row r="286" spans="1:14" x14ac:dyDescent="0.25">
      <c r="A286" s="21"/>
      <c r="B286" s="21"/>
      <c r="C286" s="21"/>
      <c r="D286" s="21"/>
      <c r="E286" s="21"/>
      <c r="F286" s="21"/>
      <c r="G286" s="21"/>
      <c r="H286" s="21"/>
      <c r="I286" s="21"/>
      <c r="J286" s="21"/>
      <c r="K286" s="21"/>
      <c r="L286" s="21"/>
      <c r="M286" s="21"/>
      <c r="N286" s="21"/>
    </row>
    <row r="287" spans="1:14" x14ac:dyDescent="0.25">
      <c r="A287" s="21"/>
      <c r="B287" s="21"/>
      <c r="C287" s="21"/>
      <c r="D287" s="21"/>
      <c r="E287" s="21"/>
      <c r="F287" s="21"/>
      <c r="G287" s="21"/>
      <c r="H287" s="21"/>
      <c r="I287" s="21"/>
      <c r="J287" s="21"/>
      <c r="K287" s="21"/>
      <c r="L287" s="21"/>
      <c r="M287" s="21"/>
      <c r="N287" s="21"/>
    </row>
    <row r="288" spans="1:14" x14ac:dyDescent="0.25">
      <c r="A288" s="21"/>
      <c r="B288" s="21"/>
      <c r="C288" s="21"/>
      <c r="D288" s="21"/>
      <c r="E288" s="21"/>
      <c r="F288" s="21"/>
      <c r="G288" s="21"/>
      <c r="H288" s="21"/>
      <c r="I288" s="21"/>
      <c r="J288" s="21"/>
      <c r="K288" s="21"/>
      <c r="L288" s="21"/>
      <c r="M288" s="21"/>
      <c r="N288" s="21"/>
    </row>
    <row r="289" spans="1:14" x14ac:dyDescent="0.25">
      <c r="A289" s="21"/>
      <c r="B289" s="21"/>
      <c r="C289" s="21"/>
      <c r="D289" s="21"/>
      <c r="E289" s="21"/>
      <c r="F289" s="21"/>
      <c r="G289" s="21"/>
      <c r="H289" s="21"/>
      <c r="I289" s="21"/>
      <c r="J289" s="21"/>
      <c r="K289" s="21"/>
      <c r="L289" s="21"/>
      <c r="M289" s="21"/>
      <c r="N289" s="21"/>
    </row>
    <row r="290" spans="1:14" x14ac:dyDescent="0.25">
      <c r="A290" s="21"/>
      <c r="B290" s="21"/>
      <c r="C290" s="21"/>
      <c r="D290" s="21"/>
      <c r="E290" s="21"/>
      <c r="F290" s="21"/>
      <c r="G290" s="21"/>
      <c r="H290" s="21"/>
      <c r="I290" s="21"/>
      <c r="J290" s="21"/>
      <c r="K290" s="21"/>
      <c r="L290" s="21"/>
      <c r="M290" s="21"/>
      <c r="N290" s="21"/>
    </row>
    <row r="291" spans="1:14" x14ac:dyDescent="0.25">
      <c r="A291" s="21"/>
      <c r="B291" s="21"/>
      <c r="C291" s="21"/>
      <c r="D291" s="21"/>
      <c r="E291" s="21"/>
      <c r="F291" s="21"/>
      <c r="G291" s="21"/>
      <c r="H291" s="21"/>
      <c r="I291" s="21"/>
      <c r="J291" s="21"/>
      <c r="K291" s="21"/>
      <c r="L291" s="21"/>
      <c r="M291" s="21"/>
      <c r="N291" s="21"/>
    </row>
    <row r="292" spans="1:14" x14ac:dyDescent="0.25">
      <c r="A292" s="21"/>
      <c r="B292" s="21"/>
      <c r="C292" s="21"/>
      <c r="D292" s="21"/>
      <c r="E292" s="21"/>
      <c r="F292" s="21"/>
      <c r="G292" s="21"/>
      <c r="H292" s="21"/>
      <c r="I292" s="21"/>
      <c r="J292" s="21"/>
      <c r="K292" s="21"/>
      <c r="L292" s="21"/>
      <c r="M292" s="21"/>
      <c r="N292" s="21"/>
    </row>
    <row r="293" spans="1:14" x14ac:dyDescent="0.25">
      <c r="A293" s="21"/>
      <c r="B293" s="21"/>
      <c r="C293" s="21"/>
      <c r="D293" s="21"/>
      <c r="E293" s="21"/>
      <c r="F293" s="21"/>
      <c r="G293" s="21"/>
      <c r="H293" s="21"/>
      <c r="I293" s="21"/>
      <c r="J293" s="21"/>
      <c r="K293" s="21"/>
      <c r="L293" s="21"/>
      <c r="M293" s="21"/>
      <c r="N293" s="21"/>
    </row>
    <row r="294" spans="1:14" x14ac:dyDescent="0.25">
      <c r="A294" s="21"/>
      <c r="B294" s="21"/>
      <c r="C294" s="21"/>
      <c r="D294" s="21"/>
      <c r="E294" s="21"/>
      <c r="F294" s="21"/>
      <c r="G294" s="21"/>
      <c r="H294" s="21"/>
      <c r="I294" s="21"/>
      <c r="J294" s="21"/>
      <c r="K294" s="21"/>
      <c r="L294" s="21"/>
      <c r="M294" s="21"/>
      <c r="N294" s="21"/>
    </row>
    <row r="295" spans="1:14" x14ac:dyDescent="0.25">
      <c r="A295" s="21"/>
      <c r="B295" s="21"/>
      <c r="C295" s="21"/>
      <c r="D295" s="21"/>
      <c r="E295" s="21"/>
      <c r="F295" s="21"/>
      <c r="G295" s="21"/>
      <c r="H295" s="21"/>
      <c r="I295" s="21"/>
      <c r="J295" s="21"/>
      <c r="K295" s="21"/>
      <c r="L295" s="21"/>
      <c r="M295" s="21"/>
      <c r="N295" s="21"/>
    </row>
    <row r="296" spans="1:14" x14ac:dyDescent="0.25">
      <c r="A296" s="21"/>
      <c r="B296" s="21"/>
      <c r="C296" s="21"/>
      <c r="D296" s="21"/>
      <c r="E296" s="21"/>
      <c r="F296" s="21"/>
      <c r="G296" s="21"/>
      <c r="H296" s="21"/>
      <c r="I296" s="21"/>
      <c r="J296" s="21"/>
      <c r="K296" s="21"/>
      <c r="L296" s="21"/>
      <c r="M296" s="21"/>
      <c r="N296" s="21"/>
    </row>
    <row r="297" spans="1:14" x14ac:dyDescent="0.25">
      <c r="A297" s="21"/>
      <c r="B297" s="21"/>
      <c r="C297" s="21"/>
      <c r="D297" s="21"/>
      <c r="E297" s="21"/>
      <c r="F297" s="21"/>
      <c r="G297" s="21"/>
      <c r="H297" s="21"/>
      <c r="I297" s="21"/>
      <c r="J297" s="21"/>
      <c r="K297" s="21"/>
      <c r="L297" s="21"/>
      <c r="M297" s="21"/>
      <c r="N297" s="21"/>
    </row>
    <row r="298" spans="1:14" x14ac:dyDescent="0.25">
      <c r="A298" s="21"/>
      <c r="B298" s="21"/>
      <c r="C298" s="21"/>
      <c r="D298" s="21"/>
      <c r="E298" s="21"/>
      <c r="F298" s="21"/>
      <c r="G298" s="21"/>
      <c r="H298" s="21"/>
      <c r="I298" s="21"/>
      <c r="J298" s="21"/>
      <c r="K298" s="21"/>
      <c r="L298" s="21"/>
      <c r="M298" s="21"/>
      <c r="N298" s="21"/>
    </row>
    <row r="299" spans="1:14" x14ac:dyDescent="0.25">
      <c r="A299" s="21"/>
      <c r="B299" s="21"/>
      <c r="C299" s="21"/>
      <c r="D299" s="21"/>
      <c r="E299" s="21"/>
      <c r="F299" s="21"/>
      <c r="G299" s="21"/>
      <c r="H299" s="21"/>
      <c r="I299" s="21"/>
      <c r="J299" s="21"/>
      <c r="K299" s="21"/>
      <c r="L299" s="21"/>
      <c r="M299" s="21"/>
      <c r="N299" s="21"/>
    </row>
    <row r="300" spans="1:14" x14ac:dyDescent="0.25">
      <c r="A300" s="21"/>
      <c r="B300" s="21"/>
      <c r="C300" s="21"/>
      <c r="D300" s="21"/>
      <c r="E300" s="21"/>
      <c r="F300" s="21"/>
      <c r="G300" s="21"/>
      <c r="H300" s="21"/>
      <c r="I300" s="21"/>
      <c r="J300" s="21"/>
      <c r="K300" s="21"/>
      <c r="L300" s="21"/>
      <c r="M300" s="21"/>
      <c r="N300" s="21"/>
    </row>
    <row r="301" spans="1:14" x14ac:dyDescent="0.25">
      <c r="A301" s="21"/>
      <c r="B301" s="21"/>
      <c r="C301" s="21"/>
      <c r="D301" s="21"/>
      <c r="E301" s="21"/>
      <c r="F301" s="21"/>
      <c r="G301" s="21"/>
      <c r="H301" s="21"/>
      <c r="I301" s="21"/>
      <c r="J301" s="21"/>
      <c r="K301" s="21"/>
      <c r="L301" s="21"/>
      <c r="M301" s="21"/>
      <c r="N301" s="21"/>
    </row>
    <row r="302" spans="1:14" x14ac:dyDescent="0.25">
      <c r="A302" s="21"/>
      <c r="B302" s="21"/>
      <c r="C302" s="21"/>
      <c r="D302" s="21"/>
      <c r="E302" s="21"/>
      <c r="F302" s="21"/>
      <c r="G302" s="21"/>
      <c r="H302" s="21"/>
      <c r="I302" s="21"/>
      <c r="J302" s="21"/>
      <c r="K302" s="21"/>
      <c r="L302" s="21"/>
      <c r="M302" s="21"/>
      <c r="N302" s="21"/>
    </row>
    <row r="303" spans="1:14" x14ac:dyDescent="0.25">
      <c r="A303" s="21"/>
      <c r="B303" s="21"/>
      <c r="C303" s="21"/>
      <c r="D303" s="21"/>
      <c r="E303" s="21"/>
      <c r="F303" s="21"/>
      <c r="G303" s="21"/>
      <c r="H303" s="21"/>
      <c r="I303" s="21"/>
      <c r="J303" s="21"/>
      <c r="K303" s="21"/>
      <c r="L303" s="21"/>
      <c r="M303" s="21"/>
      <c r="N303" s="21"/>
    </row>
    <row r="304" spans="1:14" x14ac:dyDescent="0.25">
      <c r="A304" s="21"/>
      <c r="B304" s="21"/>
      <c r="C304" s="21"/>
      <c r="D304" s="21"/>
      <c r="E304" s="21"/>
      <c r="F304" s="21"/>
      <c r="G304" s="21"/>
      <c r="H304" s="21"/>
      <c r="I304" s="21"/>
      <c r="J304" s="21"/>
      <c r="K304" s="21"/>
      <c r="L304" s="21"/>
      <c r="M304" s="21"/>
      <c r="N304" s="21"/>
    </row>
    <row r="305" spans="1:14" x14ac:dyDescent="0.25">
      <c r="A305" s="21"/>
      <c r="B305" s="21"/>
      <c r="C305" s="21"/>
      <c r="D305" s="21"/>
      <c r="E305" s="21"/>
      <c r="F305" s="21"/>
      <c r="G305" s="21"/>
      <c r="H305" s="21"/>
      <c r="I305" s="21"/>
      <c r="J305" s="21"/>
      <c r="K305" s="21"/>
      <c r="L305" s="21"/>
      <c r="M305" s="21"/>
      <c r="N305" s="21"/>
    </row>
    <row r="306" spans="1:14" x14ac:dyDescent="0.25">
      <c r="A306" s="21"/>
      <c r="B306" s="21"/>
      <c r="C306" s="21"/>
      <c r="D306" s="21"/>
      <c r="E306" s="21"/>
      <c r="F306" s="21"/>
      <c r="G306" s="21"/>
      <c r="H306" s="21"/>
      <c r="I306" s="21"/>
      <c r="J306" s="21"/>
      <c r="K306" s="21"/>
      <c r="L306" s="21"/>
      <c r="M306" s="21"/>
      <c r="N306" s="21"/>
    </row>
    <row r="307" spans="1:14" x14ac:dyDescent="0.25">
      <c r="A307" s="21"/>
      <c r="B307" s="21"/>
      <c r="C307" s="21"/>
      <c r="D307" s="21"/>
      <c r="E307" s="21"/>
      <c r="F307" s="21"/>
      <c r="G307" s="21"/>
      <c r="H307" s="21"/>
      <c r="I307" s="21"/>
      <c r="J307" s="21"/>
      <c r="K307" s="21"/>
      <c r="L307" s="21"/>
      <c r="M307" s="21"/>
      <c r="N307" s="21"/>
    </row>
    <row r="308" spans="1:14" x14ac:dyDescent="0.25">
      <c r="A308" s="21"/>
      <c r="B308" s="21"/>
      <c r="C308" s="21"/>
      <c r="D308" s="21"/>
      <c r="E308" s="21"/>
      <c r="F308" s="21"/>
      <c r="G308" s="21"/>
      <c r="H308" s="21"/>
      <c r="I308" s="21"/>
      <c r="J308" s="21"/>
      <c r="K308" s="21"/>
      <c r="L308" s="21"/>
      <c r="M308" s="21"/>
      <c r="N308" s="21"/>
    </row>
    <row r="309" spans="1:14" x14ac:dyDescent="0.25">
      <c r="A309" s="21"/>
      <c r="B309" s="21"/>
      <c r="C309" s="21"/>
      <c r="D309" s="21"/>
      <c r="E309" s="21"/>
      <c r="F309" s="21"/>
      <c r="G309" s="21"/>
      <c r="H309" s="21"/>
      <c r="I309" s="21"/>
      <c r="J309" s="21"/>
      <c r="K309" s="21"/>
      <c r="L309" s="21"/>
      <c r="M309" s="21"/>
      <c r="N309" s="21"/>
    </row>
    <row r="310" spans="1:14" x14ac:dyDescent="0.25">
      <c r="A310" s="21"/>
      <c r="B310" s="21"/>
      <c r="C310" s="21"/>
      <c r="D310" s="21"/>
      <c r="E310" s="21"/>
      <c r="F310" s="21"/>
      <c r="G310" s="21"/>
      <c r="H310" s="21"/>
      <c r="I310" s="21"/>
      <c r="J310" s="21"/>
      <c r="K310" s="21"/>
      <c r="L310" s="21"/>
      <c r="M310" s="21"/>
      <c r="N310" s="21"/>
    </row>
    <row r="311" spans="1:14" x14ac:dyDescent="0.25">
      <c r="A311" s="21"/>
      <c r="B311" s="21"/>
      <c r="C311" s="21"/>
      <c r="D311" s="21"/>
      <c r="E311" s="21"/>
      <c r="F311" s="21"/>
      <c r="G311" s="21"/>
      <c r="H311" s="21"/>
      <c r="I311" s="21"/>
      <c r="J311" s="21"/>
      <c r="K311" s="21"/>
      <c r="L311" s="21"/>
      <c r="M311" s="21"/>
      <c r="N311" s="21"/>
    </row>
    <row r="312" spans="1:14" x14ac:dyDescent="0.25">
      <c r="A312" s="21"/>
      <c r="B312" s="21"/>
      <c r="C312" s="21"/>
      <c r="D312" s="21"/>
      <c r="E312" s="21"/>
      <c r="F312" s="21"/>
      <c r="G312" s="21"/>
      <c r="H312" s="21"/>
      <c r="I312" s="21"/>
      <c r="J312" s="21"/>
      <c r="K312" s="21"/>
      <c r="L312" s="21"/>
      <c r="M312" s="21"/>
      <c r="N312" s="21"/>
    </row>
    <row r="313" spans="1:14" x14ac:dyDescent="0.25">
      <c r="A313" s="21"/>
      <c r="B313" s="21"/>
      <c r="C313" s="21"/>
      <c r="D313" s="21"/>
      <c r="E313" s="21"/>
      <c r="F313" s="21"/>
      <c r="G313" s="21"/>
      <c r="H313" s="21"/>
      <c r="I313" s="21"/>
      <c r="J313" s="21"/>
      <c r="K313" s="21"/>
      <c r="L313" s="21"/>
      <c r="M313" s="21"/>
      <c r="N313" s="21"/>
    </row>
    <row r="314" spans="1:14" x14ac:dyDescent="0.25">
      <c r="A314" s="21"/>
      <c r="B314" s="21"/>
      <c r="C314" s="21"/>
      <c r="D314" s="21"/>
      <c r="E314" s="21"/>
      <c r="F314" s="21"/>
      <c r="G314" s="21"/>
      <c r="H314" s="21"/>
      <c r="I314" s="21"/>
      <c r="J314" s="21"/>
      <c r="K314" s="21"/>
      <c r="L314" s="21"/>
      <c r="M314" s="21"/>
      <c r="N314" s="21"/>
    </row>
    <row r="315" spans="1:14" x14ac:dyDescent="0.25">
      <c r="A315" s="21"/>
      <c r="B315" s="21"/>
      <c r="C315" s="21"/>
      <c r="D315" s="21"/>
      <c r="E315" s="21"/>
      <c r="F315" s="21"/>
      <c r="G315" s="21"/>
      <c r="H315" s="21"/>
      <c r="I315" s="21"/>
      <c r="J315" s="21"/>
      <c r="K315" s="21"/>
      <c r="L315" s="21"/>
      <c r="M315" s="21"/>
      <c r="N315" s="21"/>
    </row>
    <row r="316" spans="1:14" x14ac:dyDescent="0.25">
      <c r="A316" s="21"/>
      <c r="B316" s="21"/>
      <c r="C316" s="21"/>
      <c r="D316" s="21"/>
      <c r="E316" s="21"/>
      <c r="F316" s="21"/>
      <c r="G316" s="21"/>
      <c r="H316" s="21"/>
      <c r="I316" s="21"/>
      <c r="J316" s="21"/>
      <c r="K316" s="21"/>
      <c r="L316" s="21"/>
      <c r="M316" s="21"/>
      <c r="N316" s="21"/>
    </row>
    <row r="317" spans="1:14" x14ac:dyDescent="0.25">
      <c r="A317" s="21"/>
      <c r="B317" s="21"/>
      <c r="C317" s="21"/>
      <c r="D317" s="21"/>
      <c r="E317" s="21"/>
      <c r="F317" s="21"/>
      <c r="G317" s="21"/>
      <c r="H317" s="21"/>
      <c r="I317" s="21"/>
      <c r="J317" s="21"/>
      <c r="K317" s="21"/>
      <c r="L317" s="21"/>
      <c r="M317" s="21"/>
      <c r="N317" s="21"/>
    </row>
    <row r="318" spans="1:14" x14ac:dyDescent="0.25">
      <c r="A318" s="21"/>
      <c r="B318" s="21"/>
      <c r="C318" s="21"/>
      <c r="D318" s="21"/>
      <c r="E318" s="21"/>
      <c r="F318" s="21"/>
      <c r="G318" s="21"/>
      <c r="H318" s="21"/>
      <c r="I318" s="21"/>
      <c r="J318" s="21"/>
      <c r="K318" s="21"/>
      <c r="L318" s="21"/>
      <c r="M318" s="21"/>
      <c r="N318" s="21"/>
    </row>
    <row r="319" spans="1:14" x14ac:dyDescent="0.25">
      <c r="A319" s="21"/>
      <c r="B319" s="21"/>
      <c r="C319" s="21"/>
      <c r="D319" s="21"/>
      <c r="E319" s="21"/>
      <c r="F319" s="21"/>
      <c r="G319" s="21"/>
      <c r="H319" s="21"/>
      <c r="I319" s="21"/>
      <c r="J319" s="21"/>
      <c r="K319" s="21"/>
      <c r="L319" s="21"/>
      <c r="M319" s="21"/>
      <c r="N319" s="21"/>
    </row>
    <row r="320" spans="1:14" x14ac:dyDescent="0.25">
      <c r="A320" s="21"/>
      <c r="B320" s="21"/>
      <c r="C320" s="21"/>
      <c r="D320" s="21"/>
      <c r="E320" s="21"/>
      <c r="F320" s="21"/>
      <c r="G320" s="21"/>
      <c r="H320" s="21"/>
      <c r="I320" s="21"/>
      <c r="J320" s="21"/>
      <c r="K320" s="21"/>
      <c r="L320" s="21"/>
      <c r="M320" s="21"/>
      <c r="N320" s="21"/>
    </row>
    <row r="321" spans="1:14" x14ac:dyDescent="0.25">
      <c r="A321" s="21"/>
      <c r="B321" s="21"/>
      <c r="C321" s="21"/>
      <c r="D321" s="21"/>
      <c r="E321" s="21"/>
      <c r="F321" s="21"/>
      <c r="G321" s="21"/>
      <c r="H321" s="21"/>
      <c r="I321" s="21"/>
      <c r="J321" s="21"/>
      <c r="K321" s="21"/>
      <c r="L321" s="21"/>
      <c r="M321" s="21"/>
      <c r="N321" s="21"/>
    </row>
    <row r="322" spans="1:14" x14ac:dyDescent="0.25">
      <c r="A322" s="21"/>
      <c r="B322" s="21"/>
      <c r="C322" s="21"/>
      <c r="D322" s="21"/>
      <c r="E322" s="21"/>
      <c r="F322" s="21"/>
      <c r="G322" s="21"/>
      <c r="H322" s="21"/>
      <c r="I322" s="21"/>
      <c r="J322" s="21"/>
      <c r="K322" s="21"/>
      <c r="L322" s="21"/>
      <c r="M322" s="21"/>
      <c r="N322" s="21"/>
    </row>
    <row r="323" spans="1:14" x14ac:dyDescent="0.25">
      <c r="A323" s="21"/>
      <c r="B323" s="21"/>
      <c r="C323" s="21"/>
      <c r="D323" s="21"/>
      <c r="E323" s="21"/>
      <c r="F323" s="21"/>
      <c r="G323" s="21"/>
      <c r="H323" s="21"/>
      <c r="I323" s="21"/>
      <c r="J323" s="21"/>
      <c r="K323" s="21"/>
      <c r="L323" s="21"/>
      <c r="M323" s="21"/>
      <c r="N323" s="21"/>
    </row>
    <row r="324" spans="1:14" x14ac:dyDescent="0.25">
      <c r="A324" s="21"/>
      <c r="B324" s="21"/>
      <c r="C324" s="21"/>
      <c r="D324" s="21"/>
      <c r="E324" s="21"/>
      <c r="F324" s="21"/>
      <c r="G324" s="21"/>
      <c r="H324" s="21"/>
      <c r="I324" s="21"/>
      <c r="J324" s="21"/>
      <c r="K324" s="21"/>
      <c r="L324" s="21"/>
      <c r="M324" s="21"/>
      <c r="N324" s="21"/>
    </row>
    <row r="325" spans="1:14" x14ac:dyDescent="0.25">
      <c r="A325" s="21"/>
      <c r="B325" s="21"/>
      <c r="C325" s="21"/>
      <c r="D325" s="21"/>
      <c r="E325" s="21"/>
      <c r="F325" s="21"/>
      <c r="G325" s="21"/>
      <c r="H325" s="21"/>
      <c r="I325" s="21"/>
      <c r="J325" s="21"/>
      <c r="K325" s="21"/>
      <c r="L325" s="21"/>
      <c r="M325" s="21"/>
      <c r="N325" s="21"/>
    </row>
    <row r="326" spans="1:14" x14ac:dyDescent="0.25">
      <c r="A326" s="21"/>
      <c r="B326" s="21"/>
      <c r="C326" s="21"/>
      <c r="D326" s="21"/>
      <c r="E326" s="21"/>
      <c r="F326" s="21"/>
      <c r="G326" s="21"/>
      <c r="H326" s="21"/>
      <c r="I326" s="21"/>
      <c r="J326" s="21"/>
      <c r="K326" s="21"/>
      <c r="L326" s="21"/>
      <c r="M326" s="21"/>
      <c r="N326" s="21"/>
    </row>
    <row r="327" spans="1:14" x14ac:dyDescent="0.25">
      <c r="A327" s="21"/>
      <c r="B327" s="21"/>
      <c r="C327" s="21"/>
      <c r="D327" s="21"/>
      <c r="E327" s="21"/>
      <c r="F327" s="21"/>
      <c r="G327" s="21"/>
      <c r="H327" s="21"/>
      <c r="I327" s="21"/>
      <c r="J327" s="21"/>
      <c r="K327" s="21"/>
      <c r="L327" s="21"/>
      <c r="M327" s="21"/>
      <c r="N327" s="21"/>
    </row>
    <row r="328" spans="1:14" x14ac:dyDescent="0.25">
      <c r="A328" s="21"/>
      <c r="B328" s="21"/>
      <c r="C328" s="21"/>
      <c r="D328" s="21"/>
      <c r="E328" s="21"/>
      <c r="F328" s="21"/>
      <c r="G328" s="21"/>
      <c r="H328" s="21"/>
      <c r="I328" s="21"/>
      <c r="J328" s="21"/>
      <c r="K328" s="21"/>
      <c r="L328" s="21"/>
      <c r="M328" s="21"/>
      <c r="N328" s="21"/>
    </row>
    <row r="329" spans="1:14" x14ac:dyDescent="0.25">
      <c r="A329" s="21"/>
      <c r="B329" s="21"/>
      <c r="C329" s="21"/>
      <c r="D329" s="21"/>
      <c r="E329" s="21"/>
      <c r="F329" s="21"/>
      <c r="G329" s="21"/>
      <c r="H329" s="21"/>
      <c r="I329" s="21"/>
      <c r="J329" s="21"/>
      <c r="K329" s="21"/>
      <c r="L329" s="21"/>
      <c r="M329" s="21"/>
      <c r="N329" s="21"/>
    </row>
    <row r="330" spans="1:14" x14ac:dyDescent="0.25">
      <c r="A330" s="21"/>
      <c r="B330" s="21"/>
      <c r="C330" s="21"/>
      <c r="D330" s="21"/>
      <c r="E330" s="21"/>
      <c r="F330" s="21"/>
      <c r="G330" s="21"/>
      <c r="H330" s="21"/>
      <c r="I330" s="21"/>
      <c r="J330" s="21"/>
      <c r="K330" s="21"/>
      <c r="L330" s="21"/>
      <c r="M330" s="21"/>
      <c r="N330" s="21"/>
    </row>
    <row r="331" spans="1:14" x14ac:dyDescent="0.25">
      <c r="A331" s="21"/>
      <c r="B331" s="21"/>
      <c r="C331" s="21"/>
      <c r="D331" s="21"/>
      <c r="E331" s="21"/>
      <c r="F331" s="21"/>
      <c r="G331" s="21"/>
      <c r="H331" s="21"/>
      <c r="I331" s="21"/>
      <c r="J331" s="21"/>
      <c r="K331" s="21"/>
      <c r="L331" s="21"/>
      <c r="M331" s="21"/>
      <c r="N331" s="21"/>
    </row>
    <row r="332" spans="1:14" x14ac:dyDescent="0.25">
      <c r="A332" s="21"/>
      <c r="B332" s="21"/>
      <c r="C332" s="21"/>
      <c r="D332" s="21"/>
      <c r="E332" s="21"/>
      <c r="F332" s="21"/>
      <c r="G332" s="21"/>
      <c r="H332" s="21"/>
      <c r="I332" s="21"/>
      <c r="J332" s="21"/>
      <c r="K332" s="21"/>
      <c r="L332" s="21"/>
      <c r="M332" s="21"/>
      <c r="N332" s="21"/>
    </row>
    <row r="333" spans="1:14" x14ac:dyDescent="0.25">
      <c r="A333" s="21"/>
      <c r="B333" s="21"/>
      <c r="C333" s="21"/>
      <c r="D333" s="21"/>
      <c r="E333" s="21"/>
      <c r="F333" s="21"/>
      <c r="G333" s="21"/>
      <c r="H333" s="21"/>
      <c r="I333" s="21"/>
      <c r="J333" s="21"/>
      <c r="K333" s="21"/>
      <c r="L333" s="21"/>
      <c r="M333" s="21"/>
      <c r="N333" s="21"/>
    </row>
    <row r="334" spans="1:14" x14ac:dyDescent="0.25">
      <c r="A334" s="21"/>
      <c r="B334" s="21"/>
      <c r="C334" s="21"/>
      <c r="D334" s="21"/>
      <c r="E334" s="21"/>
      <c r="F334" s="21"/>
      <c r="G334" s="21"/>
      <c r="H334" s="21"/>
      <c r="I334" s="21"/>
      <c r="J334" s="21"/>
      <c r="K334" s="21"/>
      <c r="L334" s="21"/>
      <c r="M334" s="21"/>
      <c r="N334" s="21"/>
    </row>
    <row r="335" spans="1:14" x14ac:dyDescent="0.25">
      <c r="A335" s="21"/>
      <c r="B335" s="21"/>
      <c r="C335" s="21"/>
      <c r="D335" s="21"/>
      <c r="E335" s="21"/>
      <c r="F335" s="21"/>
      <c r="G335" s="21"/>
      <c r="H335" s="21"/>
      <c r="I335" s="21"/>
      <c r="J335" s="21"/>
      <c r="K335" s="21"/>
      <c r="L335" s="21"/>
      <c r="M335" s="21"/>
      <c r="N335" s="21"/>
    </row>
    <row r="336" spans="1:14" x14ac:dyDescent="0.25">
      <c r="A336" s="21"/>
      <c r="B336" s="21"/>
      <c r="C336" s="21"/>
      <c r="D336" s="21"/>
      <c r="E336" s="21"/>
      <c r="F336" s="21"/>
      <c r="G336" s="21"/>
      <c r="H336" s="21"/>
      <c r="I336" s="21"/>
      <c r="J336" s="21"/>
      <c r="K336" s="21"/>
      <c r="L336" s="21"/>
      <c r="M336" s="21"/>
      <c r="N336" s="21"/>
    </row>
    <row r="337" spans="1:14" x14ac:dyDescent="0.25">
      <c r="A337" s="21"/>
      <c r="B337" s="21"/>
      <c r="C337" s="21"/>
      <c r="D337" s="21"/>
      <c r="E337" s="21"/>
      <c r="F337" s="21"/>
      <c r="G337" s="21"/>
      <c r="H337" s="21"/>
      <c r="I337" s="21"/>
      <c r="J337" s="21"/>
      <c r="K337" s="21"/>
      <c r="L337" s="21"/>
      <c r="M337" s="21"/>
      <c r="N337" s="21"/>
    </row>
    <row r="338" spans="1:14" x14ac:dyDescent="0.25">
      <c r="A338" s="21"/>
      <c r="B338" s="21"/>
      <c r="C338" s="21"/>
      <c r="D338" s="21"/>
      <c r="E338" s="21"/>
      <c r="F338" s="21"/>
      <c r="G338" s="21"/>
      <c r="H338" s="21"/>
      <c r="I338" s="21"/>
      <c r="J338" s="21"/>
      <c r="K338" s="21"/>
      <c r="L338" s="21"/>
      <c r="M338" s="21"/>
      <c r="N338" s="21"/>
    </row>
    <row r="339" spans="1:14" x14ac:dyDescent="0.25">
      <c r="A339" s="21"/>
      <c r="B339" s="21"/>
      <c r="C339" s="21"/>
      <c r="D339" s="21"/>
      <c r="E339" s="21"/>
      <c r="F339" s="21"/>
      <c r="G339" s="21"/>
      <c r="H339" s="21"/>
      <c r="I339" s="21"/>
      <c r="J339" s="21"/>
      <c r="K339" s="21"/>
      <c r="L339" s="21"/>
      <c r="M339" s="21"/>
      <c r="N339" s="21"/>
    </row>
    <row r="340" spans="1:14" x14ac:dyDescent="0.25">
      <c r="A340" s="21"/>
      <c r="B340" s="21"/>
      <c r="C340" s="21"/>
      <c r="D340" s="21"/>
      <c r="E340" s="21"/>
      <c r="F340" s="21"/>
      <c r="G340" s="21"/>
      <c r="H340" s="21"/>
      <c r="I340" s="21"/>
      <c r="J340" s="21"/>
      <c r="K340" s="21"/>
      <c r="L340" s="21"/>
      <c r="M340" s="21"/>
      <c r="N340" s="21"/>
    </row>
    <row r="341" spans="1:14" x14ac:dyDescent="0.25">
      <c r="A341" s="21"/>
      <c r="B341" s="21"/>
      <c r="C341" s="21"/>
      <c r="D341" s="21"/>
      <c r="E341" s="21"/>
      <c r="F341" s="21"/>
      <c r="G341" s="21"/>
      <c r="H341" s="21"/>
      <c r="I341" s="21"/>
      <c r="J341" s="21"/>
      <c r="K341" s="21"/>
      <c r="L341" s="21"/>
      <c r="M341" s="21"/>
      <c r="N341" s="21"/>
    </row>
    <row r="342" spans="1:14" x14ac:dyDescent="0.25">
      <c r="A342" s="21"/>
      <c r="B342" s="21"/>
      <c r="C342" s="21"/>
      <c r="D342" s="21"/>
      <c r="E342" s="21"/>
      <c r="F342" s="21"/>
      <c r="G342" s="21"/>
      <c r="H342" s="21"/>
      <c r="I342" s="21"/>
      <c r="J342" s="21"/>
      <c r="K342" s="21"/>
      <c r="L342" s="21"/>
      <c r="M342" s="21"/>
      <c r="N342" s="21"/>
    </row>
    <row r="343" spans="1:14" x14ac:dyDescent="0.25">
      <c r="A343" s="21"/>
      <c r="B343" s="21"/>
      <c r="C343" s="21"/>
      <c r="D343" s="21"/>
      <c r="E343" s="21"/>
      <c r="F343" s="21"/>
      <c r="G343" s="21"/>
      <c r="H343" s="21"/>
      <c r="I343" s="21"/>
      <c r="J343" s="21"/>
      <c r="K343" s="21"/>
      <c r="L343" s="21"/>
      <c r="M343" s="21"/>
      <c r="N343" s="21"/>
    </row>
    <row r="344" spans="1:14" x14ac:dyDescent="0.25">
      <c r="A344" s="21"/>
      <c r="B344" s="21"/>
      <c r="C344" s="21"/>
      <c r="D344" s="21"/>
      <c r="E344" s="21"/>
      <c r="F344" s="21"/>
      <c r="G344" s="21"/>
      <c r="H344" s="21"/>
      <c r="I344" s="21"/>
      <c r="J344" s="21"/>
      <c r="K344" s="21"/>
      <c r="L344" s="21"/>
      <c r="M344" s="21"/>
      <c r="N344" s="21"/>
    </row>
    <row r="345" spans="1:14" x14ac:dyDescent="0.25">
      <c r="A345" s="21"/>
      <c r="B345" s="21"/>
      <c r="C345" s="21"/>
      <c r="D345" s="21"/>
      <c r="E345" s="21"/>
      <c r="F345" s="21"/>
      <c r="G345" s="21"/>
      <c r="H345" s="21"/>
      <c r="I345" s="21"/>
      <c r="J345" s="21"/>
      <c r="K345" s="21"/>
      <c r="L345" s="21"/>
      <c r="M345" s="21"/>
      <c r="N345" s="21"/>
    </row>
    <row r="346" spans="1:14" x14ac:dyDescent="0.25">
      <c r="A346" s="21"/>
      <c r="B346" s="21"/>
      <c r="C346" s="21"/>
      <c r="D346" s="21"/>
      <c r="E346" s="21"/>
      <c r="F346" s="21"/>
      <c r="G346" s="21"/>
      <c r="H346" s="21"/>
      <c r="I346" s="21"/>
      <c r="J346" s="21"/>
      <c r="K346" s="21"/>
      <c r="L346" s="21"/>
      <c r="M346" s="21"/>
      <c r="N346" s="21"/>
    </row>
    <row r="347" spans="1:14" x14ac:dyDescent="0.25">
      <c r="A347" s="21"/>
      <c r="B347" s="21"/>
      <c r="C347" s="21"/>
      <c r="D347" s="21"/>
      <c r="E347" s="21"/>
      <c r="F347" s="21"/>
      <c r="G347" s="21"/>
      <c r="H347" s="21"/>
      <c r="I347" s="21"/>
      <c r="J347" s="21"/>
      <c r="K347" s="21"/>
      <c r="L347" s="21"/>
      <c r="M347" s="21"/>
      <c r="N347" s="21"/>
    </row>
    <row r="348" spans="1:14" x14ac:dyDescent="0.25">
      <c r="A348" s="21"/>
      <c r="B348" s="21"/>
      <c r="C348" s="21"/>
      <c r="D348" s="21"/>
      <c r="E348" s="21"/>
      <c r="F348" s="21"/>
      <c r="G348" s="21"/>
      <c r="H348" s="21"/>
      <c r="I348" s="21"/>
      <c r="J348" s="21"/>
      <c r="K348" s="21"/>
      <c r="L348" s="21"/>
      <c r="M348" s="21"/>
      <c r="N348" s="21"/>
    </row>
    <row r="349" spans="1:14" x14ac:dyDescent="0.25">
      <c r="A349" s="21"/>
      <c r="B349" s="21"/>
      <c r="C349" s="21"/>
      <c r="D349" s="21"/>
      <c r="E349" s="21"/>
      <c r="F349" s="21"/>
      <c r="G349" s="21"/>
      <c r="H349" s="21"/>
      <c r="I349" s="21"/>
      <c r="J349" s="21"/>
      <c r="K349" s="21"/>
      <c r="L349" s="21"/>
      <c r="M349" s="21"/>
      <c r="N349" s="21"/>
    </row>
    <row r="350" spans="1:14" x14ac:dyDescent="0.25">
      <c r="A350" s="21"/>
      <c r="B350" s="21"/>
      <c r="C350" s="21"/>
      <c r="D350" s="21"/>
      <c r="E350" s="21"/>
      <c r="F350" s="21"/>
      <c r="G350" s="21"/>
      <c r="H350" s="21"/>
      <c r="I350" s="21"/>
      <c r="J350" s="21"/>
      <c r="K350" s="21"/>
      <c r="L350" s="21"/>
      <c r="M350" s="21"/>
      <c r="N350" s="21"/>
    </row>
    <row r="351" spans="1:14" x14ac:dyDescent="0.25">
      <c r="A351" s="21"/>
      <c r="B351" s="21"/>
      <c r="C351" s="21"/>
      <c r="D351" s="21"/>
      <c r="E351" s="21"/>
      <c r="F351" s="21"/>
      <c r="G351" s="21"/>
      <c r="H351" s="21"/>
      <c r="I351" s="21"/>
      <c r="J351" s="21"/>
      <c r="K351" s="21"/>
      <c r="L351" s="21"/>
      <c r="M351" s="21"/>
      <c r="N351" s="21"/>
    </row>
    <row r="352" spans="1:14" x14ac:dyDescent="0.25">
      <c r="A352" s="21"/>
      <c r="B352" s="21"/>
      <c r="C352" s="21"/>
      <c r="D352" s="21"/>
      <c r="E352" s="21"/>
      <c r="F352" s="21"/>
      <c r="G352" s="21"/>
      <c r="H352" s="21"/>
      <c r="I352" s="21"/>
      <c r="J352" s="21"/>
      <c r="K352" s="21"/>
      <c r="L352" s="21"/>
      <c r="M352" s="21"/>
      <c r="N352" s="21"/>
    </row>
    <row r="353" spans="1:14" x14ac:dyDescent="0.25">
      <c r="A353" s="21"/>
      <c r="B353" s="21"/>
      <c r="C353" s="21"/>
      <c r="D353" s="21"/>
      <c r="E353" s="21"/>
      <c r="F353" s="21"/>
      <c r="G353" s="21"/>
      <c r="H353" s="21"/>
      <c r="I353" s="21"/>
      <c r="J353" s="21"/>
      <c r="K353" s="21"/>
      <c r="L353" s="21"/>
      <c r="M353" s="21"/>
      <c r="N353" s="21"/>
    </row>
    <row r="354" spans="1:14" x14ac:dyDescent="0.25">
      <c r="A354" s="21"/>
      <c r="B354" s="21"/>
      <c r="C354" s="21"/>
      <c r="D354" s="21"/>
      <c r="E354" s="21"/>
      <c r="F354" s="21"/>
      <c r="G354" s="21"/>
      <c r="H354" s="21"/>
      <c r="I354" s="21"/>
      <c r="J354" s="21"/>
      <c r="K354" s="21"/>
      <c r="L354" s="21"/>
      <c r="M354" s="21"/>
      <c r="N354" s="21"/>
    </row>
    <row r="355" spans="1:14" x14ac:dyDescent="0.25">
      <c r="A355" s="21"/>
      <c r="B355" s="21"/>
      <c r="C355" s="21"/>
      <c r="D355" s="21"/>
      <c r="E355" s="21"/>
      <c r="F355" s="21"/>
      <c r="G355" s="21"/>
      <c r="H355" s="21"/>
      <c r="I355" s="21"/>
      <c r="J355" s="21"/>
      <c r="K355" s="21"/>
      <c r="L355" s="21"/>
      <c r="M355" s="21"/>
      <c r="N355" s="21"/>
    </row>
    <row r="356" spans="1:14" x14ac:dyDescent="0.25">
      <c r="A356" s="21"/>
      <c r="B356" s="21"/>
      <c r="C356" s="21"/>
      <c r="D356" s="21"/>
      <c r="E356" s="21"/>
      <c r="F356" s="21"/>
      <c r="G356" s="21"/>
      <c r="H356" s="21"/>
      <c r="I356" s="21"/>
      <c r="J356" s="21"/>
      <c r="K356" s="21"/>
      <c r="L356" s="21"/>
      <c r="M356" s="21"/>
      <c r="N356" s="21"/>
    </row>
    <row r="357" spans="1:14" x14ac:dyDescent="0.25">
      <c r="A357" s="21"/>
      <c r="B357" s="21"/>
      <c r="C357" s="21"/>
      <c r="D357" s="21"/>
      <c r="E357" s="21"/>
      <c r="F357" s="21"/>
      <c r="G357" s="21"/>
      <c r="H357" s="21"/>
      <c r="I357" s="21"/>
      <c r="J357" s="21"/>
      <c r="K357" s="21"/>
      <c r="L357" s="21"/>
      <c r="M357" s="21"/>
      <c r="N357" s="21"/>
    </row>
    <row r="358" spans="1:14" x14ac:dyDescent="0.25">
      <c r="A358" s="21"/>
      <c r="B358" s="21"/>
      <c r="C358" s="21"/>
      <c r="D358" s="21"/>
      <c r="E358" s="21"/>
      <c r="F358" s="21"/>
      <c r="G358" s="21"/>
      <c r="H358" s="21"/>
      <c r="I358" s="21"/>
      <c r="J358" s="21"/>
      <c r="K358" s="21"/>
      <c r="L358" s="21"/>
      <c r="M358" s="21"/>
      <c r="N358" s="21"/>
    </row>
    <row r="359" spans="1:14" x14ac:dyDescent="0.25">
      <c r="A359" s="21"/>
      <c r="B359" s="21"/>
      <c r="C359" s="21"/>
      <c r="D359" s="21"/>
      <c r="E359" s="21"/>
      <c r="F359" s="21"/>
      <c r="G359" s="21"/>
      <c r="H359" s="21"/>
      <c r="I359" s="21"/>
      <c r="J359" s="21"/>
      <c r="K359" s="21"/>
      <c r="L359" s="21"/>
      <c r="M359" s="21"/>
      <c r="N359" s="21"/>
    </row>
    <row r="360" spans="1:14" x14ac:dyDescent="0.25">
      <c r="A360" s="21"/>
      <c r="B360" s="21"/>
      <c r="C360" s="21"/>
      <c r="D360" s="21"/>
      <c r="E360" s="21"/>
      <c r="F360" s="21"/>
      <c r="G360" s="21"/>
      <c r="H360" s="21"/>
      <c r="I360" s="21"/>
      <c r="J360" s="21"/>
      <c r="K360" s="21"/>
      <c r="L360" s="21"/>
      <c r="M360" s="21"/>
      <c r="N360" s="21"/>
    </row>
    <row r="361" spans="1:14" x14ac:dyDescent="0.25">
      <c r="A361" s="21"/>
      <c r="B361" s="21"/>
      <c r="C361" s="21"/>
      <c r="D361" s="21"/>
      <c r="E361" s="21"/>
      <c r="F361" s="21"/>
      <c r="G361" s="21"/>
      <c r="H361" s="21"/>
      <c r="I361" s="21"/>
      <c r="J361" s="21"/>
      <c r="K361" s="21"/>
      <c r="L361" s="21"/>
      <c r="M361" s="21"/>
      <c r="N361" s="21"/>
    </row>
    <row r="362" spans="1:14" x14ac:dyDescent="0.25">
      <c r="A362" s="21"/>
      <c r="B362" s="21"/>
      <c r="C362" s="21"/>
      <c r="D362" s="21"/>
      <c r="E362" s="21"/>
      <c r="F362" s="21"/>
      <c r="G362" s="21"/>
      <c r="H362" s="21"/>
      <c r="I362" s="21"/>
      <c r="J362" s="21"/>
      <c r="K362" s="21"/>
      <c r="L362" s="21"/>
      <c r="M362" s="21"/>
      <c r="N362" s="21"/>
    </row>
    <row r="363" spans="1:14" x14ac:dyDescent="0.25">
      <c r="A363" s="21"/>
      <c r="B363" s="21"/>
      <c r="C363" s="21"/>
      <c r="D363" s="21"/>
      <c r="E363" s="21"/>
      <c r="F363" s="21"/>
      <c r="G363" s="21"/>
      <c r="H363" s="21"/>
      <c r="I363" s="21"/>
      <c r="J363" s="21"/>
      <c r="K363" s="21"/>
      <c r="L363" s="21"/>
      <c r="M363" s="21"/>
      <c r="N363" s="21"/>
    </row>
    <row r="364" spans="1:14" x14ac:dyDescent="0.25">
      <c r="A364" s="21"/>
      <c r="B364" s="21"/>
      <c r="C364" s="21"/>
      <c r="D364" s="21"/>
      <c r="E364" s="21"/>
      <c r="F364" s="21"/>
      <c r="G364" s="21"/>
      <c r="H364" s="21"/>
      <c r="I364" s="21"/>
      <c r="J364" s="21"/>
      <c r="K364" s="21"/>
      <c r="L364" s="21"/>
      <c r="M364" s="21"/>
      <c r="N364" s="21"/>
    </row>
    <row r="365" spans="1:14" x14ac:dyDescent="0.25">
      <c r="A365" s="21"/>
      <c r="B365" s="21"/>
      <c r="C365" s="21"/>
      <c r="D365" s="21"/>
      <c r="E365" s="21"/>
      <c r="F365" s="21"/>
      <c r="G365" s="21"/>
      <c r="H365" s="21"/>
      <c r="I365" s="21"/>
      <c r="J365" s="21"/>
      <c r="K365" s="21"/>
      <c r="L365" s="21"/>
      <c r="M365" s="21"/>
      <c r="N365" s="21"/>
    </row>
    <row r="366" spans="1:14" x14ac:dyDescent="0.25">
      <c r="A366" s="21"/>
      <c r="B366" s="21"/>
      <c r="C366" s="21"/>
      <c r="D366" s="21"/>
      <c r="E366" s="21"/>
      <c r="F366" s="21"/>
      <c r="G366" s="21"/>
      <c r="H366" s="21"/>
      <c r="I366" s="21"/>
      <c r="J366" s="21"/>
      <c r="K366" s="21"/>
      <c r="L366" s="21"/>
      <c r="M366" s="21"/>
      <c r="N366" s="21"/>
    </row>
    <row r="367" spans="1:14" x14ac:dyDescent="0.25">
      <c r="A367" s="21"/>
      <c r="B367" s="21"/>
      <c r="C367" s="21"/>
      <c r="D367" s="21"/>
      <c r="E367" s="21"/>
      <c r="F367" s="21"/>
      <c r="G367" s="21"/>
      <c r="H367" s="21"/>
      <c r="I367" s="21"/>
      <c r="J367" s="21"/>
      <c r="K367" s="21"/>
      <c r="L367" s="21"/>
      <c r="M367" s="21"/>
      <c r="N367" s="21"/>
    </row>
    <row r="368" spans="1:14" x14ac:dyDescent="0.25">
      <c r="A368" s="21"/>
      <c r="B368" s="21"/>
      <c r="C368" s="21"/>
      <c r="D368" s="21"/>
      <c r="E368" s="21"/>
      <c r="F368" s="21"/>
      <c r="G368" s="21"/>
      <c r="H368" s="21"/>
      <c r="I368" s="21"/>
      <c r="J368" s="21"/>
      <c r="K368" s="21"/>
      <c r="L368" s="21"/>
      <c r="M368" s="21"/>
      <c r="N368" s="21"/>
    </row>
    <row r="369" spans="1:14" x14ac:dyDescent="0.25">
      <c r="A369" s="21"/>
      <c r="B369" s="21"/>
      <c r="C369" s="21"/>
      <c r="D369" s="21"/>
      <c r="E369" s="21"/>
      <c r="F369" s="21"/>
      <c r="G369" s="21"/>
      <c r="H369" s="21"/>
      <c r="I369" s="21"/>
      <c r="J369" s="21"/>
      <c r="K369" s="21"/>
      <c r="L369" s="21"/>
      <c r="M369" s="21"/>
      <c r="N369" s="21"/>
    </row>
    <row r="370" spans="1:14" x14ac:dyDescent="0.25">
      <c r="A370" s="21"/>
      <c r="B370" s="21"/>
      <c r="C370" s="21"/>
      <c r="D370" s="21"/>
      <c r="E370" s="21"/>
      <c r="F370" s="21"/>
      <c r="G370" s="21"/>
      <c r="H370" s="21"/>
      <c r="I370" s="21"/>
      <c r="J370" s="21"/>
      <c r="K370" s="21"/>
      <c r="L370" s="21"/>
      <c r="M370" s="21"/>
      <c r="N370" s="21"/>
    </row>
    <row r="371" spans="1:14" x14ac:dyDescent="0.25">
      <c r="A371" s="21"/>
      <c r="B371" s="21"/>
      <c r="C371" s="21"/>
      <c r="D371" s="21"/>
      <c r="E371" s="21"/>
      <c r="F371" s="21"/>
      <c r="G371" s="21"/>
      <c r="H371" s="21"/>
      <c r="I371" s="21"/>
      <c r="J371" s="21"/>
      <c r="K371" s="21"/>
      <c r="L371" s="21"/>
      <c r="M371" s="21"/>
      <c r="N371" s="21"/>
    </row>
    <row r="372" spans="1:14" x14ac:dyDescent="0.25">
      <c r="A372" s="21"/>
      <c r="B372" s="21"/>
      <c r="C372" s="21"/>
      <c r="D372" s="21"/>
      <c r="E372" s="21"/>
      <c r="F372" s="21"/>
      <c r="G372" s="21"/>
      <c r="H372" s="21"/>
      <c r="I372" s="21"/>
      <c r="J372" s="21"/>
      <c r="K372" s="21"/>
      <c r="L372" s="21"/>
      <c r="M372" s="21"/>
      <c r="N372" s="21"/>
    </row>
    <row r="373" spans="1:14" x14ac:dyDescent="0.25">
      <c r="A373" s="21"/>
      <c r="B373" s="21"/>
      <c r="C373" s="21"/>
      <c r="D373" s="21"/>
      <c r="E373" s="21"/>
      <c r="F373" s="21"/>
      <c r="G373" s="21"/>
      <c r="H373" s="21"/>
      <c r="I373" s="21"/>
      <c r="J373" s="21"/>
      <c r="K373" s="21"/>
      <c r="L373" s="21"/>
      <c r="M373" s="21"/>
      <c r="N373" s="21"/>
    </row>
    <row r="374" spans="1:14" x14ac:dyDescent="0.25">
      <c r="A374" s="21"/>
      <c r="B374" s="21"/>
      <c r="C374" s="21"/>
      <c r="D374" s="21"/>
      <c r="E374" s="21"/>
      <c r="F374" s="21"/>
      <c r="G374" s="21"/>
      <c r="H374" s="21"/>
      <c r="I374" s="21"/>
      <c r="J374" s="21"/>
      <c r="K374" s="21"/>
      <c r="L374" s="21"/>
      <c r="M374" s="21"/>
      <c r="N374" s="21"/>
    </row>
    <row r="375" spans="1:14" x14ac:dyDescent="0.25">
      <c r="A375" s="21"/>
      <c r="B375" s="21"/>
      <c r="C375" s="21"/>
      <c r="D375" s="21"/>
      <c r="E375" s="21"/>
      <c r="F375" s="21"/>
      <c r="G375" s="21"/>
      <c r="H375" s="21"/>
      <c r="I375" s="21"/>
      <c r="J375" s="21"/>
      <c r="K375" s="21"/>
      <c r="L375" s="21"/>
      <c r="M375" s="21"/>
      <c r="N375" s="21"/>
    </row>
    <row r="376" spans="1:14" x14ac:dyDescent="0.25">
      <c r="A376" s="21"/>
      <c r="B376" s="21"/>
      <c r="C376" s="21"/>
      <c r="D376" s="21"/>
      <c r="E376" s="21"/>
      <c r="F376" s="21"/>
      <c r="G376" s="21"/>
      <c r="H376" s="21"/>
      <c r="I376" s="21"/>
      <c r="J376" s="21"/>
      <c r="K376" s="21"/>
      <c r="L376" s="21"/>
      <c r="M376" s="21"/>
      <c r="N376" s="21"/>
    </row>
    <row r="377" spans="1:14" x14ac:dyDescent="0.25">
      <c r="A377" s="21"/>
      <c r="B377" s="21"/>
      <c r="C377" s="21"/>
      <c r="D377" s="21"/>
      <c r="E377" s="21"/>
      <c r="F377" s="21"/>
      <c r="G377" s="21"/>
      <c r="H377" s="21"/>
      <c r="I377" s="21"/>
      <c r="J377" s="21"/>
      <c r="K377" s="21"/>
      <c r="L377" s="21"/>
      <c r="M377" s="21"/>
      <c r="N377" s="21"/>
    </row>
    <row r="378" spans="1:14" x14ac:dyDescent="0.25">
      <c r="A378" s="21"/>
      <c r="B378" s="21"/>
      <c r="C378" s="21"/>
      <c r="D378" s="21"/>
      <c r="E378" s="21"/>
      <c r="F378" s="21"/>
      <c r="G378" s="21"/>
      <c r="H378" s="21"/>
      <c r="I378" s="21"/>
      <c r="J378" s="21"/>
      <c r="K378" s="21"/>
      <c r="L378" s="21"/>
      <c r="M378" s="21"/>
      <c r="N378" s="21"/>
    </row>
    <row r="379" spans="1:14" x14ac:dyDescent="0.25">
      <c r="A379" s="21"/>
      <c r="B379" s="21"/>
      <c r="C379" s="21"/>
      <c r="D379" s="21"/>
      <c r="E379" s="21"/>
      <c r="F379" s="21"/>
      <c r="G379" s="21"/>
      <c r="H379" s="21"/>
      <c r="I379" s="21"/>
      <c r="J379" s="21"/>
      <c r="K379" s="21"/>
      <c r="L379" s="21"/>
      <c r="M379" s="21"/>
      <c r="N379" s="21"/>
    </row>
    <row r="380" spans="1:14" x14ac:dyDescent="0.25">
      <c r="A380" s="21"/>
      <c r="B380" s="21"/>
      <c r="C380" s="21"/>
      <c r="D380" s="21"/>
      <c r="E380" s="21"/>
      <c r="F380" s="21"/>
      <c r="G380" s="21"/>
      <c r="H380" s="21"/>
      <c r="I380" s="21"/>
      <c r="J380" s="21"/>
      <c r="K380" s="21"/>
      <c r="L380" s="21"/>
      <c r="M380" s="21"/>
      <c r="N380" s="21"/>
    </row>
    <row r="381" spans="1:14" x14ac:dyDescent="0.25">
      <c r="A381" s="21"/>
      <c r="B381" s="21"/>
      <c r="C381" s="21"/>
      <c r="D381" s="21"/>
      <c r="E381" s="21"/>
      <c r="F381" s="21"/>
      <c r="G381" s="21"/>
      <c r="H381" s="21"/>
      <c r="I381" s="21"/>
      <c r="J381" s="21"/>
      <c r="K381" s="21"/>
      <c r="L381" s="21"/>
      <c r="M381" s="21"/>
      <c r="N381" s="21"/>
    </row>
    <row r="382" spans="1:14" x14ac:dyDescent="0.25">
      <c r="A382" s="21"/>
      <c r="B382" s="21"/>
      <c r="C382" s="21"/>
      <c r="D382" s="21"/>
      <c r="E382" s="21"/>
      <c r="F382" s="21"/>
      <c r="G382" s="21"/>
      <c r="H382" s="21"/>
      <c r="I382" s="21"/>
      <c r="J382" s="21"/>
      <c r="K382" s="21"/>
      <c r="L382" s="21"/>
      <c r="M382" s="21"/>
      <c r="N382" s="21"/>
    </row>
    <row r="383" spans="1:14" x14ac:dyDescent="0.25">
      <c r="A383" s="21"/>
      <c r="B383" s="21"/>
      <c r="C383" s="21"/>
      <c r="D383" s="21"/>
      <c r="E383" s="21"/>
      <c r="F383" s="21"/>
      <c r="G383" s="21"/>
      <c r="H383" s="21"/>
      <c r="I383" s="21"/>
      <c r="J383" s="21"/>
      <c r="K383" s="21"/>
      <c r="L383" s="21"/>
      <c r="M383" s="21"/>
      <c r="N383" s="21"/>
    </row>
    <row r="384" spans="1:14" x14ac:dyDescent="0.25">
      <c r="A384" s="21"/>
      <c r="B384" s="21"/>
      <c r="C384" s="21"/>
      <c r="D384" s="21"/>
      <c r="E384" s="21"/>
      <c r="F384" s="21"/>
      <c r="G384" s="21"/>
      <c r="H384" s="21"/>
      <c r="I384" s="21"/>
      <c r="J384" s="21"/>
      <c r="K384" s="21"/>
      <c r="L384" s="21"/>
      <c r="M384" s="21"/>
      <c r="N384" s="21"/>
    </row>
    <row r="385" spans="1:14" x14ac:dyDescent="0.25">
      <c r="A385" s="21"/>
      <c r="B385" s="21"/>
      <c r="C385" s="21"/>
      <c r="D385" s="21"/>
      <c r="E385" s="21"/>
      <c r="F385" s="21"/>
      <c r="G385" s="21"/>
      <c r="H385" s="21"/>
      <c r="I385" s="21"/>
      <c r="J385" s="21"/>
      <c r="K385" s="21"/>
      <c r="L385" s="21"/>
      <c r="M385" s="21"/>
      <c r="N385" s="21"/>
    </row>
    <row r="386" spans="1:14" x14ac:dyDescent="0.25">
      <c r="A386" s="21"/>
      <c r="B386" s="21"/>
      <c r="C386" s="21"/>
      <c r="D386" s="21"/>
      <c r="E386" s="21"/>
      <c r="F386" s="21"/>
      <c r="G386" s="21"/>
      <c r="H386" s="21"/>
      <c r="I386" s="21"/>
      <c r="J386" s="21"/>
      <c r="K386" s="21"/>
      <c r="L386" s="21"/>
      <c r="M386" s="21"/>
      <c r="N386" s="21"/>
    </row>
    <row r="387" spans="1:14" x14ac:dyDescent="0.25">
      <c r="A387" s="21"/>
      <c r="B387" s="21"/>
      <c r="C387" s="21"/>
      <c r="D387" s="21"/>
      <c r="E387" s="21"/>
      <c r="F387" s="21"/>
      <c r="G387" s="21"/>
      <c r="H387" s="21"/>
      <c r="I387" s="21"/>
      <c r="J387" s="21"/>
      <c r="K387" s="21"/>
      <c r="L387" s="21"/>
      <c r="M387" s="21"/>
      <c r="N387" s="21"/>
    </row>
    <row r="388" spans="1:14" x14ac:dyDescent="0.25">
      <c r="A388" s="21"/>
      <c r="B388" s="21"/>
      <c r="C388" s="21"/>
      <c r="D388" s="21"/>
      <c r="E388" s="21"/>
      <c r="F388" s="21"/>
      <c r="G388" s="21"/>
      <c r="H388" s="21"/>
      <c r="I388" s="21"/>
      <c r="J388" s="21"/>
      <c r="K388" s="21"/>
      <c r="L388" s="21"/>
      <c r="M388" s="21"/>
      <c r="N388" s="21"/>
    </row>
    <row r="389" spans="1:14" x14ac:dyDescent="0.25">
      <c r="A389" s="21"/>
      <c r="B389" s="21"/>
      <c r="C389" s="21"/>
      <c r="D389" s="21"/>
      <c r="E389" s="21"/>
      <c r="F389" s="21"/>
      <c r="G389" s="21"/>
      <c r="H389" s="21"/>
      <c r="I389" s="21"/>
      <c r="J389" s="21"/>
      <c r="K389" s="21"/>
      <c r="L389" s="21"/>
      <c r="M389" s="21"/>
      <c r="N389" s="21"/>
    </row>
    <row r="390" spans="1:14" x14ac:dyDescent="0.25">
      <c r="A390" s="21"/>
      <c r="B390" s="21"/>
      <c r="C390" s="21"/>
      <c r="D390" s="21"/>
      <c r="E390" s="21"/>
      <c r="F390" s="21"/>
      <c r="G390" s="21"/>
      <c r="H390" s="21"/>
      <c r="I390" s="21"/>
      <c r="J390" s="21"/>
      <c r="K390" s="21"/>
      <c r="L390" s="21"/>
      <c r="M390" s="21"/>
      <c r="N390" s="21"/>
    </row>
    <row r="391" spans="1:14" x14ac:dyDescent="0.25">
      <c r="A391" s="21"/>
      <c r="B391" s="21"/>
      <c r="C391" s="21"/>
      <c r="D391" s="21"/>
      <c r="E391" s="21"/>
      <c r="F391" s="21"/>
      <c r="G391" s="21"/>
      <c r="H391" s="21"/>
      <c r="I391" s="21"/>
      <c r="J391" s="21"/>
      <c r="K391" s="21"/>
      <c r="L391" s="21"/>
      <c r="M391" s="21"/>
      <c r="N391" s="21"/>
    </row>
    <row r="392" spans="1:14" x14ac:dyDescent="0.25">
      <c r="A392" s="21"/>
      <c r="B392" s="21"/>
      <c r="C392" s="21"/>
      <c r="D392" s="21"/>
      <c r="E392" s="21"/>
      <c r="F392" s="21"/>
      <c r="G392" s="21"/>
      <c r="H392" s="21"/>
      <c r="I392" s="21"/>
      <c r="J392" s="21"/>
      <c r="K392" s="21"/>
      <c r="L392" s="21"/>
      <c r="M392" s="21"/>
      <c r="N392" s="21"/>
    </row>
    <row r="393" spans="1:14" x14ac:dyDescent="0.25">
      <c r="A393" s="21"/>
      <c r="B393" s="21"/>
      <c r="C393" s="21"/>
      <c r="D393" s="21"/>
      <c r="E393" s="21"/>
      <c r="F393" s="21"/>
      <c r="G393" s="21"/>
      <c r="H393" s="21"/>
      <c r="I393" s="21"/>
      <c r="J393" s="21"/>
      <c r="K393" s="21"/>
      <c r="L393" s="21"/>
      <c r="M393" s="21"/>
      <c r="N393" s="21"/>
    </row>
    <row r="394" spans="1:14" x14ac:dyDescent="0.25">
      <c r="A394" s="21"/>
      <c r="B394" s="21"/>
      <c r="C394" s="21"/>
      <c r="D394" s="21"/>
      <c r="E394" s="21"/>
      <c r="F394" s="21"/>
      <c r="G394" s="21"/>
      <c r="H394" s="21"/>
      <c r="I394" s="21"/>
      <c r="J394" s="21"/>
      <c r="K394" s="21"/>
      <c r="L394" s="21"/>
      <c r="M394" s="21"/>
      <c r="N394" s="21"/>
    </row>
    <row r="395" spans="1:14" x14ac:dyDescent="0.25">
      <c r="A395" s="21"/>
      <c r="B395" s="21"/>
      <c r="C395" s="21"/>
      <c r="D395" s="21"/>
      <c r="E395" s="21"/>
      <c r="F395" s="21"/>
      <c r="G395" s="21"/>
      <c r="H395" s="21"/>
      <c r="I395" s="21"/>
      <c r="J395" s="21"/>
      <c r="K395" s="21"/>
      <c r="L395" s="21"/>
      <c r="M395" s="21"/>
      <c r="N395" s="21"/>
    </row>
    <row r="396" spans="1:14" x14ac:dyDescent="0.25">
      <c r="A396" s="21"/>
      <c r="B396" s="21"/>
      <c r="C396" s="21"/>
      <c r="D396" s="21"/>
      <c r="E396" s="21"/>
      <c r="F396" s="21"/>
      <c r="G396" s="21"/>
      <c r="H396" s="21"/>
      <c r="I396" s="21"/>
      <c r="J396" s="21"/>
      <c r="K396" s="21"/>
      <c r="L396" s="21"/>
      <c r="M396" s="21"/>
      <c r="N396" s="21"/>
    </row>
    <row r="397" spans="1:14" x14ac:dyDescent="0.25">
      <c r="A397" s="21"/>
      <c r="B397" s="21"/>
      <c r="C397" s="21"/>
      <c r="D397" s="21"/>
      <c r="E397" s="21"/>
      <c r="F397" s="21"/>
      <c r="G397" s="21"/>
      <c r="H397" s="21"/>
      <c r="I397" s="21"/>
      <c r="J397" s="21"/>
      <c r="K397" s="21"/>
      <c r="L397" s="21"/>
      <c r="M397" s="21"/>
      <c r="N397" s="21"/>
    </row>
    <row r="398" spans="1:14" x14ac:dyDescent="0.25">
      <c r="A398" s="21"/>
      <c r="B398" s="21"/>
      <c r="C398" s="21"/>
      <c r="D398" s="21"/>
      <c r="E398" s="21"/>
      <c r="F398" s="21"/>
      <c r="G398" s="21"/>
      <c r="H398" s="21"/>
      <c r="I398" s="21"/>
      <c r="J398" s="21"/>
      <c r="K398" s="21"/>
      <c r="L398" s="21"/>
      <c r="M398" s="21"/>
      <c r="N398" s="21"/>
    </row>
    <row r="399" spans="1:14" x14ac:dyDescent="0.25">
      <c r="A399" s="21"/>
      <c r="B399" s="21"/>
      <c r="C399" s="21"/>
      <c r="D399" s="21"/>
      <c r="E399" s="21"/>
      <c r="F399" s="21"/>
      <c r="G399" s="21"/>
      <c r="H399" s="21"/>
      <c r="I399" s="21"/>
      <c r="J399" s="21"/>
      <c r="K399" s="21"/>
      <c r="L399" s="21"/>
      <c r="M399" s="21"/>
      <c r="N399" s="21"/>
    </row>
    <row r="400" spans="1:14" x14ac:dyDescent="0.25">
      <c r="A400" s="21"/>
      <c r="B400" s="21"/>
      <c r="C400" s="21"/>
      <c r="D400" s="21"/>
      <c r="E400" s="21"/>
      <c r="F400" s="21"/>
      <c r="G400" s="21"/>
      <c r="H400" s="21"/>
      <c r="I400" s="21"/>
      <c r="J400" s="21"/>
      <c r="K400" s="21"/>
      <c r="L400" s="21"/>
      <c r="M400" s="21"/>
      <c r="N400" s="21"/>
    </row>
  </sheetData>
  <autoFilter ref="A4:N113" xr:uid="{00000000-0009-0000-0000-000005000000}"/>
  <dataValidations count="3">
    <dataValidation type="list" allowBlank="1" sqref="C5:C400" xr:uid="{00000000-0002-0000-0500-000000000000}">
      <formula1>L_Types</formula1>
      <formula2>0</formula2>
    </dataValidation>
    <dataValidation type="list" allowBlank="1" sqref="L5:L400" xr:uid="{00000000-0002-0000-0500-000001000000}">
      <formula1>L_Qual</formula1>
      <formula2>0</formula2>
    </dataValidation>
    <dataValidation type="list" allowBlank="1" sqref="M5:M400" xr:uid="{00000000-0002-0000-0500-000002000000}">
      <formula1>"No - AI seeded,Yes - Verified"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6"/>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7" customWidth="1"/>
    <col min="2" max="15" width="26" customWidth="1"/>
  </cols>
  <sheetData>
    <row r="1" spans="1:15" ht="20.25" x14ac:dyDescent="0.3">
      <c r="A1" s="6" t="s">
        <v>23</v>
      </c>
      <c r="B1" s="7"/>
      <c r="C1" s="7"/>
      <c r="D1" s="7"/>
      <c r="E1" s="7"/>
      <c r="F1" s="7"/>
      <c r="G1" s="7"/>
      <c r="H1" s="7"/>
      <c r="I1" s="7"/>
      <c r="J1" s="7"/>
      <c r="K1" s="7"/>
      <c r="L1" s="7"/>
      <c r="M1" s="7"/>
      <c r="N1" s="7"/>
      <c r="O1" s="7"/>
    </row>
    <row r="2" spans="1:15" x14ac:dyDescent="0.25">
      <c r="A2" s="8" t="s">
        <v>661</v>
      </c>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ht="25.5" x14ac:dyDescent="0.25">
      <c r="A4" s="18" t="s">
        <v>662</v>
      </c>
      <c r="B4" s="18" t="s">
        <v>90</v>
      </c>
      <c r="C4" s="18" t="s">
        <v>91</v>
      </c>
      <c r="D4" s="18" t="s">
        <v>92</v>
      </c>
      <c r="E4" s="18" t="s">
        <v>93</v>
      </c>
      <c r="F4" s="18" t="s">
        <v>94</v>
      </c>
      <c r="G4" s="18" t="s">
        <v>95</v>
      </c>
      <c r="H4" s="18" t="s">
        <v>96</v>
      </c>
      <c r="I4" s="18" t="s">
        <v>97</v>
      </c>
      <c r="J4" s="18" t="s">
        <v>98</v>
      </c>
      <c r="K4" s="18" t="s">
        <v>99</v>
      </c>
      <c r="L4" s="18" t="s">
        <v>100</v>
      </c>
      <c r="M4" s="18" t="s">
        <v>101</v>
      </c>
      <c r="N4" s="18" t="s">
        <v>102</v>
      </c>
      <c r="O4" s="18" t="s">
        <v>103</v>
      </c>
    </row>
    <row r="5" spans="1:15" ht="30" customHeight="1" x14ac:dyDescent="0.25">
      <c r="A5" s="35">
        <v>1</v>
      </c>
      <c r="B5" s="29" t="s">
        <v>663</v>
      </c>
      <c r="C5" s="29" t="s">
        <v>664</v>
      </c>
      <c r="D5" s="29" t="s">
        <v>665</v>
      </c>
      <c r="E5" s="29" t="s">
        <v>666</v>
      </c>
      <c r="F5" s="29" t="s">
        <v>667</v>
      </c>
      <c r="G5" s="29" t="s">
        <v>668</v>
      </c>
      <c r="H5" s="29" t="s">
        <v>669</v>
      </c>
      <c r="I5" s="29" t="s">
        <v>670</v>
      </c>
      <c r="J5" s="29" t="s">
        <v>671</v>
      </c>
      <c r="K5" s="29" t="s">
        <v>671</v>
      </c>
      <c r="L5" s="29" t="s">
        <v>671</v>
      </c>
      <c r="M5" s="29" t="s">
        <v>671</v>
      </c>
      <c r="N5" s="29" t="s">
        <v>672</v>
      </c>
      <c r="O5" s="29" t="s">
        <v>673</v>
      </c>
    </row>
    <row r="6" spans="1:15" ht="30" customHeight="1" x14ac:dyDescent="0.25">
      <c r="A6" s="35">
        <v>2</v>
      </c>
      <c r="B6" s="29" t="s">
        <v>674</v>
      </c>
      <c r="C6" s="29" t="s">
        <v>675</v>
      </c>
      <c r="D6" s="29" t="s">
        <v>675</v>
      </c>
      <c r="E6" s="29" t="s">
        <v>675</v>
      </c>
      <c r="F6" s="29" t="s">
        <v>676</v>
      </c>
      <c r="G6" s="29" t="s">
        <v>677</v>
      </c>
      <c r="H6" s="29" t="s">
        <v>675</v>
      </c>
      <c r="I6" s="29" t="s">
        <v>678</v>
      </c>
      <c r="J6" s="29" t="s">
        <v>679</v>
      </c>
      <c r="K6" s="29" t="s">
        <v>680</v>
      </c>
      <c r="L6" s="29" t="s">
        <v>680</v>
      </c>
      <c r="M6" s="29" t="s">
        <v>680</v>
      </c>
      <c r="N6" s="29" t="s">
        <v>681</v>
      </c>
      <c r="O6" s="29" t="s">
        <v>682</v>
      </c>
    </row>
    <row r="7" spans="1:15" ht="30" customHeight="1" x14ac:dyDescent="0.25">
      <c r="A7" s="35">
        <v>3</v>
      </c>
      <c r="B7" s="29" t="s">
        <v>683</v>
      </c>
      <c r="C7" s="29" t="s">
        <v>683</v>
      </c>
      <c r="D7" s="29" t="s">
        <v>683</v>
      </c>
      <c r="E7" s="29" t="s">
        <v>684</v>
      </c>
      <c r="F7" s="29" t="s">
        <v>685</v>
      </c>
      <c r="G7" s="29" t="s">
        <v>683</v>
      </c>
      <c r="H7" s="29" t="s">
        <v>686</v>
      </c>
      <c r="I7" s="29" t="s">
        <v>687</v>
      </c>
      <c r="J7" s="29" t="s">
        <v>688</v>
      </c>
      <c r="K7" s="29" t="s">
        <v>689</v>
      </c>
      <c r="L7" s="29" t="s">
        <v>690</v>
      </c>
      <c r="M7" s="29" t="s">
        <v>691</v>
      </c>
      <c r="N7" s="29" t="s">
        <v>692</v>
      </c>
      <c r="O7" s="29" t="s">
        <v>693</v>
      </c>
    </row>
    <row r="8" spans="1:15" ht="30" customHeight="1" x14ac:dyDescent="0.25">
      <c r="A8" s="35">
        <v>4</v>
      </c>
      <c r="B8" s="29" t="s">
        <v>694</v>
      </c>
      <c r="C8" s="29" t="s">
        <v>694</v>
      </c>
      <c r="D8" s="29" t="s">
        <v>694</v>
      </c>
      <c r="E8" s="29" t="s">
        <v>683</v>
      </c>
      <c r="F8" s="29" t="s">
        <v>683</v>
      </c>
      <c r="G8" s="29" t="s">
        <v>687</v>
      </c>
      <c r="H8" s="29" t="s">
        <v>683</v>
      </c>
      <c r="I8" s="29" t="s">
        <v>683</v>
      </c>
      <c r="J8" s="29" t="s">
        <v>695</v>
      </c>
      <c r="K8" s="29" t="s">
        <v>696</v>
      </c>
      <c r="L8" s="29" t="s">
        <v>697</v>
      </c>
      <c r="M8" s="29" t="s">
        <v>698</v>
      </c>
      <c r="N8" s="29" t="s">
        <v>699</v>
      </c>
      <c r="O8" s="29" t="s">
        <v>700</v>
      </c>
    </row>
    <row r="9" spans="1:15" ht="30" customHeight="1" x14ac:dyDescent="0.25">
      <c r="A9" s="35">
        <v>5</v>
      </c>
      <c r="B9" s="29" t="s">
        <v>701</v>
      </c>
      <c r="C9" s="29" t="s">
        <v>701</v>
      </c>
      <c r="D9" s="29" t="s">
        <v>701</v>
      </c>
      <c r="E9" s="29" t="s">
        <v>694</v>
      </c>
      <c r="F9" s="29" t="s">
        <v>694</v>
      </c>
      <c r="G9" s="29" t="s">
        <v>694</v>
      </c>
      <c r="H9" s="29" t="s">
        <v>694</v>
      </c>
      <c r="I9" s="29" t="s">
        <v>702</v>
      </c>
      <c r="J9" s="29" t="s">
        <v>703</v>
      </c>
      <c r="K9" s="29" t="s">
        <v>704</v>
      </c>
      <c r="L9" s="29" t="s">
        <v>705</v>
      </c>
      <c r="M9" s="29" t="s">
        <v>706</v>
      </c>
      <c r="N9" s="29" t="s">
        <v>707</v>
      </c>
      <c r="O9" s="29" t="s">
        <v>708</v>
      </c>
    </row>
    <row r="10" spans="1:15" ht="30" customHeight="1" x14ac:dyDescent="0.25">
      <c r="A10" s="35">
        <v>6</v>
      </c>
      <c r="B10" s="29" t="s">
        <v>709</v>
      </c>
      <c r="C10" s="29" t="s">
        <v>710</v>
      </c>
      <c r="D10" s="29" t="s">
        <v>710</v>
      </c>
      <c r="E10" s="29" t="s">
        <v>701</v>
      </c>
      <c r="F10" s="29" t="s">
        <v>701</v>
      </c>
      <c r="G10" s="29" t="s">
        <v>701</v>
      </c>
      <c r="H10" s="29" t="s">
        <v>711</v>
      </c>
      <c r="I10" s="29" t="s">
        <v>712</v>
      </c>
      <c r="J10" s="29" t="s">
        <v>713</v>
      </c>
      <c r="K10" s="29" t="s">
        <v>706</v>
      </c>
      <c r="L10" s="29" t="s">
        <v>706</v>
      </c>
      <c r="M10" s="29" t="s">
        <v>714</v>
      </c>
      <c r="N10" s="29" t="s">
        <v>715</v>
      </c>
      <c r="O10" s="29" t="s">
        <v>716</v>
      </c>
    </row>
    <row r="11" spans="1:15" ht="30" customHeight="1" x14ac:dyDescent="0.25">
      <c r="A11" s="35">
        <v>7</v>
      </c>
      <c r="B11" s="29" t="s">
        <v>717</v>
      </c>
      <c r="C11" s="29" t="s">
        <v>718</v>
      </c>
      <c r="D11" s="29" t="s">
        <v>719</v>
      </c>
      <c r="E11" s="29" t="s">
        <v>710</v>
      </c>
      <c r="F11" s="29" t="s">
        <v>709</v>
      </c>
      <c r="G11" s="29" t="s">
        <v>720</v>
      </c>
      <c r="H11" s="29" t="s">
        <v>710</v>
      </c>
      <c r="I11" s="29" t="s">
        <v>701</v>
      </c>
      <c r="J11" s="29" t="s">
        <v>721</v>
      </c>
      <c r="K11" s="29" t="s">
        <v>722</v>
      </c>
      <c r="L11" s="29" t="s">
        <v>714</v>
      </c>
      <c r="M11" s="29"/>
      <c r="N11" s="29" t="s">
        <v>723</v>
      </c>
      <c r="O11" s="29" t="s">
        <v>724</v>
      </c>
    </row>
    <row r="12" spans="1:15" ht="30" customHeight="1" x14ac:dyDescent="0.25">
      <c r="A12" s="35">
        <v>8</v>
      </c>
      <c r="B12" s="29"/>
      <c r="C12" s="29"/>
      <c r="D12" s="29"/>
      <c r="E12" s="29"/>
      <c r="F12" s="29"/>
      <c r="G12" s="29"/>
      <c r="H12" s="29"/>
      <c r="I12" s="29"/>
      <c r="J12" s="29"/>
      <c r="K12" s="29"/>
      <c r="L12" s="29"/>
      <c r="M12" s="29"/>
      <c r="N12" s="29"/>
      <c r="O12" s="29"/>
    </row>
    <row r="13" spans="1:15" ht="30" customHeight="1" x14ac:dyDescent="0.25">
      <c r="A13" s="35">
        <v>9</v>
      </c>
      <c r="B13" s="29"/>
      <c r="C13" s="29"/>
      <c r="D13" s="29"/>
      <c r="E13" s="29"/>
      <c r="F13" s="29"/>
      <c r="G13" s="29"/>
      <c r="H13" s="29"/>
      <c r="I13" s="29"/>
      <c r="J13" s="29"/>
      <c r="K13" s="29"/>
      <c r="L13" s="29"/>
      <c r="M13" s="29"/>
      <c r="N13" s="29"/>
      <c r="O13" s="29"/>
    </row>
    <row r="14" spans="1:15" ht="30" customHeight="1" x14ac:dyDescent="0.25">
      <c r="A14" s="35">
        <v>10</v>
      </c>
      <c r="B14" s="29"/>
      <c r="C14" s="29"/>
      <c r="D14" s="29"/>
      <c r="E14" s="29"/>
      <c r="F14" s="29"/>
      <c r="G14" s="29"/>
      <c r="H14" s="29"/>
      <c r="I14" s="29"/>
      <c r="J14" s="29"/>
      <c r="K14" s="29"/>
      <c r="L14" s="29"/>
      <c r="M14" s="29"/>
      <c r="N14" s="29"/>
      <c r="O14" s="29"/>
    </row>
    <row r="15" spans="1:15" x14ac:dyDescent="0.25">
      <c r="A15" s="7"/>
      <c r="B15" s="7"/>
      <c r="C15" s="7"/>
      <c r="D15" s="7"/>
      <c r="E15" s="7"/>
      <c r="F15" s="7"/>
      <c r="G15" s="7"/>
      <c r="H15" s="7"/>
      <c r="I15" s="7"/>
      <c r="J15" s="7"/>
      <c r="K15" s="7"/>
      <c r="L15" s="7"/>
      <c r="M15" s="7"/>
      <c r="N15" s="7"/>
      <c r="O15" s="7"/>
    </row>
    <row r="16" spans="1:15" x14ac:dyDescent="0.25">
      <c r="A16" s="8" t="s">
        <v>725</v>
      </c>
      <c r="B16" s="7"/>
      <c r="C16" s="7"/>
      <c r="D16" s="7"/>
      <c r="E16" s="7"/>
      <c r="F16" s="7"/>
      <c r="G16" s="7"/>
      <c r="H16" s="7"/>
      <c r="I16" s="7"/>
      <c r="J16" s="7"/>
      <c r="K16" s="7"/>
      <c r="L16" s="7"/>
      <c r="M16" s="7"/>
      <c r="N16" s="7"/>
      <c r="O16" s="7"/>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4"/>
  <sheetViews>
    <sheetView showGridLines="0" zoomScaleNormal="100" workbookViewId="0">
      <pane ySplit="4" topLeftCell="A5" activePane="bottomLeft" state="frozen"/>
      <selection pane="bottomLeft" activeCell="B6" sqref="B6"/>
    </sheetView>
  </sheetViews>
  <sheetFormatPr defaultColWidth="8.7109375" defaultRowHeight="15" x14ac:dyDescent="0.25"/>
  <cols>
    <col min="1" max="1" width="12" customWidth="1"/>
    <col min="2" max="2" width="34" customWidth="1"/>
    <col min="3" max="3" width="20" customWidth="1"/>
    <col min="4" max="4" width="14" customWidth="1"/>
    <col min="5" max="5" width="12" customWidth="1"/>
    <col min="6" max="6" width="14" customWidth="1"/>
    <col min="7" max="7" width="20" customWidth="1"/>
    <col min="8" max="8" width="14" customWidth="1"/>
    <col min="9" max="9" width="40" customWidth="1"/>
  </cols>
  <sheetData>
    <row r="1" spans="1:9" ht="20.25" x14ac:dyDescent="0.3">
      <c r="A1" s="6" t="s">
        <v>25</v>
      </c>
      <c r="B1" s="7"/>
      <c r="C1" s="7"/>
      <c r="D1" s="7"/>
      <c r="E1" s="7"/>
      <c r="F1" s="7"/>
      <c r="G1" s="7"/>
      <c r="H1" s="7"/>
      <c r="I1" s="7"/>
    </row>
    <row r="2" spans="1:9" x14ac:dyDescent="0.25">
      <c r="A2" s="8" t="s">
        <v>726</v>
      </c>
      <c r="B2" s="7"/>
      <c r="C2" s="7"/>
      <c r="D2" s="7"/>
      <c r="E2" s="7"/>
      <c r="F2" s="7"/>
      <c r="G2" s="7"/>
      <c r="H2" s="7"/>
      <c r="I2" s="7"/>
    </row>
    <row r="3" spans="1:9" x14ac:dyDescent="0.25">
      <c r="A3" s="7"/>
      <c r="B3" s="7"/>
      <c r="C3" s="7"/>
      <c r="D3" s="7"/>
      <c r="E3" s="7"/>
      <c r="F3" s="7"/>
      <c r="G3" s="7"/>
      <c r="H3" s="7"/>
      <c r="I3" s="7"/>
    </row>
    <row r="4" spans="1:9" ht="25.5" x14ac:dyDescent="0.25">
      <c r="A4" s="18" t="s">
        <v>727</v>
      </c>
      <c r="B4" s="18" t="s">
        <v>728</v>
      </c>
      <c r="C4" s="18" t="s">
        <v>729</v>
      </c>
      <c r="D4" s="18" t="s">
        <v>730</v>
      </c>
      <c r="E4" s="18" t="s">
        <v>731</v>
      </c>
      <c r="F4" s="18" t="s">
        <v>732</v>
      </c>
      <c r="G4" s="18" t="s">
        <v>733</v>
      </c>
      <c r="H4" s="18" t="s">
        <v>7</v>
      </c>
      <c r="I4" s="18" t="s">
        <v>117</v>
      </c>
    </row>
    <row r="5" spans="1:9" x14ac:dyDescent="0.25">
      <c r="A5" s="21" t="s">
        <v>734</v>
      </c>
      <c r="B5" s="21" t="s">
        <v>781</v>
      </c>
      <c r="C5" s="21"/>
      <c r="D5" s="21"/>
      <c r="E5" s="21"/>
      <c r="F5" s="21"/>
      <c r="G5" s="21"/>
      <c r="H5" s="21"/>
      <c r="I5" s="21" t="s">
        <v>735</v>
      </c>
    </row>
    <row r="6" spans="1:9" x14ac:dyDescent="0.25">
      <c r="A6" s="21" t="s">
        <v>736</v>
      </c>
      <c r="B6" s="21" t="s">
        <v>737</v>
      </c>
      <c r="C6" s="21"/>
      <c r="D6" s="21"/>
      <c r="E6" s="21"/>
      <c r="F6" s="21"/>
      <c r="G6" s="21"/>
      <c r="H6" s="21"/>
      <c r="I6" s="21" t="s">
        <v>735</v>
      </c>
    </row>
    <row r="7" spans="1:9" x14ac:dyDescent="0.25">
      <c r="A7" s="21" t="s">
        <v>738</v>
      </c>
      <c r="B7" s="21" t="s">
        <v>739</v>
      </c>
      <c r="C7" s="21"/>
      <c r="D7" s="21"/>
      <c r="E7" s="21"/>
      <c r="F7" s="21"/>
      <c r="G7" s="21"/>
      <c r="H7" s="21"/>
      <c r="I7" s="21" t="s">
        <v>735</v>
      </c>
    </row>
    <row r="8" spans="1:9" x14ac:dyDescent="0.25">
      <c r="A8" s="21"/>
      <c r="B8" s="21"/>
      <c r="C8" s="21"/>
      <c r="D8" s="21"/>
      <c r="E8" s="21"/>
      <c r="F8" s="21"/>
      <c r="G8" s="21"/>
      <c r="H8" s="21"/>
      <c r="I8" s="21"/>
    </row>
    <row r="9" spans="1:9" x14ac:dyDescent="0.25">
      <c r="A9" s="21"/>
      <c r="B9" s="21"/>
      <c r="C9" s="21"/>
      <c r="D9" s="21"/>
      <c r="E9" s="21"/>
      <c r="F9" s="21"/>
      <c r="G9" s="21"/>
      <c r="H9" s="21"/>
      <c r="I9" s="21"/>
    </row>
    <row r="10" spans="1:9" x14ac:dyDescent="0.25">
      <c r="A10" s="21"/>
      <c r="B10" s="21"/>
      <c r="C10" s="21"/>
      <c r="D10" s="21"/>
      <c r="E10" s="21"/>
      <c r="F10" s="21"/>
      <c r="G10" s="21"/>
      <c r="H10" s="21"/>
      <c r="I10" s="21"/>
    </row>
    <row r="11" spans="1:9" x14ac:dyDescent="0.25">
      <c r="A11" s="21"/>
      <c r="B11" s="21"/>
      <c r="C11" s="21"/>
      <c r="D11" s="21"/>
      <c r="E11" s="21"/>
      <c r="F11" s="21"/>
      <c r="G11" s="21"/>
      <c r="H11" s="21"/>
      <c r="I11" s="21"/>
    </row>
    <row r="12" spans="1:9" x14ac:dyDescent="0.25">
      <c r="A12" s="21"/>
      <c r="B12" s="21"/>
      <c r="C12" s="21"/>
      <c r="D12" s="21"/>
      <c r="E12" s="21"/>
      <c r="F12" s="21"/>
      <c r="G12" s="21"/>
      <c r="H12" s="21"/>
      <c r="I12" s="21"/>
    </row>
    <row r="13" spans="1:9" x14ac:dyDescent="0.25">
      <c r="A13" s="21"/>
      <c r="B13" s="21"/>
      <c r="C13" s="21"/>
      <c r="D13" s="21"/>
      <c r="E13" s="21"/>
      <c r="F13" s="21"/>
      <c r="G13" s="21"/>
      <c r="H13" s="21"/>
      <c r="I13" s="21"/>
    </row>
    <row r="14" spans="1:9" x14ac:dyDescent="0.25">
      <c r="A14" s="21"/>
      <c r="B14" s="21"/>
      <c r="C14" s="21"/>
      <c r="D14" s="21"/>
      <c r="E14" s="21"/>
      <c r="F14" s="21"/>
      <c r="G14" s="21"/>
      <c r="H14" s="21"/>
      <c r="I14" s="21"/>
    </row>
    <row r="15" spans="1:9" x14ac:dyDescent="0.25">
      <c r="A15" s="21"/>
      <c r="B15" s="21"/>
      <c r="C15" s="21"/>
      <c r="D15" s="21"/>
      <c r="E15" s="21"/>
      <c r="F15" s="21"/>
      <c r="G15" s="21"/>
      <c r="H15" s="21"/>
      <c r="I15" s="21"/>
    </row>
    <row r="16" spans="1:9" x14ac:dyDescent="0.25">
      <c r="A16" s="21"/>
      <c r="B16" s="21"/>
      <c r="C16" s="21"/>
      <c r="D16" s="21"/>
      <c r="E16" s="21"/>
      <c r="F16" s="21"/>
      <c r="G16" s="21"/>
      <c r="H16" s="21"/>
      <c r="I16" s="21"/>
    </row>
    <row r="17" spans="1:9" x14ac:dyDescent="0.25">
      <c r="A17" s="21"/>
      <c r="B17" s="21"/>
      <c r="C17" s="21"/>
      <c r="D17" s="21"/>
      <c r="E17" s="21"/>
      <c r="F17" s="21"/>
      <c r="G17" s="21"/>
      <c r="H17" s="21"/>
      <c r="I17" s="21"/>
    </row>
    <row r="18" spans="1:9" x14ac:dyDescent="0.25">
      <c r="A18" s="21"/>
      <c r="B18" s="21"/>
      <c r="C18" s="21"/>
      <c r="D18" s="21"/>
      <c r="E18" s="21"/>
      <c r="F18" s="21"/>
      <c r="G18" s="21"/>
      <c r="H18" s="21"/>
      <c r="I18" s="21"/>
    </row>
    <row r="19" spans="1:9" x14ac:dyDescent="0.25">
      <c r="A19" s="21"/>
      <c r="B19" s="21"/>
      <c r="C19" s="21"/>
      <c r="D19" s="21"/>
      <c r="E19" s="21"/>
      <c r="F19" s="21"/>
      <c r="G19" s="21"/>
      <c r="H19" s="21"/>
      <c r="I19" s="21"/>
    </row>
    <row r="20" spans="1:9" x14ac:dyDescent="0.25">
      <c r="A20" s="21"/>
      <c r="B20" s="21"/>
      <c r="C20" s="21"/>
      <c r="D20" s="21"/>
      <c r="E20" s="21"/>
      <c r="F20" s="21"/>
      <c r="G20" s="21"/>
      <c r="H20" s="21"/>
      <c r="I20" s="21"/>
    </row>
    <row r="21" spans="1:9" x14ac:dyDescent="0.25">
      <c r="A21" s="21"/>
      <c r="B21" s="21"/>
      <c r="C21" s="21"/>
      <c r="D21" s="21"/>
      <c r="E21" s="21"/>
      <c r="F21" s="21"/>
      <c r="G21" s="21"/>
      <c r="H21" s="21"/>
      <c r="I21" s="21"/>
    </row>
    <row r="22" spans="1:9" x14ac:dyDescent="0.25">
      <c r="A22" s="21"/>
      <c r="B22" s="21"/>
      <c r="C22" s="21"/>
      <c r="D22" s="21"/>
      <c r="E22" s="21"/>
      <c r="F22" s="21"/>
      <c r="G22" s="21"/>
      <c r="H22" s="21"/>
      <c r="I22" s="21"/>
    </row>
    <row r="23" spans="1:9" x14ac:dyDescent="0.25">
      <c r="A23" s="21"/>
      <c r="B23" s="21"/>
      <c r="C23" s="21"/>
      <c r="D23" s="21"/>
      <c r="E23" s="21"/>
      <c r="F23" s="21"/>
      <c r="G23" s="21"/>
      <c r="H23" s="21"/>
      <c r="I23" s="21"/>
    </row>
    <row r="24" spans="1:9" x14ac:dyDescent="0.25">
      <c r="A24" s="21"/>
      <c r="B24" s="21"/>
      <c r="C24" s="21"/>
      <c r="D24" s="21"/>
      <c r="E24" s="21"/>
      <c r="F24" s="21"/>
      <c r="G24" s="21"/>
      <c r="H24" s="21"/>
      <c r="I24" s="21"/>
    </row>
    <row r="25" spans="1:9" x14ac:dyDescent="0.25">
      <c r="A25" s="21"/>
      <c r="B25" s="21"/>
      <c r="C25" s="21"/>
      <c r="D25" s="21"/>
      <c r="E25" s="21"/>
      <c r="F25" s="21"/>
      <c r="G25" s="21"/>
      <c r="H25" s="21"/>
      <c r="I25" s="21"/>
    </row>
    <row r="26" spans="1:9" x14ac:dyDescent="0.25">
      <c r="A26" s="21"/>
      <c r="B26" s="21"/>
      <c r="C26" s="21"/>
      <c r="D26" s="21"/>
      <c r="E26" s="21"/>
      <c r="F26" s="21"/>
      <c r="G26" s="21"/>
      <c r="H26" s="21"/>
      <c r="I26" s="21"/>
    </row>
    <row r="27" spans="1:9" x14ac:dyDescent="0.25">
      <c r="A27" s="21"/>
      <c r="B27" s="21"/>
      <c r="C27" s="21"/>
      <c r="D27" s="21"/>
      <c r="E27" s="21"/>
      <c r="F27" s="21"/>
      <c r="G27" s="21"/>
      <c r="H27" s="21"/>
      <c r="I27" s="21"/>
    </row>
    <row r="28" spans="1:9" x14ac:dyDescent="0.25">
      <c r="A28" s="21"/>
      <c r="B28" s="21"/>
      <c r="C28" s="21"/>
      <c r="D28" s="21"/>
      <c r="E28" s="21"/>
      <c r="F28" s="21"/>
      <c r="G28" s="21"/>
      <c r="H28" s="21"/>
      <c r="I28" s="21"/>
    </row>
    <row r="29" spans="1:9" x14ac:dyDescent="0.25">
      <c r="A29" s="21"/>
      <c r="B29" s="21"/>
      <c r="C29" s="21"/>
      <c r="D29" s="21"/>
      <c r="E29" s="21"/>
      <c r="F29" s="21"/>
      <c r="G29" s="21"/>
      <c r="H29" s="21"/>
      <c r="I29" s="21"/>
    </row>
    <row r="30" spans="1:9" x14ac:dyDescent="0.25">
      <c r="A30" s="21"/>
      <c r="B30" s="21"/>
      <c r="C30" s="21"/>
      <c r="D30" s="21"/>
      <c r="E30" s="21"/>
      <c r="F30" s="21"/>
      <c r="G30" s="21"/>
      <c r="H30" s="21"/>
      <c r="I30" s="21"/>
    </row>
    <row r="31" spans="1:9" x14ac:dyDescent="0.25">
      <c r="A31" s="21"/>
      <c r="B31" s="21"/>
      <c r="C31" s="21"/>
      <c r="D31" s="21"/>
      <c r="E31" s="21"/>
      <c r="F31" s="21"/>
      <c r="G31" s="21"/>
      <c r="H31" s="21"/>
      <c r="I31" s="21"/>
    </row>
    <row r="32" spans="1:9" x14ac:dyDescent="0.25">
      <c r="A32" s="21"/>
      <c r="B32" s="21"/>
      <c r="C32" s="21"/>
      <c r="D32" s="21"/>
      <c r="E32" s="21"/>
      <c r="F32" s="21"/>
      <c r="G32" s="21"/>
      <c r="H32" s="21"/>
      <c r="I32" s="21"/>
    </row>
    <row r="33" spans="1:9" x14ac:dyDescent="0.25">
      <c r="A33" s="21"/>
      <c r="B33" s="21"/>
      <c r="C33" s="21"/>
      <c r="D33" s="21"/>
      <c r="E33" s="21"/>
      <c r="F33" s="21"/>
      <c r="G33" s="21"/>
      <c r="H33" s="21"/>
      <c r="I33" s="21"/>
    </row>
    <row r="34" spans="1:9" x14ac:dyDescent="0.25">
      <c r="A34" s="21"/>
      <c r="B34" s="21"/>
      <c r="C34" s="21"/>
      <c r="D34" s="21"/>
      <c r="E34" s="21"/>
      <c r="F34" s="21"/>
      <c r="G34" s="21"/>
      <c r="H34" s="21"/>
      <c r="I34" s="21"/>
    </row>
    <row r="35" spans="1:9" x14ac:dyDescent="0.25">
      <c r="A35" s="21"/>
      <c r="B35" s="21"/>
      <c r="C35" s="21"/>
      <c r="D35" s="21"/>
      <c r="E35" s="21"/>
      <c r="F35" s="21"/>
      <c r="G35" s="21"/>
      <c r="H35" s="21"/>
      <c r="I35" s="21"/>
    </row>
    <row r="36" spans="1:9" x14ac:dyDescent="0.25">
      <c r="A36" s="21"/>
      <c r="B36" s="21"/>
      <c r="C36" s="21"/>
      <c r="D36" s="21"/>
      <c r="E36" s="21"/>
      <c r="F36" s="21"/>
      <c r="G36" s="21"/>
      <c r="H36" s="21"/>
      <c r="I36" s="21"/>
    </row>
    <row r="37" spans="1:9" x14ac:dyDescent="0.25">
      <c r="A37" s="21"/>
      <c r="B37" s="21"/>
      <c r="C37" s="21"/>
      <c r="D37" s="21"/>
      <c r="E37" s="21"/>
      <c r="F37" s="21"/>
      <c r="G37" s="21"/>
      <c r="H37" s="21"/>
      <c r="I37" s="21"/>
    </row>
    <row r="38" spans="1:9" x14ac:dyDescent="0.25">
      <c r="A38" s="21"/>
      <c r="B38" s="21"/>
      <c r="C38" s="21"/>
      <c r="D38" s="21"/>
      <c r="E38" s="21"/>
      <c r="F38" s="21"/>
      <c r="G38" s="21"/>
      <c r="H38" s="21"/>
      <c r="I38" s="21"/>
    </row>
    <row r="39" spans="1:9" x14ac:dyDescent="0.25">
      <c r="A39" s="21"/>
      <c r="B39" s="21"/>
      <c r="C39" s="21"/>
      <c r="D39" s="21"/>
      <c r="E39" s="21"/>
      <c r="F39" s="21"/>
      <c r="G39" s="21"/>
      <c r="H39" s="21"/>
      <c r="I39" s="21"/>
    </row>
    <row r="40" spans="1:9" x14ac:dyDescent="0.25">
      <c r="A40" s="21"/>
      <c r="B40" s="21"/>
      <c r="C40" s="21"/>
      <c r="D40" s="21"/>
      <c r="E40" s="21"/>
      <c r="F40" s="21"/>
      <c r="G40" s="21"/>
      <c r="H40" s="21"/>
      <c r="I40" s="21"/>
    </row>
    <row r="41" spans="1:9" x14ac:dyDescent="0.25">
      <c r="A41" s="21"/>
      <c r="B41" s="21"/>
      <c r="C41" s="21"/>
      <c r="D41" s="21"/>
      <c r="E41" s="21"/>
      <c r="F41" s="21"/>
      <c r="G41" s="21"/>
      <c r="H41" s="21"/>
      <c r="I41" s="21"/>
    </row>
    <row r="42" spans="1:9" x14ac:dyDescent="0.25">
      <c r="A42" s="21"/>
      <c r="B42" s="21"/>
      <c r="C42" s="21"/>
      <c r="D42" s="21"/>
      <c r="E42" s="21"/>
      <c r="F42" s="21"/>
      <c r="G42" s="21"/>
      <c r="H42" s="21"/>
      <c r="I42" s="21"/>
    </row>
    <row r="43" spans="1:9" x14ac:dyDescent="0.25">
      <c r="A43" s="21"/>
      <c r="B43" s="21"/>
      <c r="C43" s="21"/>
      <c r="D43" s="21"/>
      <c r="E43" s="21"/>
      <c r="F43" s="21"/>
      <c r="G43" s="21"/>
      <c r="H43" s="21"/>
      <c r="I43" s="21"/>
    </row>
    <row r="44" spans="1:9" x14ac:dyDescent="0.25">
      <c r="A44" s="21"/>
      <c r="B44" s="21"/>
      <c r="C44" s="21"/>
      <c r="D44" s="21"/>
      <c r="E44" s="21"/>
      <c r="F44" s="21"/>
      <c r="G44" s="21"/>
      <c r="H44" s="21"/>
      <c r="I44" s="21"/>
    </row>
    <row r="45" spans="1:9" x14ac:dyDescent="0.25">
      <c r="A45" s="21"/>
      <c r="B45" s="21"/>
      <c r="C45" s="21"/>
      <c r="D45" s="21"/>
      <c r="E45" s="21"/>
      <c r="F45" s="21"/>
      <c r="G45" s="21"/>
      <c r="H45" s="21"/>
      <c r="I45" s="21"/>
    </row>
    <row r="46" spans="1:9" x14ac:dyDescent="0.25">
      <c r="A46" s="21"/>
      <c r="B46" s="21"/>
      <c r="C46" s="21"/>
      <c r="D46" s="21"/>
      <c r="E46" s="21"/>
      <c r="F46" s="21"/>
      <c r="G46" s="21"/>
      <c r="H46" s="21"/>
      <c r="I46" s="21"/>
    </row>
    <row r="47" spans="1:9" x14ac:dyDescent="0.25">
      <c r="A47" s="21"/>
      <c r="B47" s="21"/>
      <c r="C47" s="21"/>
      <c r="D47" s="21"/>
      <c r="E47" s="21"/>
      <c r="F47" s="21"/>
      <c r="G47" s="21"/>
      <c r="H47" s="21"/>
      <c r="I47" s="21"/>
    </row>
    <row r="48" spans="1:9" x14ac:dyDescent="0.25">
      <c r="A48" s="21"/>
      <c r="B48" s="21"/>
      <c r="C48" s="21"/>
      <c r="D48" s="21"/>
      <c r="E48" s="21"/>
      <c r="F48" s="21"/>
      <c r="G48" s="21"/>
      <c r="H48" s="21"/>
      <c r="I48" s="21"/>
    </row>
    <row r="49" spans="1:9" x14ac:dyDescent="0.25">
      <c r="A49" s="21"/>
      <c r="B49" s="21"/>
      <c r="C49" s="21"/>
      <c r="D49" s="21"/>
      <c r="E49" s="21"/>
      <c r="F49" s="21"/>
      <c r="G49" s="21"/>
      <c r="H49" s="21"/>
      <c r="I49" s="21"/>
    </row>
    <row r="50" spans="1:9" x14ac:dyDescent="0.25">
      <c r="A50" s="21"/>
      <c r="B50" s="21"/>
      <c r="C50" s="21"/>
      <c r="D50" s="21"/>
      <c r="E50" s="21"/>
      <c r="F50" s="21"/>
      <c r="G50" s="21"/>
      <c r="H50" s="21"/>
      <c r="I50" s="21"/>
    </row>
    <row r="51" spans="1:9" x14ac:dyDescent="0.25">
      <c r="A51" s="21"/>
      <c r="B51" s="21"/>
      <c r="C51" s="21"/>
      <c r="D51" s="21"/>
      <c r="E51" s="21"/>
      <c r="F51" s="21"/>
      <c r="G51" s="21"/>
      <c r="H51" s="21"/>
      <c r="I51" s="21"/>
    </row>
    <row r="52" spans="1:9" x14ac:dyDescent="0.25">
      <c r="A52" s="21"/>
      <c r="B52" s="21"/>
      <c r="C52" s="21"/>
      <c r="D52" s="21"/>
      <c r="E52" s="21"/>
      <c r="F52" s="21"/>
      <c r="G52" s="21"/>
      <c r="H52" s="21"/>
      <c r="I52" s="21"/>
    </row>
    <row r="53" spans="1:9" x14ac:dyDescent="0.25">
      <c r="A53" s="21"/>
      <c r="B53" s="21"/>
      <c r="C53" s="21"/>
      <c r="D53" s="21"/>
      <c r="E53" s="21"/>
      <c r="F53" s="21"/>
      <c r="G53" s="21"/>
      <c r="H53" s="21"/>
      <c r="I53" s="21"/>
    </row>
    <row r="54" spans="1:9" x14ac:dyDescent="0.25">
      <c r="A54" s="21"/>
      <c r="B54" s="21"/>
      <c r="C54" s="21"/>
      <c r="D54" s="21"/>
      <c r="E54" s="21"/>
      <c r="F54" s="21"/>
      <c r="G54" s="21"/>
      <c r="H54" s="21"/>
      <c r="I54" s="21"/>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4"/>
  <sheetViews>
    <sheetView showGridLines="0" zoomScaleNormal="100" workbookViewId="0"/>
  </sheetViews>
  <sheetFormatPr defaultColWidth="8.7109375" defaultRowHeight="15" x14ac:dyDescent="0.25"/>
  <cols>
    <col min="1" max="6" width="28" customWidth="1"/>
  </cols>
  <sheetData>
    <row r="1" spans="1:6" ht="20.25" x14ac:dyDescent="0.3">
      <c r="A1" s="6" t="s">
        <v>27</v>
      </c>
      <c r="B1" s="7"/>
      <c r="C1" s="7"/>
      <c r="D1" s="7"/>
      <c r="E1" s="7"/>
      <c r="F1" s="7"/>
    </row>
    <row r="2" spans="1:6" x14ac:dyDescent="0.25">
      <c r="A2" s="8" t="s">
        <v>740</v>
      </c>
      <c r="B2" s="7"/>
      <c r="C2" s="7"/>
      <c r="D2" s="7"/>
      <c r="E2" s="7"/>
      <c r="F2" s="7"/>
    </row>
    <row r="3" spans="1:6" x14ac:dyDescent="0.25">
      <c r="A3" s="7"/>
      <c r="B3" s="7"/>
      <c r="C3" s="7"/>
      <c r="D3" s="7"/>
      <c r="E3" s="7"/>
      <c r="F3" s="7"/>
    </row>
    <row r="4" spans="1:6" x14ac:dyDescent="0.25">
      <c r="A4" s="18" t="s">
        <v>741</v>
      </c>
      <c r="B4" s="18" t="s">
        <v>742</v>
      </c>
      <c r="C4" s="18" t="s">
        <v>142</v>
      </c>
      <c r="D4" s="18" t="s">
        <v>743</v>
      </c>
      <c r="E4" s="18" t="s">
        <v>744</v>
      </c>
      <c r="F4" s="18" t="s">
        <v>745</v>
      </c>
    </row>
    <row r="5" spans="1:6" x14ac:dyDescent="0.25">
      <c r="A5" s="19" t="s">
        <v>149</v>
      </c>
      <c r="B5" s="19" t="s">
        <v>128</v>
      </c>
      <c r="C5" s="19" t="s">
        <v>150</v>
      </c>
      <c r="D5" s="19" t="s">
        <v>746</v>
      </c>
      <c r="E5" s="21" t="s">
        <v>125</v>
      </c>
      <c r="F5" s="19" t="s">
        <v>90</v>
      </c>
    </row>
    <row r="6" spans="1:6" x14ac:dyDescent="0.25">
      <c r="A6" s="19" t="s">
        <v>747</v>
      </c>
      <c r="B6" s="19" t="s">
        <v>748</v>
      </c>
      <c r="C6" s="19" t="s">
        <v>749</v>
      </c>
      <c r="D6" s="19" t="s">
        <v>152</v>
      </c>
      <c r="E6" s="21" t="s">
        <v>750</v>
      </c>
      <c r="F6" s="19" t="s">
        <v>91</v>
      </c>
    </row>
    <row r="7" spans="1:6" x14ac:dyDescent="0.25">
      <c r="A7" s="19" t="s">
        <v>751</v>
      </c>
      <c r="B7" s="19" t="s">
        <v>752</v>
      </c>
      <c r="C7" s="19" t="s">
        <v>753</v>
      </c>
      <c r="D7" s="19" t="s">
        <v>754</v>
      </c>
      <c r="E7" s="21" t="s">
        <v>755</v>
      </c>
      <c r="F7" s="19" t="s">
        <v>92</v>
      </c>
    </row>
    <row r="8" spans="1:6" x14ac:dyDescent="0.25">
      <c r="A8" s="19" t="s">
        <v>756</v>
      </c>
      <c r="B8" s="19" t="s">
        <v>757</v>
      </c>
      <c r="C8" s="19" t="s">
        <v>758</v>
      </c>
      <c r="D8" s="19" t="s">
        <v>759</v>
      </c>
      <c r="E8" s="21" t="s">
        <v>733</v>
      </c>
      <c r="F8" s="19" t="s">
        <v>93</v>
      </c>
    </row>
    <row r="9" spans="1:6" x14ac:dyDescent="0.25">
      <c r="A9" s="19" t="s">
        <v>760</v>
      </c>
      <c r="B9" s="19" t="s">
        <v>761</v>
      </c>
      <c r="C9" s="19" t="s">
        <v>762</v>
      </c>
      <c r="D9" s="7"/>
      <c r="E9" s="21" t="s">
        <v>763</v>
      </c>
      <c r="F9" s="19" t="s">
        <v>94</v>
      </c>
    </row>
    <row r="10" spans="1:6" x14ac:dyDescent="0.25">
      <c r="A10" s="19" t="s">
        <v>764</v>
      </c>
      <c r="B10" s="19" t="s">
        <v>765</v>
      </c>
      <c r="C10" s="19" t="s">
        <v>766</v>
      </c>
      <c r="D10" s="7"/>
      <c r="E10" s="21" t="s">
        <v>133</v>
      </c>
      <c r="F10" s="19" t="s">
        <v>95</v>
      </c>
    </row>
    <row r="11" spans="1:6" x14ac:dyDescent="0.25">
      <c r="A11" s="19" t="s">
        <v>767</v>
      </c>
      <c r="B11" s="19" t="s">
        <v>768</v>
      </c>
      <c r="C11" s="7"/>
      <c r="D11" s="7"/>
      <c r="E11" s="21"/>
      <c r="F11" s="19" t="s">
        <v>96</v>
      </c>
    </row>
    <row r="12" spans="1:6" x14ac:dyDescent="0.25">
      <c r="A12" s="19" t="s">
        <v>769</v>
      </c>
      <c r="B12" s="7"/>
      <c r="C12" s="7"/>
      <c r="D12" s="7"/>
      <c r="E12" s="21"/>
      <c r="F12" s="19" t="s">
        <v>97</v>
      </c>
    </row>
    <row r="13" spans="1:6" x14ac:dyDescent="0.25">
      <c r="A13" s="19" t="s">
        <v>770</v>
      </c>
      <c r="B13" s="7"/>
      <c r="C13" s="7"/>
      <c r="D13" s="7"/>
      <c r="E13" s="21"/>
      <c r="F13" s="19" t="s">
        <v>98</v>
      </c>
    </row>
    <row r="14" spans="1:6" x14ac:dyDescent="0.25">
      <c r="A14" s="7"/>
      <c r="B14" s="7"/>
      <c r="C14" s="7"/>
      <c r="D14" s="7"/>
      <c r="E14" s="21"/>
      <c r="F14" s="19" t="s">
        <v>99</v>
      </c>
    </row>
    <row r="15" spans="1:6" x14ac:dyDescent="0.25">
      <c r="A15" s="7"/>
      <c r="B15" s="7"/>
      <c r="C15" s="7"/>
      <c r="D15" s="7"/>
      <c r="E15" s="21"/>
      <c r="F15" s="19" t="s">
        <v>100</v>
      </c>
    </row>
    <row r="16" spans="1:6" x14ac:dyDescent="0.25">
      <c r="A16" s="7"/>
      <c r="B16" s="7"/>
      <c r="C16" s="7"/>
      <c r="D16" s="7"/>
      <c r="E16" s="21"/>
      <c r="F16" s="19" t="s">
        <v>101</v>
      </c>
    </row>
    <row r="17" spans="1:6" x14ac:dyDescent="0.25">
      <c r="A17" s="7"/>
      <c r="B17" s="7"/>
      <c r="C17" s="7"/>
      <c r="D17" s="7"/>
      <c r="E17" s="21"/>
      <c r="F17" s="19" t="s">
        <v>102</v>
      </c>
    </row>
    <row r="18" spans="1:6" x14ac:dyDescent="0.25">
      <c r="A18" s="7"/>
      <c r="B18" s="7"/>
      <c r="C18" s="7"/>
      <c r="D18" s="7"/>
      <c r="E18" s="21"/>
      <c r="F18" s="19" t="s">
        <v>103</v>
      </c>
    </row>
    <row r="19" spans="1:6" x14ac:dyDescent="0.25">
      <c r="A19" s="7"/>
      <c r="B19" s="7"/>
      <c r="C19" s="7"/>
      <c r="D19" s="7"/>
      <c r="E19" s="21"/>
      <c r="F19" s="7"/>
    </row>
    <row r="20" spans="1:6" x14ac:dyDescent="0.25">
      <c r="A20" s="7"/>
      <c r="B20" s="7"/>
      <c r="C20" s="7"/>
      <c r="D20" s="7"/>
      <c r="E20" s="21"/>
      <c r="F20" s="7"/>
    </row>
    <row r="21" spans="1:6" x14ac:dyDescent="0.25">
      <c r="A21" s="7"/>
      <c r="B21" s="7"/>
      <c r="C21" s="7"/>
      <c r="D21" s="7"/>
      <c r="E21" s="21"/>
      <c r="F21" s="7"/>
    </row>
    <row r="22" spans="1:6" x14ac:dyDescent="0.25">
      <c r="A22" s="7"/>
      <c r="B22" s="7"/>
      <c r="C22" s="7"/>
      <c r="D22" s="7"/>
      <c r="E22" s="21"/>
      <c r="F22" s="7"/>
    </row>
    <row r="23" spans="1:6" x14ac:dyDescent="0.25">
      <c r="A23" s="7"/>
      <c r="B23" s="7"/>
      <c r="C23" s="7"/>
      <c r="D23" s="7"/>
      <c r="E23" s="21"/>
      <c r="F23" s="7"/>
    </row>
    <row r="24" spans="1:6" x14ac:dyDescent="0.25">
      <c r="A24" s="7"/>
      <c r="B24" s="7"/>
      <c r="C24" s="7"/>
      <c r="D24" s="7"/>
      <c r="E24" s="21"/>
      <c r="F24" s="7"/>
    </row>
    <row r="25" spans="1:6" x14ac:dyDescent="0.25">
      <c r="A25" s="7"/>
      <c r="B25" s="7"/>
      <c r="C25" s="7"/>
      <c r="D25" s="7"/>
      <c r="E25" s="21"/>
      <c r="F25" s="7"/>
    </row>
    <row r="26" spans="1:6" x14ac:dyDescent="0.25">
      <c r="A26" s="7"/>
      <c r="B26" s="7"/>
      <c r="C26" s="7"/>
      <c r="D26" s="7"/>
      <c r="E26" s="21"/>
      <c r="F26" s="7"/>
    </row>
    <row r="27" spans="1:6" x14ac:dyDescent="0.25">
      <c r="A27" s="7"/>
      <c r="B27" s="7"/>
      <c r="C27" s="7"/>
      <c r="D27" s="7"/>
      <c r="E27" s="21"/>
      <c r="F27" s="7"/>
    </row>
    <row r="28" spans="1:6" x14ac:dyDescent="0.25">
      <c r="A28" s="7"/>
      <c r="B28" s="7"/>
      <c r="C28" s="7"/>
      <c r="D28" s="7"/>
      <c r="E28" s="21"/>
      <c r="F28" s="7"/>
    </row>
    <row r="29" spans="1:6" x14ac:dyDescent="0.25">
      <c r="A29" s="7"/>
      <c r="B29" s="7"/>
      <c r="C29" s="7"/>
      <c r="D29" s="7"/>
      <c r="E29" s="21"/>
      <c r="F29" s="7"/>
    </row>
    <row r="30" spans="1:6" x14ac:dyDescent="0.25">
      <c r="A30" s="7"/>
      <c r="B30" s="7"/>
      <c r="C30" s="7"/>
      <c r="D30" s="7"/>
      <c r="E30" s="21"/>
      <c r="F30" s="7"/>
    </row>
    <row r="31" spans="1:6" x14ac:dyDescent="0.25">
      <c r="A31" s="7"/>
      <c r="B31" s="7"/>
      <c r="C31" s="7"/>
      <c r="D31" s="7"/>
      <c r="E31" s="21"/>
      <c r="F31" s="7"/>
    </row>
    <row r="32" spans="1:6" x14ac:dyDescent="0.25">
      <c r="A32" s="7"/>
      <c r="B32" s="7"/>
      <c r="C32" s="7"/>
      <c r="D32" s="7"/>
      <c r="E32" s="21"/>
      <c r="F32" s="7"/>
    </row>
    <row r="33" spans="1:6" x14ac:dyDescent="0.25">
      <c r="A33" s="7"/>
      <c r="B33" s="7"/>
      <c r="C33" s="7"/>
      <c r="D33" s="7"/>
      <c r="E33" s="21"/>
      <c r="F33" s="7"/>
    </row>
    <row r="34" spans="1:6" x14ac:dyDescent="0.25">
      <c r="A34" s="7"/>
      <c r="B34" s="7"/>
      <c r="C34" s="7"/>
      <c r="D34" s="7"/>
      <c r="E34" s="21"/>
      <c r="F34" s="7"/>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04"/>
  <sheetViews>
    <sheetView showGridLines="0" tabSelected="1" zoomScaleNormal="100" workbookViewId="0">
      <pane ySplit="4" topLeftCell="A5" activePane="bottomLeft" state="frozen"/>
      <selection pane="bottomLeft"/>
    </sheetView>
  </sheetViews>
  <sheetFormatPr defaultColWidth="8.7109375" defaultRowHeight="15" x14ac:dyDescent="0.25"/>
  <cols>
    <col min="1" max="1" width="12" customWidth="1"/>
    <col min="2" max="2" width="9" customWidth="1"/>
    <col min="3" max="4" width="20" customWidth="1"/>
    <col min="5" max="5" width="60" customWidth="1"/>
    <col min="6" max="6" width="30" customWidth="1"/>
  </cols>
  <sheetData>
    <row r="1" spans="1:6" ht="20.25" x14ac:dyDescent="0.3">
      <c r="A1" s="6" t="s">
        <v>29</v>
      </c>
      <c r="B1" s="7"/>
      <c r="C1" s="7"/>
      <c r="D1" s="7"/>
      <c r="E1" s="7"/>
      <c r="F1" s="7"/>
    </row>
    <row r="2" spans="1:6" x14ac:dyDescent="0.25">
      <c r="A2" s="8" t="s">
        <v>771</v>
      </c>
      <c r="B2" s="7"/>
      <c r="C2" s="7"/>
      <c r="D2" s="7"/>
      <c r="E2" s="7"/>
      <c r="F2" s="7"/>
    </row>
    <row r="3" spans="1:6" x14ac:dyDescent="0.25">
      <c r="A3" s="7"/>
      <c r="B3" s="7"/>
      <c r="C3" s="7"/>
      <c r="D3" s="7"/>
      <c r="E3" s="7"/>
      <c r="F3" s="7"/>
    </row>
    <row r="4" spans="1:6" x14ac:dyDescent="0.25">
      <c r="A4" s="18" t="s">
        <v>772</v>
      </c>
      <c r="B4" s="18" t="s">
        <v>2</v>
      </c>
      <c r="C4" s="18" t="s">
        <v>773</v>
      </c>
      <c r="D4" s="18" t="s">
        <v>774</v>
      </c>
      <c r="E4" s="18" t="s">
        <v>775</v>
      </c>
      <c r="F4" s="18" t="s">
        <v>776</v>
      </c>
    </row>
    <row r="5" spans="1:6" ht="71.25" x14ac:dyDescent="0.25">
      <c r="A5" s="34">
        <v>46300</v>
      </c>
      <c r="B5" s="29" t="s">
        <v>3</v>
      </c>
      <c r="C5" s="29" t="s">
        <v>777</v>
      </c>
      <c r="D5" s="29" t="s">
        <v>778</v>
      </c>
      <c r="E5" s="29" t="s">
        <v>779</v>
      </c>
      <c r="F5" s="29" t="s">
        <v>780</v>
      </c>
    </row>
    <row r="6" spans="1:6" x14ac:dyDescent="0.25">
      <c r="A6" s="34"/>
      <c r="B6" s="29"/>
      <c r="C6" s="29"/>
      <c r="D6" s="29"/>
      <c r="E6" s="29"/>
      <c r="F6" s="29"/>
    </row>
    <row r="7" spans="1:6" x14ac:dyDescent="0.25">
      <c r="A7" s="34"/>
      <c r="B7" s="29"/>
      <c r="C7" s="29"/>
      <c r="D7" s="29"/>
      <c r="E7" s="29"/>
      <c r="F7" s="29"/>
    </row>
    <row r="8" spans="1:6" x14ac:dyDescent="0.25">
      <c r="A8" s="34"/>
      <c r="B8" s="29"/>
      <c r="C8" s="29"/>
      <c r="D8" s="29"/>
      <c r="E8" s="29"/>
      <c r="F8" s="29"/>
    </row>
    <row r="9" spans="1:6" x14ac:dyDescent="0.25">
      <c r="A9" s="34"/>
      <c r="B9" s="29"/>
      <c r="C9" s="29"/>
      <c r="D9" s="29"/>
      <c r="E9" s="29"/>
      <c r="F9" s="29"/>
    </row>
    <row r="10" spans="1:6" x14ac:dyDescent="0.25">
      <c r="A10" s="34"/>
      <c r="B10" s="29"/>
      <c r="C10" s="29"/>
      <c r="D10" s="29"/>
      <c r="E10" s="29"/>
      <c r="F10" s="29"/>
    </row>
    <row r="11" spans="1:6" x14ac:dyDescent="0.25">
      <c r="A11" s="34"/>
      <c r="B11" s="29"/>
      <c r="C11" s="29"/>
      <c r="D11" s="29"/>
      <c r="E11" s="29"/>
      <c r="F11" s="29"/>
    </row>
    <row r="12" spans="1:6" x14ac:dyDescent="0.25">
      <c r="A12" s="34"/>
      <c r="B12" s="29"/>
      <c r="C12" s="29"/>
      <c r="D12" s="29"/>
      <c r="E12" s="29"/>
      <c r="F12" s="29"/>
    </row>
    <row r="13" spans="1:6" x14ac:dyDescent="0.25">
      <c r="A13" s="34"/>
      <c r="B13" s="29"/>
      <c r="C13" s="29"/>
      <c r="D13" s="29"/>
      <c r="E13" s="29"/>
      <c r="F13" s="29"/>
    </row>
    <row r="14" spans="1:6" x14ac:dyDescent="0.25">
      <c r="A14" s="34"/>
      <c r="B14" s="29"/>
      <c r="C14" s="29"/>
      <c r="D14" s="29"/>
      <c r="E14" s="29"/>
      <c r="F14" s="29"/>
    </row>
    <row r="15" spans="1:6" x14ac:dyDescent="0.25">
      <c r="A15" s="34"/>
      <c r="B15" s="29"/>
      <c r="C15" s="29"/>
      <c r="D15" s="29"/>
      <c r="E15" s="29"/>
      <c r="F15" s="29"/>
    </row>
    <row r="16" spans="1:6" x14ac:dyDescent="0.25">
      <c r="A16" s="34"/>
      <c r="B16" s="29"/>
      <c r="C16" s="29"/>
      <c r="D16" s="29"/>
      <c r="E16" s="29"/>
      <c r="F16" s="29"/>
    </row>
    <row r="17" spans="1:6" x14ac:dyDescent="0.25">
      <c r="A17" s="34"/>
      <c r="B17" s="29"/>
      <c r="C17" s="29"/>
      <c r="D17" s="29"/>
      <c r="E17" s="29"/>
      <c r="F17" s="29"/>
    </row>
    <row r="18" spans="1:6" x14ac:dyDescent="0.25">
      <c r="A18" s="34"/>
      <c r="B18" s="29"/>
      <c r="C18" s="29"/>
      <c r="D18" s="29"/>
      <c r="E18" s="29"/>
      <c r="F18" s="29"/>
    </row>
    <row r="19" spans="1:6" x14ac:dyDescent="0.25">
      <c r="A19" s="34"/>
      <c r="B19" s="29"/>
      <c r="C19" s="29"/>
      <c r="D19" s="29"/>
      <c r="E19" s="29"/>
      <c r="F19" s="29"/>
    </row>
    <row r="20" spans="1:6" x14ac:dyDescent="0.25">
      <c r="A20" s="34"/>
      <c r="B20" s="29"/>
      <c r="C20" s="29"/>
      <c r="D20" s="29"/>
      <c r="E20" s="29"/>
      <c r="F20" s="29"/>
    </row>
    <row r="21" spans="1:6" x14ac:dyDescent="0.25">
      <c r="A21" s="34"/>
      <c r="B21" s="29"/>
      <c r="C21" s="29"/>
      <c r="D21" s="29"/>
      <c r="E21" s="29"/>
      <c r="F21" s="29"/>
    </row>
    <row r="22" spans="1:6" x14ac:dyDescent="0.25">
      <c r="A22" s="34"/>
      <c r="B22" s="29"/>
      <c r="C22" s="29"/>
      <c r="D22" s="29"/>
      <c r="E22" s="29"/>
      <c r="F22" s="29"/>
    </row>
    <row r="23" spans="1:6" x14ac:dyDescent="0.25">
      <c r="A23" s="34"/>
      <c r="B23" s="29"/>
      <c r="C23" s="29"/>
      <c r="D23" s="29"/>
      <c r="E23" s="29"/>
      <c r="F23" s="29"/>
    </row>
    <row r="24" spans="1:6" x14ac:dyDescent="0.25">
      <c r="A24" s="34"/>
      <c r="B24" s="29"/>
      <c r="C24" s="29"/>
      <c r="D24" s="29"/>
      <c r="E24" s="29"/>
      <c r="F24" s="29"/>
    </row>
    <row r="25" spans="1:6" x14ac:dyDescent="0.25">
      <c r="A25" s="34"/>
      <c r="B25" s="29"/>
      <c r="C25" s="29"/>
      <c r="D25" s="29"/>
      <c r="E25" s="29"/>
      <c r="F25" s="29"/>
    </row>
    <row r="26" spans="1:6" x14ac:dyDescent="0.25">
      <c r="A26" s="34"/>
      <c r="B26" s="29"/>
      <c r="C26" s="29"/>
      <c r="D26" s="29"/>
      <c r="E26" s="29"/>
      <c r="F26" s="29"/>
    </row>
    <row r="27" spans="1:6" x14ac:dyDescent="0.25">
      <c r="A27" s="34"/>
      <c r="B27" s="29"/>
      <c r="C27" s="29"/>
      <c r="D27" s="29"/>
      <c r="E27" s="29"/>
      <c r="F27" s="29"/>
    </row>
    <row r="28" spans="1:6" x14ac:dyDescent="0.25">
      <c r="A28" s="34"/>
      <c r="B28" s="29"/>
      <c r="C28" s="29"/>
      <c r="D28" s="29"/>
      <c r="E28" s="29"/>
      <c r="F28" s="29"/>
    </row>
    <row r="29" spans="1:6" x14ac:dyDescent="0.25">
      <c r="A29" s="34"/>
      <c r="B29" s="29"/>
      <c r="C29" s="29"/>
      <c r="D29" s="29"/>
      <c r="E29" s="29"/>
      <c r="F29" s="29"/>
    </row>
    <row r="30" spans="1:6" x14ac:dyDescent="0.25">
      <c r="A30" s="34"/>
      <c r="B30" s="29"/>
      <c r="C30" s="29"/>
      <c r="D30" s="29"/>
      <c r="E30" s="29"/>
      <c r="F30" s="29"/>
    </row>
    <row r="31" spans="1:6" x14ac:dyDescent="0.25">
      <c r="A31" s="34"/>
      <c r="B31" s="29"/>
      <c r="C31" s="29"/>
      <c r="D31" s="29"/>
      <c r="E31" s="29"/>
      <c r="F31" s="29"/>
    </row>
    <row r="32" spans="1:6" x14ac:dyDescent="0.25">
      <c r="A32" s="34"/>
      <c r="B32" s="29"/>
      <c r="C32" s="29"/>
      <c r="D32" s="29"/>
      <c r="E32" s="29"/>
      <c r="F32" s="29"/>
    </row>
    <row r="33" spans="1:6" x14ac:dyDescent="0.25">
      <c r="A33" s="34"/>
      <c r="B33" s="29"/>
      <c r="C33" s="29"/>
      <c r="D33" s="29"/>
      <c r="E33" s="29"/>
      <c r="F33" s="29"/>
    </row>
    <row r="34" spans="1:6" x14ac:dyDescent="0.25">
      <c r="A34" s="34"/>
      <c r="B34" s="29"/>
      <c r="C34" s="29"/>
      <c r="D34" s="29"/>
      <c r="E34" s="29"/>
      <c r="F34" s="29"/>
    </row>
    <row r="35" spans="1:6" x14ac:dyDescent="0.25">
      <c r="A35" s="34"/>
      <c r="B35" s="29"/>
      <c r="C35" s="29"/>
      <c r="D35" s="29"/>
      <c r="E35" s="29"/>
      <c r="F35" s="29"/>
    </row>
    <row r="36" spans="1:6" x14ac:dyDescent="0.25">
      <c r="A36" s="34"/>
      <c r="B36" s="29"/>
      <c r="C36" s="29"/>
      <c r="D36" s="29"/>
      <c r="E36" s="29"/>
      <c r="F36" s="29"/>
    </row>
    <row r="37" spans="1:6" x14ac:dyDescent="0.25">
      <c r="A37" s="34"/>
      <c r="B37" s="29"/>
      <c r="C37" s="29"/>
      <c r="D37" s="29"/>
      <c r="E37" s="29"/>
      <c r="F37" s="29"/>
    </row>
    <row r="38" spans="1:6" x14ac:dyDescent="0.25">
      <c r="A38" s="34"/>
      <c r="B38" s="29"/>
      <c r="C38" s="29"/>
      <c r="D38" s="29"/>
      <c r="E38" s="29"/>
      <c r="F38" s="29"/>
    </row>
    <row r="39" spans="1:6" x14ac:dyDescent="0.25">
      <c r="A39" s="34"/>
      <c r="B39" s="29"/>
      <c r="C39" s="29"/>
      <c r="D39" s="29"/>
      <c r="E39" s="29"/>
      <c r="F39" s="29"/>
    </row>
    <row r="40" spans="1:6" x14ac:dyDescent="0.25">
      <c r="A40" s="34"/>
      <c r="B40" s="29"/>
      <c r="C40" s="29"/>
      <c r="D40" s="29"/>
      <c r="E40" s="29"/>
      <c r="F40" s="29"/>
    </row>
    <row r="41" spans="1:6" x14ac:dyDescent="0.25">
      <c r="A41" s="34"/>
      <c r="B41" s="29"/>
      <c r="C41" s="29"/>
      <c r="D41" s="29"/>
      <c r="E41" s="29"/>
      <c r="F41" s="29"/>
    </row>
    <row r="42" spans="1:6" x14ac:dyDescent="0.25">
      <c r="A42" s="34"/>
      <c r="B42" s="29"/>
      <c r="C42" s="29"/>
      <c r="D42" s="29"/>
      <c r="E42" s="29"/>
      <c r="F42" s="29"/>
    </row>
    <row r="43" spans="1:6" x14ac:dyDescent="0.25">
      <c r="A43" s="34"/>
      <c r="B43" s="29"/>
      <c r="C43" s="29"/>
      <c r="D43" s="29"/>
      <c r="E43" s="29"/>
      <c r="F43" s="29"/>
    </row>
    <row r="44" spans="1:6" x14ac:dyDescent="0.25">
      <c r="A44" s="34"/>
      <c r="B44" s="29"/>
      <c r="C44" s="29"/>
      <c r="D44" s="29"/>
      <c r="E44" s="29"/>
      <c r="F44" s="29"/>
    </row>
    <row r="45" spans="1:6" x14ac:dyDescent="0.25">
      <c r="A45" s="34"/>
      <c r="B45" s="29"/>
      <c r="C45" s="29"/>
      <c r="D45" s="29"/>
      <c r="E45" s="29"/>
      <c r="F45" s="29"/>
    </row>
    <row r="46" spans="1:6" x14ac:dyDescent="0.25">
      <c r="A46" s="34"/>
      <c r="B46" s="29"/>
      <c r="C46" s="29"/>
      <c r="D46" s="29"/>
      <c r="E46" s="29"/>
      <c r="F46" s="29"/>
    </row>
    <row r="47" spans="1:6" x14ac:dyDescent="0.25">
      <c r="A47" s="34"/>
      <c r="B47" s="29"/>
      <c r="C47" s="29"/>
      <c r="D47" s="29"/>
      <c r="E47" s="29"/>
      <c r="F47" s="29"/>
    </row>
    <row r="48" spans="1:6" x14ac:dyDescent="0.25">
      <c r="A48" s="34"/>
      <c r="B48" s="29"/>
      <c r="C48" s="29"/>
      <c r="D48" s="29"/>
      <c r="E48" s="29"/>
      <c r="F48" s="29"/>
    </row>
    <row r="49" spans="1:6" x14ac:dyDescent="0.25">
      <c r="A49" s="34"/>
      <c r="B49" s="29"/>
      <c r="C49" s="29"/>
      <c r="D49" s="29"/>
      <c r="E49" s="29"/>
      <c r="F49" s="29"/>
    </row>
    <row r="50" spans="1:6" x14ac:dyDescent="0.25">
      <c r="A50" s="34"/>
      <c r="B50" s="29"/>
      <c r="C50" s="29"/>
      <c r="D50" s="29"/>
      <c r="E50" s="29"/>
      <c r="F50" s="29"/>
    </row>
    <row r="51" spans="1:6" x14ac:dyDescent="0.25">
      <c r="A51" s="34"/>
      <c r="B51" s="29"/>
      <c r="C51" s="29"/>
      <c r="D51" s="29"/>
      <c r="E51" s="29"/>
      <c r="F51" s="29"/>
    </row>
    <row r="52" spans="1:6" x14ac:dyDescent="0.25">
      <c r="A52" s="34"/>
      <c r="B52" s="29"/>
      <c r="C52" s="29"/>
      <c r="D52" s="29"/>
      <c r="E52" s="29"/>
      <c r="F52" s="29"/>
    </row>
    <row r="53" spans="1:6" x14ac:dyDescent="0.25">
      <c r="A53" s="34"/>
      <c r="B53" s="29"/>
      <c r="C53" s="29"/>
      <c r="D53" s="29"/>
      <c r="E53" s="29"/>
      <c r="F53" s="29"/>
    </row>
    <row r="54" spans="1:6" x14ac:dyDescent="0.25">
      <c r="A54" s="34"/>
      <c r="B54" s="29"/>
      <c r="C54" s="29"/>
      <c r="D54" s="29"/>
      <c r="E54" s="29"/>
      <c r="F54" s="29"/>
    </row>
    <row r="55" spans="1:6" x14ac:dyDescent="0.25">
      <c r="A55" s="34"/>
      <c r="B55" s="29"/>
      <c r="C55" s="29"/>
      <c r="D55" s="29"/>
      <c r="E55" s="29"/>
      <c r="F55" s="29"/>
    </row>
    <row r="56" spans="1:6" x14ac:dyDescent="0.25">
      <c r="A56" s="34"/>
      <c r="B56" s="29"/>
      <c r="C56" s="29"/>
      <c r="D56" s="29"/>
      <c r="E56" s="29"/>
      <c r="F56" s="29"/>
    </row>
    <row r="57" spans="1:6" x14ac:dyDescent="0.25">
      <c r="A57" s="34"/>
      <c r="B57" s="29"/>
      <c r="C57" s="29"/>
      <c r="D57" s="29"/>
      <c r="E57" s="29"/>
      <c r="F57" s="29"/>
    </row>
    <row r="58" spans="1:6" x14ac:dyDescent="0.25">
      <c r="A58" s="34"/>
      <c r="B58" s="29"/>
      <c r="C58" s="29"/>
      <c r="D58" s="29"/>
      <c r="E58" s="29"/>
      <c r="F58" s="29"/>
    </row>
    <row r="59" spans="1:6" x14ac:dyDescent="0.25">
      <c r="A59" s="34"/>
      <c r="B59" s="29"/>
      <c r="C59" s="29"/>
      <c r="D59" s="29"/>
      <c r="E59" s="29"/>
      <c r="F59" s="29"/>
    </row>
    <row r="60" spans="1:6" x14ac:dyDescent="0.25">
      <c r="A60" s="34"/>
      <c r="B60" s="29"/>
      <c r="C60" s="29"/>
      <c r="D60" s="29"/>
      <c r="E60" s="29"/>
      <c r="F60" s="29"/>
    </row>
    <row r="61" spans="1:6" x14ac:dyDescent="0.25">
      <c r="A61" s="34"/>
      <c r="B61" s="29"/>
      <c r="C61" s="29"/>
      <c r="D61" s="29"/>
      <c r="E61" s="29"/>
      <c r="F61" s="29"/>
    </row>
    <row r="62" spans="1:6" x14ac:dyDescent="0.25">
      <c r="A62" s="34"/>
      <c r="B62" s="29"/>
      <c r="C62" s="29"/>
      <c r="D62" s="29"/>
      <c r="E62" s="29"/>
      <c r="F62" s="29"/>
    </row>
    <row r="63" spans="1:6" x14ac:dyDescent="0.25">
      <c r="A63" s="34"/>
      <c r="B63" s="29"/>
      <c r="C63" s="29"/>
      <c r="D63" s="29"/>
      <c r="E63" s="29"/>
      <c r="F63" s="29"/>
    </row>
    <row r="64" spans="1:6" x14ac:dyDescent="0.25">
      <c r="A64" s="34"/>
      <c r="B64" s="29"/>
      <c r="C64" s="29"/>
      <c r="D64" s="29"/>
      <c r="E64" s="29"/>
      <c r="F64" s="29"/>
    </row>
    <row r="65" spans="1:6" x14ac:dyDescent="0.25">
      <c r="A65" s="34"/>
      <c r="B65" s="29"/>
      <c r="C65" s="29"/>
      <c r="D65" s="29"/>
      <c r="E65" s="29"/>
      <c r="F65" s="29"/>
    </row>
    <row r="66" spans="1:6" x14ac:dyDescent="0.25">
      <c r="A66" s="34"/>
      <c r="B66" s="29"/>
      <c r="C66" s="29"/>
      <c r="D66" s="29"/>
      <c r="E66" s="29"/>
      <c r="F66" s="29"/>
    </row>
    <row r="67" spans="1:6" x14ac:dyDescent="0.25">
      <c r="A67" s="34"/>
      <c r="B67" s="29"/>
      <c r="C67" s="29"/>
      <c r="D67" s="29"/>
      <c r="E67" s="29"/>
      <c r="F67" s="29"/>
    </row>
    <row r="68" spans="1:6" x14ac:dyDescent="0.25">
      <c r="A68" s="34"/>
      <c r="B68" s="29"/>
      <c r="C68" s="29"/>
      <c r="D68" s="29"/>
      <c r="E68" s="29"/>
      <c r="F68" s="29"/>
    </row>
    <row r="69" spans="1:6" x14ac:dyDescent="0.25">
      <c r="A69" s="34"/>
      <c r="B69" s="29"/>
      <c r="C69" s="29"/>
      <c r="D69" s="29"/>
      <c r="E69" s="29"/>
      <c r="F69" s="29"/>
    </row>
    <row r="70" spans="1:6" x14ac:dyDescent="0.25">
      <c r="A70" s="34"/>
      <c r="B70" s="29"/>
      <c r="C70" s="29"/>
      <c r="D70" s="29"/>
      <c r="E70" s="29"/>
      <c r="F70" s="29"/>
    </row>
    <row r="71" spans="1:6" x14ac:dyDescent="0.25">
      <c r="A71" s="34"/>
      <c r="B71" s="29"/>
      <c r="C71" s="29"/>
      <c r="D71" s="29"/>
      <c r="E71" s="29"/>
      <c r="F71" s="29"/>
    </row>
    <row r="72" spans="1:6" x14ac:dyDescent="0.25">
      <c r="A72" s="34"/>
      <c r="B72" s="29"/>
      <c r="C72" s="29"/>
      <c r="D72" s="29"/>
      <c r="E72" s="29"/>
      <c r="F72" s="29"/>
    </row>
    <row r="73" spans="1:6" x14ac:dyDescent="0.25">
      <c r="A73" s="34"/>
      <c r="B73" s="29"/>
      <c r="C73" s="29"/>
      <c r="D73" s="29"/>
      <c r="E73" s="29"/>
      <c r="F73" s="29"/>
    </row>
    <row r="74" spans="1:6" x14ac:dyDescent="0.25">
      <c r="A74" s="34"/>
      <c r="B74" s="29"/>
      <c r="C74" s="29"/>
      <c r="D74" s="29"/>
      <c r="E74" s="29"/>
      <c r="F74" s="29"/>
    </row>
    <row r="75" spans="1:6" x14ac:dyDescent="0.25">
      <c r="A75" s="34"/>
      <c r="B75" s="29"/>
      <c r="C75" s="29"/>
      <c r="D75" s="29"/>
      <c r="E75" s="29"/>
      <c r="F75" s="29"/>
    </row>
    <row r="76" spans="1:6" x14ac:dyDescent="0.25">
      <c r="A76" s="34"/>
      <c r="B76" s="29"/>
      <c r="C76" s="29"/>
      <c r="D76" s="29"/>
      <c r="E76" s="29"/>
      <c r="F76" s="29"/>
    </row>
    <row r="77" spans="1:6" x14ac:dyDescent="0.25">
      <c r="A77" s="34"/>
      <c r="B77" s="29"/>
      <c r="C77" s="29"/>
      <c r="D77" s="29"/>
      <c r="E77" s="29"/>
      <c r="F77" s="29"/>
    </row>
    <row r="78" spans="1:6" x14ac:dyDescent="0.25">
      <c r="A78" s="34"/>
      <c r="B78" s="29"/>
      <c r="C78" s="29"/>
      <c r="D78" s="29"/>
      <c r="E78" s="29"/>
      <c r="F78" s="29"/>
    </row>
    <row r="79" spans="1:6" x14ac:dyDescent="0.25">
      <c r="A79" s="34"/>
      <c r="B79" s="29"/>
      <c r="C79" s="29"/>
      <c r="D79" s="29"/>
      <c r="E79" s="29"/>
      <c r="F79" s="29"/>
    </row>
    <row r="80" spans="1:6" x14ac:dyDescent="0.25">
      <c r="A80" s="34"/>
      <c r="B80" s="29"/>
      <c r="C80" s="29"/>
      <c r="D80" s="29"/>
      <c r="E80" s="29"/>
      <c r="F80" s="29"/>
    </row>
    <row r="81" spans="1:6" x14ac:dyDescent="0.25">
      <c r="A81" s="34"/>
      <c r="B81" s="29"/>
      <c r="C81" s="29"/>
      <c r="D81" s="29"/>
      <c r="E81" s="29"/>
      <c r="F81" s="29"/>
    </row>
    <row r="82" spans="1:6" x14ac:dyDescent="0.25">
      <c r="A82" s="34"/>
      <c r="B82" s="29"/>
      <c r="C82" s="29"/>
      <c r="D82" s="29"/>
      <c r="E82" s="29"/>
      <c r="F82" s="29"/>
    </row>
    <row r="83" spans="1:6" x14ac:dyDescent="0.25">
      <c r="A83" s="34"/>
      <c r="B83" s="29"/>
      <c r="C83" s="29"/>
      <c r="D83" s="29"/>
      <c r="E83" s="29"/>
      <c r="F83" s="29"/>
    </row>
    <row r="84" spans="1:6" x14ac:dyDescent="0.25">
      <c r="A84" s="34"/>
      <c r="B84" s="29"/>
      <c r="C84" s="29"/>
      <c r="D84" s="29"/>
      <c r="E84" s="29"/>
      <c r="F84" s="29"/>
    </row>
    <row r="85" spans="1:6" x14ac:dyDescent="0.25">
      <c r="A85" s="34"/>
      <c r="B85" s="29"/>
      <c r="C85" s="29"/>
      <c r="D85" s="29"/>
      <c r="E85" s="29"/>
      <c r="F85" s="29"/>
    </row>
    <row r="86" spans="1:6" x14ac:dyDescent="0.25">
      <c r="A86" s="34"/>
      <c r="B86" s="29"/>
      <c r="C86" s="29"/>
      <c r="D86" s="29"/>
      <c r="E86" s="29"/>
      <c r="F86" s="29"/>
    </row>
    <row r="87" spans="1:6" x14ac:dyDescent="0.25">
      <c r="A87" s="34"/>
      <c r="B87" s="29"/>
      <c r="C87" s="29"/>
      <c r="D87" s="29"/>
      <c r="E87" s="29"/>
      <c r="F87" s="29"/>
    </row>
    <row r="88" spans="1:6" x14ac:dyDescent="0.25">
      <c r="A88" s="34"/>
      <c r="B88" s="29"/>
      <c r="C88" s="29"/>
      <c r="D88" s="29"/>
      <c r="E88" s="29"/>
      <c r="F88" s="29"/>
    </row>
    <row r="89" spans="1:6" x14ac:dyDescent="0.25">
      <c r="A89" s="34"/>
      <c r="B89" s="29"/>
      <c r="C89" s="29"/>
      <c r="D89" s="29"/>
      <c r="E89" s="29"/>
      <c r="F89" s="29"/>
    </row>
    <row r="90" spans="1:6" x14ac:dyDescent="0.25">
      <c r="A90" s="34"/>
      <c r="B90" s="29"/>
      <c r="C90" s="29"/>
      <c r="D90" s="29"/>
      <c r="E90" s="29"/>
      <c r="F90" s="29"/>
    </row>
    <row r="91" spans="1:6" x14ac:dyDescent="0.25">
      <c r="A91" s="34"/>
      <c r="B91" s="29"/>
      <c r="C91" s="29"/>
      <c r="D91" s="29"/>
      <c r="E91" s="29"/>
      <c r="F91" s="29"/>
    </row>
    <row r="92" spans="1:6" x14ac:dyDescent="0.25">
      <c r="A92" s="34"/>
      <c r="B92" s="29"/>
      <c r="C92" s="29"/>
      <c r="D92" s="29"/>
      <c r="E92" s="29"/>
      <c r="F92" s="29"/>
    </row>
    <row r="93" spans="1:6" x14ac:dyDescent="0.25">
      <c r="A93" s="34"/>
      <c r="B93" s="29"/>
      <c r="C93" s="29"/>
      <c r="D93" s="29"/>
      <c r="E93" s="29"/>
      <c r="F93" s="29"/>
    </row>
    <row r="94" spans="1:6" x14ac:dyDescent="0.25">
      <c r="A94" s="34"/>
      <c r="B94" s="29"/>
      <c r="C94" s="29"/>
      <c r="D94" s="29"/>
      <c r="E94" s="29"/>
      <c r="F94" s="29"/>
    </row>
    <row r="95" spans="1:6" x14ac:dyDescent="0.25">
      <c r="A95" s="34"/>
      <c r="B95" s="29"/>
      <c r="C95" s="29"/>
      <c r="D95" s="29"/>
      <c r="E95" s="29"/>
      <c r="F95" s="29"/>
    </row>
    <row r="96" spans="1:6" x14ac:dyDescent="0.25">
      <c r="A96" s="34"/>
      <c r="B96" s="29"/>
      <c r="C96" s="29"/>
      <c r="D96" s="29"/>
      <c r="E96" s="29"/>
      <c r="F96" s="29"/>
    </row>
    <row r="97" spans="1:6" x14ac:dyDescent="0.25">
      <c r="A97" s="34"/>
      <c r="B97" s="29"/>
      <c r="C97" s="29"/>
      <c r="D97" s="29"/>
      <c r="E97" s="29"/>
      <c r="F97" s="29"/>
    </row>
    <row r="98" spans="1:6" x14ac:dyDescent="0.25">
      <c r="A98" s="34"/>
      <c r="B98" s="29"/>
      <c r="C98" s="29"/>
      <c r="D98" s="29"/>
      <c r="E98" s="29"/>
      <c r="F98" s="29"/>
    </row>
    <row r="99" spans="1:6" x14ac:dyDescent="0.25">
      <c r="A99" s="34"/>
      <c r="B99" s="29"/>
      <c r="C99" s="29"/>
      <c r="D99" s="29"/>
      <c r="E99" s="29"/>
      <c r="F99" s="29"/>
    </row>
    <row r="100" spans="1:6" x14ac:dyDescent="0.25">
      <c r="A100" s="34"/>
      <c r="B100" s="29"/>
      <c r="C100" s="29"/>
      <c r="D100" s="29"/>
      <c r="E100" s="29"/>
      <c r="F100" s="29"/>
    </row>
    <row r="101" spans="1:6" x14ac:dyDescent="0.25">
      <c r="A101" s="34"/>
      <c r="B101" s="29"/>
      <c r="C101" s="29"/>
      <c r="D101" s="29"/>
      <c r="E101" s="29"/>
      <c r="F101" s="29"/>
    </row>
    <row r="102" spans="1:6" x14ac:dyDescent="0.25">
      <c r="A102" s="34"/>
      <c r="B102" s="29"/>
      <c r="C102" s="29"/>
      <c r="D102" s="29"/>
      <c r="E102" s="29"/>
      <c r="F102" s="29"/>
    </row>
    <row r="103" spans="1:6" x14ac:dyDescent="0.25">
      <c r="A103" s="34"/>
      <c r="B103" s="29"/>
      <c r="C103" s="29"/>
      <c r="D103" s="29"/>
      <c r="E103" s="29"/>
      <c r="F103" s="29"/>
    </row>
    <row r="104" spans="1:6" x14ac:dyDescent="0.25">
      <c r="A104" s="34"/>
      <c r="B104" s="29"/>
      <c r="C104" s="29"/>
      <c r="D104" s="29"/>
      <c r="E104" s="29"/>
      <c r="F104" s="29"/>
    </row>
    <row r="105" spans="1:6" x14ac:dyDescent="0.25">
      <c r="A105" s="34"/>
      <c r="B105" s="29"/>
      <c r="C105" s="29"/>
      <c r="D105" s="29"/>
      <c r="E105" s="29"/>
      <c r="F105" s="29"/>
    </row>
    <row r="106" spans="1:6" x14ac:dyDescent="0.25">
      <c r="A106" s="34"/>
      <c r="B106" s="29"/>
      <c r="C106" s="29"/>
      <c r="D106" s="29"/>
      <c r="E106" s="29"/>
      <c r="F106" s="29"/>
    </row>
    <row r="107" spans="1:6" x14ac:dyDescent="0.25">
      <c r="A107" s="34"/>
      <c r="B107" s="29"/>
      <c r="C107" s="29"/>
      <c r="D107" s="29"/>
      <c r="E107" s="29"/>
      <c r="F107" s="29"/>
    </row>
    <row r="108" spans="1:6" x14ac:dyDescent="0.25">
      <c r="A108" s="34"/>
      <c r="B108" s="29"/>
      <c r="C108" s="29"/>
      <c r="D108" s="29"/>
      <c r="E108" s="29"/>
      <c r="F108" s="29"/>
    </row>
    <row r="109" spans="1:6" x14ac:dyDescent="0.25">
      <c r="A109" s="34"/>
      <c r="B109" s="29"/>
      <c r="C109" s="29"/>
      <c r="D109" s="29"/>
      <c r="E109" s="29"/>
      <c r="F109" s="29"/>
    </row>
    <row r="110" spans="1:6" x14ac:dyDescent="0.25">
      <c r="A110" s="34"/>
      <c r="B110" s="29"/>
      <c r="C110" s="29"/>
      <c r="D110" s="29"/>
      <c r="E110" s="29"/>
      <c r="F110" s="29"/>
    </row>
    <row r="111" spans="1:6" x14ac:dyDescent="0.25">
      <c r="A111" s="34"/>
      <c r="B111" s="29"/>
      <c r="C111" s="29"/>
      <c r="D111" s="29"/>
      <c r="E111" s="29"/>
      <c r="F111" s="29"/>
    </row>
    <row r="112" spans="1:6" x14ac:dyDescent="0.25">
      <c r="A112" s="34"/>
      <c r="B112" s="29"/>
      <c r="C112" s="29"/>
      <c r="D112" s="29"/>
      <c r="E112" s="29"/>
      <c r="F112" s="29"/>
    </row>
    <row r="113" spans="1:6" x14ac:dyDescent="0.25">
      <c r="A113" s="34"/>
      <c r="B113" s="29"/>
      <c r="C113" s="29"/>
      <c r="D113" s="29"/>
      <c r="E113" s="29"/>
      <c r="F113" s="29"/>
    </row>
    <row r="114" spans="1:6" x14ac:dyDescent="0.25">
      <c r="A114" s="34"/>
      <c r="B114" s="29"/>
      <c r="C114" s="29"/>
      <c r="D114" s="29"/>
      <c r="E114" s="29"/>
      <c r="F114" s="29"/>
    </row>
    <row r="115" spans="1:6" x14ac:dyDescent="0.25">
      <c r="A115" s="34"/>
      <c r="B115" s="29"/>
      <c r="C115" s="29"/>
      <c r="D115" s="29"/>
      <c r="E115" s="29"/>
      <c r="F115" s="29"/>
    </row>
    <row r="116" spans="1:6" x14ac:dyDescent="0.25">
      <c r="A116" s="34"/>
      <c r="B116" s="29"/>
      <c r="C116" s="29"/>
      <c r="D116" s="29"/>
      <c r="E116" s="29"/>
      <c r="F116" s="29"/>
    </row>
    <row r="117" spans="1:6" x14ac:dyDescent="0.25">
      <c r="A117" s="34"/>
      <c r="B117" s="29"/>
      <c r="C117" s="29"/>
      <c r="D117" s="29"/>
      <c r="E117" s="29"/>
      <c r="F117" s="29"/>
    </row>
    <row r="118" spans="1:6" x14ac:dyDescent="0.25">
      <c r="A118" s="34"/>
      <c r="B118" s="29"/>
      <c r="C118" s="29"/>
      <c r="D118" s="29"/>
      <c r="E118" s="29"/>
      <c r="F118" s="29"/>
    </row>
    <row r="119" spans="1:6" x14ac:dyDescent="0.25">
      <c r="A119" s="34"/>
      <c r="B119" s="29"/>
      <c r="C119" s="29"/>
      <c r="D119" s="29"/>
      <c r="E119" s="29"/>
      <c r="F119" s="29"/>
    </row>
    <row r="120" spans="1:6" x14ac:dyDescent="0.25">
      <c r="A120" s="34"/>
      <c r="B120" s="29"/>
      <c r="C120" s="29"/>
      <c r="D120" s="29"/>
      <c r="E120" s="29"/>
      <c r="F120" s="29"/>
    </row>
    <row r="121" spans="1:6" x14ac:dyDescent="0.25">
      <c r="A121" s="34"/>
      <c r="B121" s="29"/>
      <c r="C121" s="29"/>
      <c r="D121" s="29"/>
      <c r="E121" s="29"/>
      <c r="F121" s="29"/>
    </row>
    <row r="122" spans="1:6" x14ac:dyDescent="0.25">
      <c r="A122" s="34"/>
      <c r="B122" s="29"/>
      <c r="C122" s="29"/>
      <c r="D122" s="29"/>
      <c r="E122" s="29"/>
      <c r="F122" s="29"/>
    </row>
    <row r="123" spans="1:6" x14ac:dyDescent="0.25">
      <c r="A123" s="34"/>
      <c r="B123" s="29"/>
      <c r="C123" s="29"/>
      <c r="D123" s="29"/>
      <c r="E123" s="29"/>
      <c r="F123" s="29"/>
    </row>
    <row r="124" spans="1:6" x14ac:dyDescent="0.25">
      <c r="A124" s="34"/>
      <c r="B124" s="29"/>
      <c r="C124" s="29"/>
      <c r="D124" s="29"/>
      <c r="E124" s="29"/>
      <c r="F124" s="29"/>
    </row>
    <row r="125" spans="1:6" x14ac:dyDescent="0.25">
      <c r="A125" s="34"/>
      <c r="B125" s="29"/>
      <c r="C125" s="29"/>
      <c r="D125" s="29"/>
      <c r="E125" s="29"/>
      <c r="F125" s="29"/>
    </row>
    <row r="126" spans="1:6" x14ac:dyDescent="0.25">
      <c r="A126" s="34"/>
      <c r="B126" s="29"/>
      <c r="C126" s="29"/>
      <c r="D126" s="29"/>
      <c r="E126" s="29"/>
      <c r="F126" s="29"/>
    </row>
    <row r="127" spans="1:6" x14ac:dyDescent="0.25">
      <c r="A127" s="34"/>
      <c r="B127" s="29"/>
      <c r="C127" s="29"/>
      <c r="D127" s="29"/>
      <c r="E127" s="29"/>
      <c r="F127" s="29"/>
    </row>
    <row r="128" spans="1:6" x14ac:dyDescent="0.25">
      <c r="A128" s="34"/>
      <c r="B128" s="29"/>
      <c r="C128" s="29"/>
      <c r="D128" s="29"/>
      <c r="E128" s="29"/>
      <c r="F128" s="29"/>
    </row>
    <row r="129" spans="1:6" x14ac:dyDescent="0.25">
      <c r="A129" s="34"/>
      <c r="B129" s="29"/>
      <c r="C129" s="29"/>
      <c r="D129" s="29"/>
      <c r="E129" s="29"/>
      <c r="F129" s="29"/>
    </row>
    <row r="130" spans="1:6" x14ac:dyDescent="0.25">
      <c r="A130" s="34"/>
      <c r="B130" s="29"/>
      <c r="C130" s="29"/>
      <c r="D130" s="29"/>
      <c r="E130" s="29"/>
      <c r="F130" s="29"/>
    </row>
    <row r="131" spans="1:6" x14ac:dyDescent="0.25">
      <c r="A131" s="34"/>
      <c r="B131" s="29"/>
      <c r="C131" s="29"/>
      <c r="D131" s="29"/>
      <c r="E131" s="29"/>
      <c r="F131" s="29"/>
    </row>
    <row r="132" spans="1:6" x14ac:dyDescent="0.25">
      <c r="A132" s="34"/>
      <c r="B132" s="29"/>
      <c r="C132" s="29"/>
      <c r="D132" s="29"/>
      <c r="E132" s="29"/>
      <c r="F132" s="29"/>
    </row>
    <row r="133" spans="1:6" x14ac:dyDescent="0.25">
      <c r="A133" s="34"/>
      <c r="B133" s="29"/>
      <c r="C133" s="29"/>
      <c r="D133" s="29"/>
      <c r="E133" s="29"/>
      <c r="F133" s="29"/>
    </row>
    <row r="134" spans="1:6" x14ac:dyDescent="0.25">
      <c r="A134" s="34"/>
      <c r="B134" s="29"/>
      <c r="C134" s="29"/>
      <c r="D134" s="29"/>
      <c r="E134" s="29"/>
      <c r="F134" s="29"/>
    </row>
    <row r="135" spans="1:6" x14ac:dyDescent="0.25">
      <c r="A135" s="34"/>
      <c r="B135" s="29"/>
      <c r="C135" s="29"/>
      <c r="D135" s="29"/>
      <c r="E135" s="29"/>
      <c r="F135" s="29"/>
    </row>
    <row r="136" spans="1:6" x14ac:dyDescent="0.25">
      <c r="A136" s="34"/>
      <c r="B136" s="29"/>
      <c r="C136" s="29"/>
      <c r="D136" s="29"/>
      <c r="E136" s="29"/>
      <c r="F136" s="29"/>
    </row>
    <row r="137" spans="1:6" x14ac:dyDescent="0.25">
      <c r="A137" s="34"/>
      <c r="B137" s="29"/>
      <c r="C137" s="29"/>
      <c r="D137" s="29"/>
      <c r="E137" s="29"/>
      <c r="F137" s="29"/>
    </row>
    <row r="138" spans="1:6" x14ac:dyDescent="0.25">
      <c r="A138" s="34"/>
      <c r="B138" s="29"/>
      <c r="C138" s="29"/>
      <c r="D138" s="29"/>
      <c r="E138" s="29"/>
      <c r="F138" s="29"/>
    </row>
    <row r="139" spans="1:6" x14ac:dyDescent="0.25">
      <c r="A139" s="34"/>
      <c r="B139" s="29"/>
      <c r="C139" s="29"/>
      <c r="D139" s="29"/>
      <c r="E139" s="29"/>
      <c r="F139" s="29"/>
    </row>
    <row r="140" spans="1:6" x14ac:dyDescent="0.25">
      <c r="A140" s="34"/>
      <c r="B140" s="29"/>
      <c r="C140" s="29"/>
      <c r="D140" s="29"/>
      <c r="E140" s="29"/>
      <c r="F140" s="29"/>
    </row>
    <row r="141" spans="1:6" x14ac:dyDescent="0.25">
      <c r="A141" s="34"/>
      <c r="B141" s="29"/>
      <c r="C141" s="29"/>
      <c r="D141" s="29"/>
      <c r="E141" s="29"/>
      <c r="F141" s="29"/>
    </row>
    <row r="142" spans="1:6" x14ac:dyDescent="0.25">
      <c r="A142" s="34"/>
      <c r="B142" s="29"/>
      <c r="C142" s="29"/>
      <c r="D142" s="29"/>
      <c r="E142" s="29"/>
      <c r="F142" s="29"/>
    </row>
    <row r="143" spans="1:6" x14ac:dyDescent="0.25">
      <c r="A143" s="34"/>
      <c r="B143" s="29"/>
      <c r="C143" s="29"/>
      <c r="D143" s="29"/>
      <c r="E143" s="29"/>
      <c r="F143" s="29"/>
    </row>
    <row r="144" spans="1:6" x14ac:dyDescent="0.25">
      <c r="A144" s="34"/>
      <c r="B144" s="29"/>
      <c r="C144" s="29"/>
      <c r="D144" s="29"/>
      <c r="E144" s="29"/>
      <c r="F144" s="29"/>
    </row>
    <row r="145" spans="1:6" x14ac:dyDescent="0.25">
      <c r="A145" s="34"/>
      <c r="B145" s="29"/>
      <c r="C145" s="29"/>
      <c r="D145" s="29"/>
      <c r="E145" s="29"/>
      <c r="F145" s="29"/>
    </row>
    <row r="146" spans="1:6" x14ac:dyDescent="0.25">
      <c r="A146" s="34"/>
      <c r="B146" s="29"/>
      <c r="C146" s="29"/>
      <c r="D146" s="29"/>
      <c r="E146" s="29"/>
      <c r="F146" s="29"/>
    </row>
    <row r="147" spans="1:6" x14ac:dyDescent="0.25">
      <c r="A147" s="34"/>
      <c r="B147" s="29"/>
      <c r="C147" s="29"/>
      <c r="D147" s="29"/>
      <c r="E147" s="29"/>
      <c r="F147" s="29"/>
    </row>
    <row r="148" spans="1:6" x14ac:dyDescent="0.25">
      <c r="A148" s="34"/>
      <c r="B148" s="29"/>
      <c r="C148" s="29"/>
      <c r="D148" s="29"/>
      <c r="E148" s="29"/>
      <c r="F148" s="29"/>
    </row>
    <row r="149" spans="1:6" x14ac:dyDescent="0.25">
      <c r="A149" s="34"/>
      <c r="B149" s="29"/>
      <c r="C149" s="29"/>
      <c r="D149" s="29"/>
      <c r="E149" s="29"/>
      <c r="F149" s="29"/>
    </row>
    <row r="150" spans="1:6" x14ac:dyDescent="0.25">
      <c r="A150" s="34"/>
      <c r="B150" s="29"/>
      <c r="C150" s="29"/>
      <c r="D150" s="29"/>
      <c r="E150" s="29"/>
      <c r="F150" s="29"/>
    </row>
    <row r="151" spans="1:6" x14ac:dyDescent="0.25">
      <c r="A151" s="34"/>
      <c r="B151" s="29"/>
      <c r="C151" s="29"/>
      <c r="D151" s="29"/>
      <c r="E151" s="29"/>
      <c r="F151" s="29"/>
    </row>
    <row r="152" spans="1:6" x14ac:dyDescent="0.25">
      <c r="A152" s="34"/>
      <c r="B152" s="29"/>
      <c r="C152" s="29"/>
      <c r="D152" s="29"/>
      <c r="E152" s="29"/>
      <c r="F152" s="29"/>
    </row>
    <row r="153" spans="1:6" x14ac:dyDescent="0.25">
      <c r="A153" s="34"/>
      <c r="B153" s="29"/>
      <c r="C153" s="29"/>
      <c r="D153" s="29"/>
      <c r="E153" s="29"/>
      <c r="F153" s="29"/>
    </row>
    <row r="154" spans="1:6" x14ac:dyDescent="0.25">
      <c r="A154" s="34"/>
      <c r="B154" s="29"/>
      <c r="C154" s="29"/>
      <c r="D154" s="29"/>
      <c r="E154" s="29"/>
      <c r="F154" s="29"/>
    </row>
    <row r="155" spans="1:6" x14ac:dyDescent="0.25">
      <c r="A155" s="34"/>
      <c r="B155" s="29"/>
      <c r="C155" s="29"/>
      <c r="D155" s="29"/>
      <c r="E155" s="29"/>
      <c r="F155" s="29"/>
    </row>
    <row r="156" spans="1:6" x14ac:dyDescent="0.25">
      <c r="A156" s="34"/>
      <c r="B156" s="29"/>
      <c r="C156" s="29"/>
      <c r="D156" s="29"/>
      <c r="E156" s="29"/>
      <c r="F156" s="29"/>
    </row>
    <row r="157" spans="1:6" x14ac:dyDescent="0.25">
      <c r="A157" s="34"/>
      <c r="B157" s="29"/>
      <c r="C157" s="29"/>
      <c r="D157" s="29"/>
      <c r="E157" s="29"/>
      <c r="F157" s="29"/>
    </row>
    <row r="158" spans="1:6" x14ac:dyDescent="0.25">
      <c r="A158" s="34"/>
      <c r="B158" s="29"/>
      <c r="C158" s="29"/>
      <c r="D158" s="29"/>
      <c r="E158" s="29"/>
      <c r="F158" s="29"/>
    </row>
    <row r="159" spans="1:6" x14ac:dyDescent="0.25">
      <c r="A159" s="34"/>
      <c r="B159" s="29"/>
      <c r="C159" s="29"/>
      <c r="D159" s="29"/>
      <c r="E159" s="29"/>
      <c r="F159" s="29"/>
    </row>
    <row r="160" spans="1:6" x14ac:dyDescent="0.25">
      <c r="A160" s="34"/>
      <c r="B160" s="29"/>
      <c r="C160" s="29"/>
      <c r="D160" s="29"/>
      <c r="E160" s="29"/>
      <c r="F160" s="29"/>
    </row>
    <row r="161" spans="1:6" x14ac:dyDescent="0.25">
      <c r="A161" s="34"/>
      <c r="B161" s="29"/>
      <c r="C161" s="29"/>
      <c r="D161" s="29"/>
      <c r="E161" s="29"/>
      <c r="F161" s="29"/>
    </row>
    <row r="162" spans="1:6" x14ac:dyDescent="0.25">
      <c r="A162" s="34"/>
      <c r="B162" s="29"/>
      <c r="C162" s="29"/>
      <c r="D162" s="29"/>
      <c r="E162" s="29"/>
      <c r="F162" s="29"/>
    </row>
    <row r="163" spans="1:6" x14ac:dyDescent="0.25">
      <c r="A163" s="34"/>
      <c r="B163" s="29"/>
      <c r="C163" s="29"/>
      <c r="D163" s="29"/>
      <c r="E163" s="29"/>
      <c r="F163" s="29"/>
    </row>
    <row r="164" spans="1:6" x14ac:dyDescent="0.25">
      <c r="A164" s="34"/>
      <c r="B164" s="29"/>
      <c r="C164" s="29"/>
      <c r="D164" s="29"/>
      <c r="E164" s="29"/>
      <c r="F164" s="29"/>
    </row>
    <row r="165" spans="1:6" x14ac:dyDescent="0.25">
      <c r="A165" s="34"/>
      <c r="B165" s="29"/>
      <c r="C165" s="29"/>
      <c r="D165" s="29"/>
      <c r="E165" s="29"/>
      <c r="F165" s="29"/>
    </row>
    <row r="166" spans="1:6" x14ac:dyDescent="0.25">
      <c r="A166" s="34"/>
      <c r="B166" s="29"/>
      <c r="C166" s="29"/>
      <c r="D166" s="29"/>
      <c r="E166" s="29"/>
      <c r="F166" s="29"/>
    </row>
    <row r="167" spans="1:6" x14ac:dyDescent="0.25">
      <c r="A167" s="34"/>
      <c r="B167" s="29"/>
      <c r="C167" s="29"/>
      <c r="D167" s="29"/>
      <c r="E167" s="29"/>
      <c r="F167" s="29"/>
    </row>
    <row r="168" spans="1:6" x14ac:dyDescent="0.25">
      <c r="A168" s="34"/>
      <c r="B168" s="29"/>
      <c r="C168" s="29"/>
      <c r="D168" s="29"/>
      <c r="E168" s="29"/>
      <c r="F168" s="29"/>
    </row>
    <row r="169" spans="1:6" x14ac:dyDescent="0.25">
      <c r="A169" s="34"/>
      <c r="B169" s="29"/>
      <c r="C169" s="29"/>
      <c r="D169" s="29"/>
      <c r="E169" s="29"/>
      <c r="F169" s="29"/>
    </row>
    <row r="170" spans="1:6" x14ac:dyDescent="0.25">
      <c r="A170" s="34"/>
      <c r="B170" s="29"/>
      <c r="C170" s="29"/>
      <c r="D170" s="29"/>
      <c r="E170" s="29"/>
      <c r="F170" s="29"/>
    </row>
    <row r="171" spans="1:6" x14ac:dyDescent="0.25">
      <c r="A171" s="34"/>
      <c r="B171" s="29"/>
      <c r="C171" s="29"/>
      <c r="D171" s="29"/>
      <c r="E171" s="29"/>
      <c r="F171" s="29"/>
    </row>
    <row r="172" spans="1:6" x14ac:dyDescent="0.25">
      <c r="A172" s="34"/>
      <c r="B172" s="29"/>
      <c r="C172" s="29"/>
      <c r="D172" s="29"/>
      <c r="E172" s="29"/>
      <c r="F172" s="29"/>
    </row>
    <row r="173" spans="1:6" x14ac:dyDescent="0.25">
      <c r="A173" s="34"/>
      <c r="B173" s="29"/>
      <c r="C173" s="29"/>
      <c r="D173" s="29"/>
      <c r="E173" s="29"/>
      <c r="F173" s="29"/>
    </row>
    <row r="174" spans="1:6" x14ac:dyDescent="0.25">
      <c r="A174" s="34"/>
      <c r="B174" s="29"/>
      <c r="C174" s="29"/>
      <c r="D174" s="29"/>
      <c r="E174" s="29"/>
      <c r="F174" s="29"/>
    </row>
    <row r="175" spans="1:6" x14ac:dyDescent="0.25">
      <c r="A175" s="34"/>
      <c r="B175" s="29"/>
      <c r="C175" s="29"/>
      <c r="D175" s="29"/>
      <c r="E175" s="29"/>
      <c r="F175" s="29"/>
    </row>
    <row r="176" spans="1:6" x14ac:dyDescent="0.25">
      <c r="A176" s="34"/>
      <c r="B176" s="29"/>
      <c r="C176" s="29"/>
      <c r="D176" s="29"/>
      <c r="E176" s="29"/>
      <c r="F176" s="29"/>
    </row>
    <row r="177" spans="1:6" x14ac:dyDescent="0.25">
      <c r="A177" s="34"/>
      <c r="B177" s="29"/>
      <c r="C177" s="29"/>
      <c r="D177" s="29"/>
      <c r="E177" s="29"/>
      <c r="F177" s="29"/>
    </row>
    <row r="178" spans="1:6" x14ac:dyDescent="0.25">
      <c r="A178" s="34"/>
      <c r="B178" s="29"/>
      <c r="C178" s="29"/>
      <c r="D178" s="29"/>
      <c r="E178" s="29"/>
      <c r="F178" s="29"/>
    </row>
    <row r="179" spans="1:6" x14ac:dyDescent="0.25">
      <c r="A179" s="34"/>
      <c r="B179" s="29"/>
      <c r="C179" s="29"/>
      <c r="D179" s="29"/>
      <c r="E179" s="29"/>
      <c r="F179" s="29"/>
    </row>
    <row r="180" spans="1:6" x14ac:dyDescent="0.25">
      <c r="A180" s="34"/>
      <c r="B180" s="29"/>
      <c r="C180" s="29"/>
      <c r="D180" s="29"/>
      <c r="E180" s="29"/>
      <c r="F180" s="29"/>
    </row>
    <row r="181" spans="1:6" x14ac:dyDescent="0.25">
      <c r="A181" s="34"/>
      <c r="B181" s="29"/>
      <c r="C181" s="29"/>
      <c r="D181" s="29"/>
      <c r="E181" s="29"/>
      <c r="F181" s="29"/>
    </row>
    <row r="182" spans="1:6" x14ac:dyDescent="0.25">
      <c r="A182" s="34"/>
      <c r="B182" s="29"/>
      <c r="C182" s="29"/>
      <c r="D182" s="29"/>
      <c r="E182" s="29"/>
      <c r="F182" s="29"/>
    </row>
    <row r="183" spans="1:6" x14ac:dyDescent="0.25">
      <c r="A183" s="34"/>
      <c r="B183" s="29"/>
      <c r="C183" s="29"/>
      <c r="D183" s="29"/>
      <c r="E183" s="29"/>
      <c r="F183" s="29"/>
    </row>
    <row r="184" spans="1:6" x14ac:dyDescent="0.25">
      <c r="A184" s="34"/>
      <c r="B184" s="29"/>
      <c r="C184" s="29"/>
      <c r="D184" s="29"/>
      <c r="E184" s="29"/>
      <c r="F184" s="29"/>
    </row>
    <row r="185" spans="1:6" x14ac:dyDescent="0.25">
      <c r="A185" s="34"/>
      <c r="B185" s="29"/>
      <c r="C185" s="29"/>
      <c r="D185" s="29"/>
      <c r="E185" s="29"/>
      <c r="F185" s="29"/>
    </row>
    <row r="186" spans="1:6" x14ac:dyDescent="0.25">
      <c r="A186" s="34"/>
      <c r="B186" s="29"/>
      <c r="C186" s="29"/>
      <c r="D186" s="29"/>
      <c r="E186" s="29"/>
      <c r="F186" s="29"/>
    </row>
    <row r="187" spans="1:6" x14ac:dyDescent="0.25">
      <c r="A187" s="34"/>
      <c r="B187" s="29"/>
      <c r="C187" s="29"/>
      <c r="D187" s="29"/>
      <c r="E187" s="29"/>
      <c r="F187" s="29"/>
    </row>
    <row r="188" spans="1:6" x14ac:dyDescent="0.25">
      <c r="A188" s="34"/>
      <c r="B188" s="29"/>
      <c r="C188" s="29"/>
      <c r="D188" s="29"/>
      <c r="E188" s="29"/>
      <c r="F188" s="29"/>
    </row>
    <row r="189" spans="1:6" x14ac:dyDescent="0.25">
      <c r="A189" s="34"/>
      <c r="B189" s="29"/>
      <c r="C189" s="29"/>
      <c r="D189" s="29"/>
      <c r="E189" s="29"/>
      <c r="F189" s="29"/>
    </row>
    <row r="190" spans="1:6" x14ac:dyDescent="0.25">
      <c r="A190" s="34"/>
      <c r="B190" s="29"/>
      <c r="C190" s="29"/>
      <c r="D190" s="29"/>
      <c r="E190" s="29"/>
      <c r="F190" s="29"/>
    </row>
    <row r="191" spans="1:6" x14ac:dyDescent="0.25">
      <c r="A191" s="34"/>
      <c r="B191" s="29"/>
      <c r="C191" s="29"/>
      <c r="D191" s="29"/>
      <c r="E191" s="29"/>
      <c r="F191" s="29"/>
    </row>
    <row r="192" spans="1:6" x14ac:dyDescent="0.25">
      <c r="A192" s="34"/>
      <c r="B192" s="29"/>
      <c r="C192" s="29"/>
      <c r="D192" s="29"/>
      <c r="E192" s="29"/>
      <c r="F192" s="29"/>
    </row>
    <row r="193" spans="1:6" x14ac:dyDescent="0.25">
      <c r="A193" s="34"/>
      <c r="B193" s="29"/>
      <c r="C193" s="29"/>
      <c r="D193" s="29"/>
      <c r="E193" s="29"/>
      <c r="F193" s="29"/>
    </row>
    <row r="194" spans="1:6" x14ac:dyDescent="0.25">
      <c r="A194" s="34"/>
      <c r="B194" s="29"/>
      <c r="C194" s="29"/>
      <c r="D194" s="29"/>
      <c r="E194" s="29"/>
      <c r="F194" s="29"/>
    </row>
    <row r="195" spans="1:6" x14ac:dyDescent="0.25">
      <c r="A195" s="34"/>
      <c r="B195" s="29"/>
      <c r="C195" s="29"/>
      <c r="D195" s="29"/>
      <c r="E195" s="29"/>
      <c r="F195" s="29"/>
    </row>
    <row r="196" spans="1:6" x14ac:dyDescent="0.25">
      <c r="A196" s="34"/>
      <c r="B196" s="29"/>
      <c r="C196" s="29"/>
      <c r="D196" s="29"/>
      <c r="E196" s="29"/>
      <c r="F196" s="29"/>
    </row>
    <row r="197" spans="1:6" x14ac:dyDescent="0.25">
      <c r="A197" s="34"/>
      <c r="B197" s="29"/>
      <c r="C197" s="29"/>
      <c r="D197" s="29"/>
      <c r="E197" s="29"/>
      <c r="F197" s="29"/>
    </row>
    <row r="198" spans="1:6" x14ac:dyDescent="0.25">
      <c r="A198" s="34"/>
      <c r="B198" s="29"/>
      <c r="C198" s="29"/>
      <c r="D198" s="29"/>
      <c r="E198" s="29"/>
      <c r="F198" s="29"/>
    </row>
    <row r="199" spans="1:6" x14ac:dyDescent="0.25">
      <c r="A199" s="34"/>
      <c r="B199" s="29"/>
      <c r="C199" s="29"/>
      <c r="D199" s="29"/>
      <c r="E199" s="29"/>
      <c r="F199" s="29"/>
    </row>
    <row r="200" spans="1:6" x14ac:dyDescent="0.25">
      <c r="A200" s="34"/>
      <c r="B200" s="29"/>
      <c r="C200" s="29"/>
      <c r="D200" s="29"/>
      <c r="E200" s="29"/>
      <c r="F200" s="29"/>
    </row>
    <row r="201" spans="1:6" x14ac:dyDescent="0.25">
      <c r="A201" s="34"/>
      <c r="B201" s="29"/>
      <c r="C201" s="29"/>
      <c r="D201" s="29"/>
      <c r="E201" s="29"/>
      <c r="F201" s="29"/>
    </row>
    <row r="202" spans="1:6" x14ac:dyDescent="0.25">
      <c r="A202" s="34"/>
      <c r="B202" s="29"/>
      <c r="C202" s="29"/>
      <c r="D202" s="29"/>
      <c r="E202" s="29"/>
      <c r="F202" s="29"/>
    </row>
    <row r="203" spans="1:6" x14ac:dyDescent="0.25">
      <c r="A203" s="34"/>
      <c r="B203" s="29"/>
      <c r="C203" s="29"/>
      <c r="D203" s="29"/>
      <c r="E203" s="29"/>
      <c r="F203" s="29"/>
    </row>
    <row r="204" spans="1:6" x14ac:dyDescent="0.25">
      <c r="A204" s="34"/>
      <c r="B204" s="29"/>
      <c r="C204" s="29"/>
      <c r="D204" s="29"/>
      <c r="E204" s="29"/>
      <c r="F204" s="29"/>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E64251E621DC4EAA1D305EC56230F3" ma:contentTypeVersion="3" ma:contentTypeDescription="Create a new document." ma:contentTypeScope="" ma:versionID="4e61b3755a602d0c78739f2cc52d316b">
  <xsd:schema xmlns:xsd="http://www.w3.org/2001/XMLSchema" xmlns:xs="http://www.w3.org/2001/XMLSchema" xmlns:p="http://schemas.microsoft.com/office/2006/metadata/properties" xmlns:ns2="3b36bd2e-c813-4c61-8167-4957c0660b97" targetNamespace="http://schemas.microsoft.com/office/2006/metadata/properties" ma:root="true" ma:fieldsID="5696ffeb45c358ff8fd45dfd9dbf047f" ns2:_="">
    <xsd:import namespace="3b36bd2e-c813-4c61-8167-4957c0660b9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6bd2e-c813-4c61-8167-4957c0660b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01019A-AD82-471D-BA06-767BCA19B8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6bd2e-c813-4c61-8167-4957c0660b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979E3D-8740-4C56-AE99-CCE65476C64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2E0C966-76AF-44D8-B4FB-F1DC014547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Read Me</vt:lpstr>
      <vt:lpstr>Dashboard</vt:lpstr>
      <vt:lpstr>RFI Register</vt:lpstr>
      <vt:lpstr>RFI-001</vt:lpstr>
      <vt:lpstr>RFI_TEMPLATE</vt:lpstr>
      <vt:lpstr>Vendors</vt:lpstr>
      <vt:lpstr>Key Items</vt:lpstr>
      <vt:lpstr>Projects</vt:lpstr>
      <vt:lpstr>Lists</vt:lpstr>
      <vt:lpstr>Change Log</vt:lpstr>
      <vt:lpstr>L_ActivityStatus</vt:lpstr>
      <vt:lpstr>L_Owners</vt:lpstr>
      <vt:lpstr>L_Qual</vt:lpstr>
      <vt:lpstr>L_Rating</vt:lpstr>
      <vt:lpstr>L_Types</vt:lpstr>
      <vt:lpstr>L_VendorStatus</vt:lpstr>
      <vt:lpstr>P_Names</vt:lpstr>
      <vt:lpstr>V_Names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Jason Knedlhans</cp:lastModifiedBy>
  <cp:revision>0</cp:revision>
  <dcterms:created xsi:type="dcterms:W3CDTF">2026-10-05T18:12:25Z</dcterms:created>
  <dcterms:modified xsi:type="dcterms:W3CDTF">2026-10-05T18:22:10Z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0x0101008AE64251E621DC4EAA1D305EC56230F3</vt:lpwstr>
  </property>
</Properties>
</file>